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guillemet\Documents\PELCA_internal\Input example\"/>
    </mc:Choice>
  </mc:AlternateContent>
  <xr:revisionPtr revIDLastSave="0" documentId="13_ncr:1_{5A9DBB0D-BB5E-4E0D-88A0-645C50FA0483}" xr6:coauthVersionLast="47" xr6:coauthVersionMax="47" xr10:uidLastSave="{00000000-0000-0000-0000-000000000000}"/>
  <bookViews>
    <workbookView xWindow="-28920" yWindow="-120" windowWidth="29040" windowHeight="15720" tabRatio="500" activeTab="1" xr2:uid="{00000000-000D-0000-FFFF-FFFF00000000}"/>
  </bookViews>
  <sheets>
    <sheet name="PELCA - Legend | License" sheetId="21" r:id="rId1"/>
    <sheet name="Inventory - Manufacturing" sheetId="1" r:id="rId2"/>
    <sheet name="Inventory - Use" sheetId="2" r:id="rId3"/>
    <sheet name="LCA" sheetId="3" r:id="rId4"/>
    <sheet name="LCIA" sheetId="4" r:id="rId5"/>
    <sheet name="Cost - Price" sheetId="5" r:id="rId6"/>
    <sheet name="Staircase" sheetId="6" r:id="rId7"/>
    <sheet name="Faults &amp; Prev. Maint." sheetId="7" r:id="rId8"/>
    <sheet name="Cur. Maint. (replac. matrix)" sheetId="8" r:id="rId9"/>
    <sheet name="BOM" sheetId="10" r:id="rId10"/>
    <sheet name="Cost" sheetId="11" r:id="rId11"/>
    <sheet name="CAS_Code" sheetId="16" r:id="rId12"/>
    <sheet name="Report - BOM" sheetId="20" r:id="rId13"/>
    <sheet name="Periodic Table VS CAS Code" sheetId="19" r:id="rId14"/>
    <sheet name="CAS_Component" sheetId="17" r:id="rId15"/>
    <sheet name="CAS_EFuse" sheetId="18" r:id="rId16"/>
  </sheets>
  <definedNames>
    <definedName name="_xlnm._FilterDatabase" localSheetId="11" hidden="1">CAS_Code!$A$3:$B$3</definedName>
    <definedName name="_xlnm.Print_Area" localSheetId="9">BOM!$B$5:$H$54</definedName>
    <definedName name="_xlnm.Print_Area" localSheetId="10">Cost!$B$5:$D$50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94" i="1" l="1"/>
  <c r="E400" i="1"/>
  <c r="F43" i="2"/>
  <c r="F32" i="2"/>
  <c r="F21" i="2"/>
  <c r="F10" i="2"/>
  <c r="E13" i="5" l="1"/>
  <c r="E43" i="2"/>
  <c r="A43" i="2"/>
  <c r="E42" i="2"/>
  <c r="B37" i="2"/>
  <c r="E357" i="1" l="1"/>
  <c r="E356" i="1"/>
  <c r="E355" i="1"/>
  <c r="E354" i="1"/>
  <c r="E353" i="1"/>
  <c r="E352" i="1"/>
  <c r="E351" i="1"/>
  <c r="E350" i="1"/>
  <c r="E349" i="1"/>
  <c r="F358" i="1"/>
  <c r="A358" i="1"/>
  <c r="B344" i="1"/>
  <c r="F416" i="1"/>
  <c r="A416" i="1"/>
  <c r="B414" i="1"/>
  <c r="E414" i="1" s="1"/>
  <c r="E413" i="1"/>
  <c r="B408" i="1"/>
  <c r="F403" i="1"/>
  <c r="A403" i="1"/>
  <c r="B402" i="1"/>
  <c r="B415" i="1" s="1"/>
  <c r="E415" i="1" s="1"/>
  <c r="E401" i="1"/>
  <c r="B395" i="1"/>
  <c r="F390" i="1"/>
  <c r="A390" i="1"/>
  <c r="B389" i="1"/>
  <c r="E389" i="1" s="1"/>
  <c r="B388" i="1"/>
  <c r="E388" i="1" s="1"/>
  <c r="B387" i="1"/>
  <c r="E387" i="1" s="1"/>
  <c r="B386" i="1"/>
  <c r="E386" i="1" s="1"/>
  <c r="B381" i="1"/>
  <c r="F209" i="1"/>
  <c r="E209" i="1"/>
  <c r="A209" i="1"/>
  <c r="B208" i="1"/>
  <c r="E208" i="1" s="1"/>
  <c r="B207" i="1"/>
  <c r="E207" i="1" s="1"/>
  <c r="B206" i="1"/>
  <c r="E206" i="1" s="1"/>
  <c r="B205" i="1"/>
  <c r="E205" i="1" s="1"/>
  <c r="E204" i="1"/>
  <c r="B199" i="1"/>
  <c r="F376" i="1"/>
  <c r="E376" i="1"/>
  <c r="A376" i="1"/>
  <c r="B375" i="1"/>
  <c r="E375" i="1" s="1"/>
  <c r="B374" i="1"/>
  <c r="E374" i="1" s="1"/>
  <c r="B373" i="1"/>
  <c r="E373" i="1" s="1"/>
  <c r="B372" i="1"/>
  <c r="E372" i="1" s="1"/>
  <c r="E371" i="1"/>
  <c r="E370" i="1"/>
  <c r="B369" i="1"/>
  <c r="E369" i="1" s="1"/>
  <c r="E368" i="1"/>
  <c r="B363" i="1"/>
  <c r="F339" i="1"/>
  <c r="E339" i="1"/>
  <c r="A339" i="1"/>
  <c r="E338" i="1"/>
  <c r="E337" i="1"/>
  <c r="E336" i="1"/>
  <c r="E335" i="1"/>
  <c r="E334" i="1"/>
  <c r="E333" i="1"/>
  <c r="E332" i="1"/>
  <c r="E331" i="1"/>
  <c r="E330" i="1"/>
  <c r="B329" i="1"/>
  <c r="E329" i="1" s="1"/>
  <c r="B328" i="1"/>
  <c r="E328" i="1" s="1"/>
  <c r="B327" i="1"/>
  <c r="E327" i="1" s="1"/>
  <c r="B326" i="1"/>
  <c r="E326" i="1" s="1"/>
  <c r="B325" i="1"/>
  <c r="E325" i="1" s="1"/>
  <c r="B324" i="1"/>
  <c r="E324" i="1" s="1"/>
  <c r="B323" i="1"/>
  <c r="E323" i="1" s="1"/>
  <c r="B322" i="1"/>
  <c r="E322" i="1" s="1"/>
  <c r="B321" i="1"/>
  <c r="E321" i="1" s="1"/>
  <c r="B320" i="1"/>
  <c r="E320" i="1" s="1"/>
  <c r="B319" i="1"/>
  <c r="E319" i="1" s="1"/>
  <c r="B318" i="1"/>
  <c r="E318" i="1" s="1"/>
  <c r="B317" i="1"/>
  <c r="E317" i="1" s="1"/>
  <c r="B316" i="1"/>
  <c r="E316" i="1" s="1"/>
  <c r="E315" i="1"/>
  <c r="B310" i="1"/>
  <c r="E21" i="2"/>
  <c r="A21" i="2"/>
  <c r="E20" i="2"/>
  <c r="B15" i="2"/>
  <c r="E10" i="2"/>
  <c r="A10" i="2"/>
  <c r="E9" i="2"/>
  <c r="B4" i="2"/>
  <c r="F305" i="1"/>
  <c r="E305" i="1"/>
  <c r="A305" i="1"/>
  <c r="E304" i="1"/>
  <c r="E303" i="1"/>
  <c r="E302" i="1"/>
  <c r="E301" i="1"/>
  <c r="E300" i="1"/>
  <c r="E299" i="1"/>
  <c r="E298" i="1"/>
  <c r="E297" i="1"/>
  <c r="E296" i="1"/>
  <c r="E295" i="1"/>
  <c r="E294" i="1"/>
  <c r="E293" i="1"/>
  <c r="B288" i="1"/>
  <c r="F283" i="1"/>
  <c r="E283" i="1"/>
  <c r="A283" i="1"/>
  <c r="E282" i="1"/>
  <c r="E281" i="1"/>
  <c r="E280" i="1"/>
  <c r="E279" i="1"/>
  <c r="E278" i="1"/>
  <c r="E277" i="1"/>
  <c r="E276" i="1"/>
  <c r="E275" i="1"/>
  <c r="E274" i="1"/>
  <c r="E273" i="1"/>
  <c r="B268" i="1"/>
  <c r="F263" i="1"/>
  <c r="E263" i="1"/>
  <c r="A263" i="1"/>
  <c r="E262" i="1"/>
  <c r="E261" i="1"/>
  <c r="E260" i="1"/>
  <c r="E259" i="1"/>
  <c r="E258" i="1"/>
  <c r="E257" i="1"/>
  <c r="B252" i="1"/>
  <c r="E10" i="5"/>
  <c r="E7" i="5"/>
  <c r="E6" i="5"/>
  <c r="F247" i="1"/>
  <c r="E247" i="1"/>
  <c r="A247" i="1"/>
  <c r="E246" i="1"/>
  <c r="E245" i="1"/>
  <c r="E244" i="1"/>
  <c r="E243" i="1"/>
  <c r="E242" i="1"/>
  <c r="E241" i="1"/>
  <c r="E240" i="1"/>
  <c r="E239" i="1"/>
  <c r="E238" i="1"/>
  <c r="E237" i="1"/>
  <c r="E236" i="1"/>
  <c r="E235" i="1"/>
  <c r="B230" i="1"/>
  <c r="E32" i="2"/>
  <c r="A32" i="2"/>
  <c r="E31" i="2"/>
  <c r="B26" i="2"/>
  <c r="F225" i="1"/>
  <c r="E225" i="1"/>
  <c r="A225" i="1"/>
  <c r="E224" i="1"/>
  <c r="E223" i="1"/>
  <c r="E222" i="1"/>
  <c r="E221" i="1"/>
  <c r="E220" i="1"/>
  <c r="E219" i="1"/>
  <c r="B214" i="1"/>
  <c r="F194" i="1"/>
  <c r="A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B103" i="1"/>
  <c r="F98" i="1"/>
  <c r="E98" i="1"/>
  <c r="A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B7" i="1"/>
  <c r="E402" i="1" l="1"/>
  <c r="B4" i="20" l="1"/>
  <c r="B5" i="20"/>
  <c r="E5" i="20"/>
  <c r="D5" i="20" s="1"/>
  <c r="F5" i="20"/>
  <c r="B6" i="20"/>
  <c r="E6" i="20"/>
  <c r="D6" i="20" s="1"/>
  <c r="F6" i="20"/>
  <c r="E7" i="20"/>
  <c r="D7" i="20" s="1"/>
  <c r="F7" i="20"/>
  <c r="D8" i="20"/>
  <c r="E8" i="20"/>
  <c r="F8" i="20"/>
  <c r="D9" i="20"/>
  <c r="E9" i="20"/>
  <c r="F9" i="20"/>
  <c r="E10" i="20"/>
  <c r="D10" i="20" s="1"/>
  <c r="F10" i="20"/>
  <c r="E11" i="20"/>
  <c r="D11" i="20" s="1"/>
  <c r="F11" i="20"/>
  <c r="D12" i="20"/>
  <c r="E12" i="20"/>
  <c r="F12" i="20"/>
  <c r="E13" i="20"/>
  <c r="D13" i="20" s="1"/>
  <c r="F13" i="20"/>
  <c r="E14" i="20"/>
  <c r="D14" i="20" s="1"/>
  <c r="F14" i="20"/>
  <c r="E6" i="18"/>
  <c r="E4" i="18" s="1"/>
  <c r="F6" i="18"/>
  <c r="F4" i="18" s="1"/>
  <c r="G6" i="18"/>
  <c r="G4" i="18" s="1"/>
  <c r="H6" i="18"/>
  <c r="I6" i="18"/>
  <c r="J6" i="18"/>
  <c r="K6" i="18"/>
  <c r="L6" i="18"/>
  <c r="M6" i="18"/>
  <c r="M4" i="18" s="1"/>
  <c r="N6" i="18"/>
  <c r="N4" i="18" s="1"/>
  <c r="O6" i="18"/>
  <c r="O4" i="18" s="1"/>
  <c r="P6" i="18"/>
  <c r="Q6" i="18"/>
  <c r="R6" i="18"/>
  <c r="S6" i="18"/>
  <c r="T6" i="18"/>
  <c r="U6" i="18"/>
  <c r="U4" i="18" s="1"/>
  <c r="V6" i="18"/>
  <c r="V4" i="18" s="1"/>
  <c r="W6" i="18"/>
  <c r="W4" i="18" s="1"/>
  <c r="X6" i="18"/>
  <c r="Y6" i="18"/>
  <c r="Z6" i="18"/>
  <c r="AA6" i="18"/>
  <c r="AB6" i="18"/>
  <c r="AC6" i="18"/>
  <c r="AC4" i="18" s="1"/>
  <c r="AD6" i="18"/>
  <c r="AD4" i="18" s="1"/>
  <c r="AE6" i="18"/>
  <c r="AE4" i="18" s="1"/>
  <c r="AF6" i="18"/>
  <c r="AG6" i="18"/>
  <c r="AH6" i="18"/>
  <c r="AI6" i="18"/>
  <c r="AJ6" i="18"/>
  <c r="AK6" i="18"/>
  <c r="AK4" i="18" s="1"/>
  <c r="AL6" i="18"/>
  <c r="AL4" i="18" s="1"/>
  <c r="AM6" i="18"/>
  <c r="AM4" i="18" s="1"/>
  <c r="AN6" i="18"/>
  <c r="AO6" i="18"/>
  <c r="AP6" i="18"/>
  <c r="AQ6" i="18"/>
  <c r="AR6" i="18"/>
  <c r="AS6" i="18"/>
  <c r="AS4" i="18" s="1"/>
  <c r="AT6" i="18"/>
  <c r="AT4" i="18" s="1"/>
  <c r="AU6" i="18"/>
  <c r="AU4" i="18" s="1"/>
  <c r="AV6" i="18"/>
  <c r="AW6" i="18"/>
  <c r="AX6" i="18"/>
  <c r="AY6" i="18"/>
  <c r="AZ6" i="18"/>
  <c r="BA6" i="18"/>
  <c r="BA4" i="18" s="1"/>
  <c r="BB6" i="18"/>
  <c r="BB4" i="18" s="1"/>
  <c r="BC6" i="18"/>
  <c r="BC4" i="18" s="1"/>
  <c r="BD6" i="18"/>
  <c r="BE6" i="18"/>
  <c r="BF6" i="18"/>
  <c r="BG6" i="18"/>
  <c r="BH6" i="18"/>
  <c r="BI6" i="18"/>
  <c r="BI4" i="18" s="1"/>
  <c r="BJ6" i="18"/>
  <c r="BJ4" i="18" s="1"/>
  <c r="BK6" i="18"/>
  <c r="BK4" i="18" s="1"/>
  <c r="BL6" i="18"/>
  <c r="BM6" i="18"/>
  <c r="BN6" i="18"/>
  <c r="BO6" i="18"/>
  <c r="BP6" i="18"/>
  <c r="BQ6" i="18"/>
  <c r="BQ4" i="18" s="1"/>
  <c r="BR6" i="18"/>
  <c r="BR4" i="18" s="1"/>
  <c r="BS6" i="18"/>
  <c r="BS4" i="18" s="1"/>
  <c r="BT6" i="18"/>
  <c r="BU6" i="18"/>
  <c r="BV6" i="18"/>
  <c r="BW6" i="18"/>
  <c r="BX6" i="18"/>
  <c r="BY6" i="18"/>
  <c r="BY4" i="18" s="1"/>
  <c r="BZ6" i="18"/>
  <c r="BZ4" i="18" s="1"/>
  <c r="CA6" i="18"/>
  <c r="CA4" i="18" s="1"/>
  <c r="CB6" i="18"/>
  <c r="E7" i="18"/>
  <c r="D7" i="18" s="1"/>
  <c r="F7" i="18"/>
  <c r="G7" i="18"/>
  <c r="H7" i="18"/>
  <c r="H4" i="18" s="1"/>
  <c r="I7" i="18"/>
  <c r="I4" i="18" s="1"/>
  <c r="J7" i="18"/>
  <c r="J4" i="18" s="1"/>
  <c r="K7" i="18"/>
  <c r="L7" i="18"/>
  <c r="M7" i="18"/>
  <c r="N7" i="18"/>
  <c r="O7" i="18"/>
  <c r="P7" i="18"/>
  <c r="P4" i="18" s="1"/>
  <c r="Q7" i="18"/>
  <c r="Q4" i="18" s="1"/>
  <c r="R7" i="18"/>
  <c r="R4" i="18" s="1"/>
  <c r="S7" i="18"/>
  <c r="T7" i="18"/>
  <c r="U7" i="18"/>
  <c r="V7" i="18"/>
  <c r="W7" i="18"/>
  <c r="X7" i="18"/>
  <c r="X4" i="18" s="1"/>
  <c r="Y7" i="18"/>
  <c r="Y4" i="18" s="1"/>
  <c r="Z7" i="18"/>
  <c r="Z4" i="18" s="1"/>
  <c r="AA7" i="18"/>
  <c r="AB7" i="18"/>
  <c r="AC7" i="18"/>
  <c r="AD7" i="18"/>
  <c r="AE7" i="18"/>
  <c r="AF7" i="18"/>
  <c r="AF4" i="18" s="1"/>
  <c r="AG7" i="18"/>
  <c r="AG4" i="18" s="1"/>
  <c r="AH7" i="18"/>
  <c r="AH4" i="18" s="1"/>
  <c r="AI7" i="18"/>
  <c r="AJ7" i="18"/>
  <c r="AK7" i="18"/>
  <c r="AL7" i="18"/>
  <c r="AM7" i="18"/>
  <c r="AN7" i="18"/>
  <c r="AN4" i="18" s="1"/>
  <c r="AO7" i="18"/>
  <c r="AO4" i="18" s="1"/>
  <c r="AP7" i="18"/>
  <c r="AP4" i="18" s="1"/>
  <c r="AQ7" i="18"/>
  <c r="AR7" i="18"/>
  <c r="AS7" i="18"/>
  <c r="AT7" i="18"/>
  <c r="AU7" i="18"/>
  <c r="AV7" i="18"/>
  <c r="AV4" i="18" s="1"/>
  <c r="AW7" i="18"/>
  <c r="AW4" i="18" s="1"/>
  <c r="AX7" i="18"/>
  <c r="AX4" i="18" s="1"/>
  <c r="AY7" i="18"/>
  <c r="AZ7" i="18"/>
  <c r="BA7" i="18"/>
  <c r="BB7" i="18"/>
  <c r="BC7" i="18"/>
  <c r="BD7" i="18"/>
  <c r="BD4" i="18" s="1"/>
  <c r="BE7" i="18"/>
  <c r="BE4" i="18" s="1"/>
  <c r="BF7" i="18"/>
  <c r="BF4" i="18" s="1"/>
  <c r="BG7" i="18"/>
  <c r="BH7" i="18"/>
  <c r="BI7" i="18"/>
  <c r="BJ7" i="18"/>
  <c r="BK7" i="18"/>
  <c r="BL7" i="18"/>
  <c r="BL4" i="18" s="1"/>
  <c r="BM7" i="18"/>
  <c r="BM4" i="18" s="1"/>
  <c r="BN7" i="18"/>
  <c r="BN4" i="18" s="1"/>
  <c r="BO7" i="18"/>
  <c r="BP7" i="18"/>
  <c r="BQ7" i="18"/>
  <c r="BR7" i="18"/>
  <c r="BS7" i="18"/>
  <c r="BT7" i="18"/>
  <c r="BT4" i="18" s="1"/>
  <c r="BU7" i="18"/>
  <c r="BU4" i="18" s="1"/>
  <c r="BV7" i="18"/>
  <c r="BV4" i="18" s="1"/>
  <c r="BW7" i="18"/>
  <c r="BX7" i="18"/>
  <c r="BY7" i="18"/>
  <c r="BZ7" i="18"/>
  <c r="CA7" i="18"/>
  <c r="CB7" i="18"/>
  <c r="CB4" i="18" s="1"/>
  <c r="E8" i="18"/>
  <c r="D8" i="18" s="1"/>
  <c r="F8" i="18"/>
  <c r="G8" i="18"/>
  <c r="H8" i="18"/>
  <c r="I8" i="18"/>
  <c r="J8" i="18"/>
  <c r="K8" i="18"/>
  <c r="L8" i="18"/>
  <c r="M8" i="18"/>
  <c r="N8" i="18"/>
  <c r="O8" i="18"/>
  <c r="P8" i="18"/>
  <c r="Q8" i="18"/>
  <c r="R8" i="18"/>
  <c r="S8" i="18"/>
  <c r="T8" i="18"/>
  <c r="U8" i="18"/>
  <c r="V8" i="18"/>
  <c r="W8" i="18"/>
  <c r="X8" i="18"/>
  <c r="Y8" i="18"/>
  <c r="Z8" i="18"/>
  <c r="AA8" i="18"/>
  <c r="AB8" i="18"/>
  <c r="AC8" i="18"/>
  <c r="AD8" i="18"/>
  <c r="AE8" i="18"/>
  <c r="AF8" i="18"/>
  <c r="AG8" i="18"/>
  <c r="AH8" i="18"/>
  <c r="AI8" i="18"/>
  <c r="AJ8" i="18"/>
  <c r="AK8" i="18"/>
  <c r="AL8" i="18"/>
  <c r="AM8" i="18"/>
  <c r="AN8" i="18"/>
  <c r="AO8" i="18"/>
  <c r="AP8" i="18"/>
  <c r="AQ8" i="18"/>
  <c r="AR8" i="18"/>
  <c r="AS8" i="18"/>
  <c r="AT8" i="18"/>
  <c r="AU8" i="18"/>
  <c r="AV8" i="18"/>
  <c r="AW8" i="18"/>
  <c r="AX8" i="18"/>
  <c r="AY8" i="18"/>
  <c r="AZ8" i="18"/>
  <c r="BA8" i="18"/>
  <c r="BB8" i="18"/>
  <c r="BC8" i="18"/>
  <c r="BD8" i="18"/>
  <c r="BE8" i="18"/>
  <c r="BF8" i="18"/>
  <c r="BG8" i="18"/>
  <c r="BH8" i="18"/>
  <c r="BI8" i="18"/>
  <c r="BJ8" i="18"/>
  <c r="BK8" i="18"/>
  <c r="BL8" i="18"/>
  <c r="BM8" i="18"/>
  <c r="BN8" i="18"/>
  <c r="BO8" i="18"/>
  <c r="BP8" i="18"/>
  <c r="BQ8" i="18"/>
  <c r="BR8" i="18"/>
  <c r="BS8" i="18"/>
  <c r="BT8" i="18"/>
  <c r="BU8" i="18"/>
  <c r="BV8" i="18"/>
  <c r="BW8" i="18"/>
  <c r="BX8" i="18"/>
  <c r="BY8" i="18"/>
  <c r="BZ8" i="18"/>
  <c r="CA8" i="18"/>
  <c r="CB8" i="18"/>
  <c r="E9" i="18"/>
  <c r="D9" i="18" s="1"/>
  <c r="F9" i="18"/>
  <c r="G9" i="18"/>
  <c r="H9" i="18"/>
  <c r="I9" i="18"/>
  <c r="J9" i="18"/>
  <c r="K9" i="18"/>
  <c r="L9" i="18"/>
  <c r="M9" i="18"/>
  <c r="N9" i="18"/>
  <c r="O9" i="18"/>
  <c r="P9" i="18"/>
  <c r="Q9" i="18"/>
  <c r="R9" i="18"/>
  <c r="S9" i="18"/>
  <c r="T9" i="18"/>
  <c r="U9" i="18"/>
  <c r="V9" i="18"/>
  <c r="W9" i="18"/>
  <c r="X9" i="18"/>
  <c r="Y9" i="18"/>
  <c r="Z9" i="18"/>
  <c r="AA9" i="18"/>
  <c r="AB9" i="18"/>
  <c r="AC9" i="18"/>
  <c r="AD9" i="18"/>
  <c r="AE9" i="18"/>
  <c r="AF9" i="18"/>
  <c r="AG9" i="18"/>
  <c r="AH9" i="18"/>
  <c r="AI9" i="18"/>
  <c r="AJ9" i="18"/>
  <c r="AK9" i="18"/>
  <c r="AL9" i="18"/>
  <c r="AM9" i="18"/>
  <c r="AN9" i="18"/>
  <c r="AO9" i="18"/>
  <c r="AP9" i="18"/>
  <c r="AQ9" i="18"/>
  <c r="AR9" i="18"/>
  <c r="AS9" i="18"/>
  <c r="AT9" i="18"/>
  <c r="AU9" i="18"/>
  <c r="AV9" i="18"/>
  <c r="AW9" i="18"/>
  <c r="AX9" i="18"/>
  <c r="AY9" i="18"/>
  <c r="AZ9" i="18"/>
  <c r="BA9" i="18"/>
  <c r="BB9" i="18"/>
  <c r="BC9" i="18"/>
  <c r="BD9" i="18"/>
  <c r="BE9" i="18"/>
  <c r="BF9" i="18"/>
  <c r="BG9" i="18"/>
  <c r="BH9" i="18"/>
  <c r="BI9" i="18"/>
  <c r="BJ9" i="18"/>
  <c r="BK9" i="18"/>
  <c r="BL9" i="18"/>
  <c r="BM9" i="18"/>
  <c r="BN9" i="18"/>
  <c r="BO9" i="18"/>
  <c r="BP9" i="18"/>
  <c r="BQ9" i="18"/>
  <c r="BR9" i="18"/>
  <c r="BS9" i="18"/>
  <c r="BT9" i="18"/>
  <c r="BU9" i="18"/>
  <c r="BV9" i="18"/>
  <c r="BW9" i="18"/>
  <c r="BX9" i="18"/>
  <c r="BY9" i="18"/>
  <c r="BZ9" i="18"/>
  <c r="CA9" i="18"/>
  <c r="CB9" i="18"/>
  <c r="E10" i="18"/>
  <c r="D10" i="18" s="1"/>
  <c r="F10" i="18"/>
  <c r="G10" i="18"/>
  <c r="H10" i="18"/>
  <c r="I10" i="18"/>
  <c r="J10" i="18"/>
  <c r="K10" i="18"/>
  <c r="K4" i="18" s="1"/>
  <c r="L10" i="18"/>
  <c r="M10" i="18"/>
  <c r="N10" i="18"/>
  <c r="O10" i="18"/>
  <c r="P10" i="18"/>
  <c r="Q10" i="18"/>
  <c r="R10" i="18"/>
  <c r="S10" i="18"/>
  <c r="S4" i="18" s="1"/>
  <c r="T10" i="18"/>
  <c r="U10" i="18"/>
  <c r="V10" i="18"/>
  <c r="W10" i="18"/>
  <c r="X10" i="18"/>
  <c r="Y10" i="18"/>
  <c r="Z10" i="18"/>
  <c r="AA10" i="18"/>
  <c r="AA4" i="18" s="1"/>
  <c r="AB10" i="18"/>
  <c r="AC10" i="18"/>
  <c r="AD10" i="18"/>
  <c r="AE10" i="18"/>
  <c r="AF10" i="18"/>
  <c r="AG10" i="18"/>
  <c r="AH10" i="18"/>
  <c r="AI10" i="18"/>
  <c r="AI4" i="18" s="1"/>
  <c r="AJ10" i="18"/>
  <c r="AK10" i="18"/>
  <c r="AL10" i="18"/>
  <c r="AM10" i="18"/>
  <c r="AN10" i="18"/>
  <c r="AO10" i="18"/>
  <c r="AP10" i="18"/>
  <c r="AQ10" i="18"/>
  <c r="AQ4" i="18" s="1"/>
  <c r="AR10" i="18"/>
  <c r="AS10" i="18"/>
  <c r="AT10" i="18"/>
  <c r="AU10" i="18"/>
  <c r="AV10" i="18"/>
  <c r="AW10" i="18"/>
  <c r="AX10" i="18"/>
  <c r="AY10" i="18"/>
  <c r="AY4" i="18" s="1"/>
  <c r="AZ10" i="18"/>
  <c r="BA10" i="18"/>
  <c r="BB10" i="18"/>
  <c r="BC10" i="18"/>
  <c r="BD10" i="18"/>
  <c r="BE10" i="18"/>
  <c r="BF10" i="18"/>
  <c r="BG10" i="18"/>
  <c r="BG4" i="18" s="1"/>
  <c r="BH10" i="18"/>
  <c r="BI10" i="18"/>
  <c r="BJ10" i="18"/>
  <c r="BK10" i="18"/>
  <c r="BL10" i="18"/>
  <c r="BM10" i="18"/>
  <c r="BN10" i="18"/>
  <c r="BO10" i="18"/>
  <c r="BO4" i="18" s="1"/>
  <c r="BP10" i="18"/>
  <c r="BQ10" i="18"/>
  <c r="BR10" i="18"/>
  <c r="BS10" i="18"/>
  <c r="BT10" i="18"/>
  <c r="BU10" i="18"/>
  <c r="BV10" i="18"/>
  <c r="BW10" i="18"/>
  <c r="BW4" i="18" s="1"/>
  <c r="BX10" i="18"/>
  <c r="BY10" i="18"/>
  <c r="BZ10" i="18"/>
  <c r="CA10" i="18"/>
  <c r="CB10" i="18"/>
  <c r="C11" i="18"/>
  <c r="E11" i="18"/>
  <c r="D11" i="18" s="1"/>
  <c r="F11" i="18"/>
  <c r="G11" i="18"/>
  <c r="H11" i="18"/>
  <c r="I11" i="18"/>
  <c r="J11" i="18"/>
  <c r="K11" i="18"/>
  <c r="L11" i="18"/>
  <c r="M11" i="18"/>
  <c r="N11" i="18"/>
  <c r="O11" i="18"/>
  <c r="P11" i="18"/>
  <c r="Q11" i="18"/>
  <c r="R11" i="18"/>
  <c r="S11" i="18"/>
  <c r="T11" i="18"/>
  <c r="U11" i="18"/>
  <c r="V11" i="18"/>
  <c r="W11" i="18"/>
  <c r="X11" i="18"/>
  <c r="Y11" i="18"/>
  <c r="Z11" i="18"/>
  <c r="AA11" i="18"/>
  <c r="AB11" i="18"/>
  <c r="AC11" i="18"/>
  <c r="AD11" i="18"/>
  <c r="AE11" i="18"/>
  <c r="AF11" i="18"/>
  <c r="AG11" i="18"/>
  <c r="AH11" i="18"/>
  <c r="AI11" i="18"/>
  <c r="AJ11" i="18"/>
  <c r="AK11" i="18"/>
  <c r="AL11" i="18"/>
  <c r="AM11" i="18"/>
  <c r="AN11" i="18"/>
  <c r="AO11" i="18"/>
  <c r="AP11" i="18"/>
  <c r="AQ11" i="18"/>
  <c r="AR11" i="18"/>
  <c r="AS11" i="18"/>
  <c r="AT11" i="18"/>
  <c r="AU11" i="18"/>
  <c r="AV11" i="18"/>
  <c r="AW11" i="18"/>
  <c r="AX11" i="18"/>
  <c r="AY11" i="18"/>
  <c r="AZ11" i="18"/>
  <c r="BA11" i="18"/>
  <c r="BB11" i="18"/>
  <c r="BC11" i="18"/>
  <c r="BD11" i="18"/>
  <c r="BE11" i="18"/>
  <c r="BF11" i="18"/>
  <c r="BG11" i="18"/>
  <c r="BH11" i="18"/>
  <c r="BI11" i="18"/>
  <c r="BJ11" i="18"/>
  <c r="BK11" i="18"/>
  <c r="BL11" i="18"/>
  <c r="BM11" i="18"/>
  <c r="BN11" i="18"/>
  <c r="BO11" i="18"/>
  <c r="BP11" i="18"/>
  <c r="BQ11" i="18"/>
  <c r="BR11" i="18"/>
  <c r="BS11" i="18"/>
  <c r="BT11" i="18"/>
  <c r="BU11" i="18"/>
  <c r="BV11" i="18"/>
  <c r="BW11" i="18"/>
  <c r="BX11" i="18"/>
  <c r="BY11" i="18"/>
  <c r="BZ11" i="18"/>
  <c r="CA11" i="18"/>
  <c r="CB11" i="18"/>
  <c r="E12" i="18"/>
  <c r="D12" i="18" s="1"/>
  <c r="F12" i="18"/>
  <c r="G12" i="18"/>
  <c r="H12" i="18"/>
  <c r="I12" i="18"/>
  <c r="J12" i="18"/>
  <c r="K12" i="18"/>
  <c r="L12" i="18"/>
  <c r="M12" i="18"/>
  <c r="N12" i="18"/>
  <c r="O12" i="18"/>
  <c r="P12" i="18"/>
  <c r="Q12" i="18"/>
  <c r="R12" i="18"/>
  <c r="S12" i="18"/>
  <c r="T12" i="18"/>
  <c r="U12" i="18"/>
  <c r="V12" i="18"/>
  <c r="W12" i="18"/>
  <c r="X12" i="18"/>
  <c r="Y12" i="18"/>
  <c r="Z12" i="18"/>
  <c r="AA12" i="18"/>
  <c r="AB12" i="18"/>
  <c r="AC12" i="18"/>
  <c r="AD12" i="18"/>
  <c r="AE12" i="18"/>
  <c r="AF12" i="18"/>
  <c r="AG12" i="18"/>
  <c r="AH12" i="18"/>
  <c r="AI12" i="18"/>
  <c r="AJ12" i="18"/>
  <c r="AK12" i="18"/>
  <c r="AL12" i="18"/>
  <c r="AM12" i="18"/>
  <c r="AN12" i="18"/>
  <c r="AO12" i="18"/>
  <c r="AP12" i="18"/>
  <c r="AQ12" i="18"/>
  <c r="AR12" i="18"/>
  <c r="AS12" i="18"/>
  <c r="AT12" i="18"/>
  <c r="AU12" i="18"/>
  <c r="AV12" i="18"/>
  <c r="AW12" i="18"/>
  <c r="AX12" i="18"/>
  <c r="AY12" i="18"/>
  <c r="AZ12" i="18"/>
  <c r="BA12" i="18"/>
  <c r="BB12" i="18"/>
  <c r="BC12" i="18"/>
  <c r="BD12" i="18"/>
  <c r="BE12" i="18"/>
  <c r="BF12" i="18"/>
  <c r="BG12" i="18"/>
  <c r="BH12" i="18"/>
  <c r="BI12" i="18"/>
  <c r="BJ12" i="18"/>
  <c r="BK12" i="18"/>
  <c r="BL12" i="18"/>
  <c r="BM12" i="18"/>
  <c r="BN12" i="18"/>
  <c r="BO12" i="18"/>
  <c r="BP12" i="18"/>
  <c r="BQ12" i="18"/>
  <c r="BR12" i="18"/>
  <c r="BS12" i="18"/>
  <c r="BT12" i="18"/>
  <c r="BU12" i="18"/>
  <c r="BV12" i="18"/>
  <c r="BW12" i="18"/>
  <c r="BX12" i="18"/>
  <c r="BY12" i="18"/>
  <c r="BZ12" i="18"/>
  <c r="CA12" i="18"/>
  <c r="CB12" i="18"/>
  <c r="E13" i="18"/>
  <c r="D13" i="18" s="1"/>
  <c r="F13" i="18"/>
  <c r="G13" i="18"/>
  <c r="H13" i="18"/>
  <c r="I13" i="18"/>
  <c r="J13" i="18"/>
  <c r="K13" i="18"/>
  <c r="L13" i="18"/>
  <c r="M13" i="18"/>
  <c r="N13" i="18"/>
  <c r="O13" i="18"/>
  <c r="P13" i="18"/>
  <c r="Q13" i="18"/>
  <c r="R13" i="18"/>
  <c r="S13" i="18"/>
  <c r="T13" i="18"/>
  <c r="U13" i="18"/>
  <c r="V13" i="18"/>
  <c r="W13" i="18"/>
  <c r="X13" i="18"/>
  <c r="Y13" i="18"/>
  <c r="Z13" i="18"/>
  <c r="AA13" i="18"/>
  <c r="AB13" i="18"/>
  <c r="AC13" i="18"/>
  <c r="AD13" i="18"/>
  <c r="AE13" i="18"/>
  <c r="AF13" i="18"/>
  <c r="AG13" i="18"/>
  <c r="AH13" i="18"/>
  <c r="AI13" i="18"/>
  <c r="AJ13" i="18"/>
  <c r="AK13" i="18"/>
  <c r="AL13" i="18"/>
  <c r="AM13" i="18"/>
  <c r="AN13" i="18"/>
  <c r="AO13" i="18"/>
  <c r="AP13" i="18"/>
  <c r="AQ13" i="18"/>
  <c r="AR13" i="18"/>
  <c r="AS13" i="18"/>
  <c r="AT13" i="18"/>
  <c r="AU13" i="18"/>
  <c r="AV13" i="18"/>
  <c r="AW13" i="18"/>
  <c r="AX13" i="18"/>
  <c r="AY13" i="18"/>
  <c r="AZ13" i="18"/>
  <c r="BA13" i="18"/>
  <c r="BB13" i="18"/>
  <c r="BC13" i="18"/>
  <c r="BD13" i="18"/>
  <c r="BE13" i="18"/>
  <c r="BF13" i="18"/>
  <c r="BG13" i="18"/>
  <c r="BH13" i="18"/>
  <c r="BI13" i="18"/>
  <c r="BJ13" i="18"/>
  <c r="BK13" i="18"/>
  <c r="BL13" i="18"/>
  <c r="BM13" i="18"/>
  <c r="BN13" i="18"/>
  <c r="BO13" i="18"/>
  <c r="BP13" i="18"/>
  <c r="BQ13" i="18"/>
  <c r="BR13" i="18"/>
  <c r="BS13" i="18"/>
  <c r="BT13" i="18"/>
  <c r="BU13" i="18"/>
  <c r="BV13" i="18"/>
  <c r="BW13" i="18"/>
  <c r="BX13" i="18"/>
  <c r="BY13" i="18"/>
  <c r="BZ13" i="18"/>
  <c r="CA13" i="18"/>
  <c r="CB13" i="18"/>
  <c r="E14" i="18"/>
  <c r="D14" i="18" s="1"/>
  <c r="F14" i="18"/>
  <c r="G14" i="18"/>
  <c r="H14" i="18"/>
  <c r="I14" i="18"/>
  <c r="J14" i="18"/>
  <c r="K14" i="18"/>
  <c r="L14" i="18"/>
  <c r="M14" i="18"/>
  <c r="N14" i="18"/>
  <c r="O14" i="18"/>
  <c r="P14" i="18"/>
  <c r="Q14" i="18"/>
  <c r="R14" i="18"/>
  <c r="S14" i="18"/>
  <c r="T14" i="18"/>
  <c r="U14" i="18"/>
  <c r="V14" i="18"/>
  <c r="W14" i="18"/>
  <c r="X14" i="18"/>
  <c r="Y14" i="18"/>
  <c r="Z14" i="18"/>
  <c r="AA14" i="18"/>
  <c r="AB14" i="18"/>
  <c r="AC14" i="18"/>
  <c r="AD14" i="18"/>
  <c r="AE14" i="18"/>
  <c r="AF14" i="18"/>
  <c r="AG14" i="18"/>
  <c r="AH14" i="18"/>
  <c r="AI14" i="18"/>
  <c r="AJ14" i="18"/>
  <c r="AK14" i="18"/>
  <c r="AL14" i="18"/>
  <c r="AM14" i="18"/>
  <c r="AN14" i="18"/>
  <c r="AO14" i="18"/>
  <c r="AP14" i="18"/>
  <c r="AQ14" i="18"/>
  <c r="AR14" i="18"/>
  <c r="AS14" i="18"/>
  <c r="AT14" i="18"/>
  <c r="AU14" i="18"/>
  <c r="AV14" i="18"/>
  <c r="AW14" i="18"/>
  <c r="AX14" i="18"/>
  <c r="AY14" i="18"/>
  <c r="AZ14" i="18"/>
  <c r="BA14" i="18"/>
  <c r="BB14" i="18"/>
  <c r="BC14" i="18"/>
  <c r="BD14" i="18"/>
  <c r="BE14" i="18"/>
  <c r="BF14" i="18"/>
  <c r="BG14" i="18"/>
  <c r="BH14" i="18"/>
  <c r="BI14" i="18"/>
  <c r="BJ14" i="18"/>
  <c r="BK14" i="18"/>
  <c r="BL14" i="18"/>
  <c r="BM14" i="18"/>
  <c r="BN14" i="18"/>
  <c r="BO14" i="18"/>
  <c r="BP14" i="18"/>
  <c r="BQ14" i="18"/>
  <c r="BR14" i="18"/>
  <c r="BS14" i="18"/>
  <c r="BT14" i="18"/>
  <c r="BU14" i="18"/>
  <c r="BV14" i="18"/>
  <c r="BW14" i="18"/>
  <c r="BX14" i="18"/>
  <c r="BY14" i="18"/>
  <c r="BZ14" i="18"/>
  <c r="CA14" i="18"/>
  <c r="CB14" i="18"/>
  <c r="E15" i="18"/>
  <c r="F15" i="18"/>
  <c r="D15" i="18" s="1"/>
  <c r="G15" i="18"/>
  <c r="H15" i="18"/>
  <c r="I15" i="18"/>
  <c r="J15" i="18"/>
  <c r="K15" i="18"/>
  <c r="L15" i="18"/>
  <c r="M15" i="18"/>
  <c r="N15" i="18"/>
  <c r="O15" i="18"/>
  <c r="P15" i="18"/>
  <c r="Q15" i="18"/>
  <c r="R15" i="18"/>
  <c r="S15" i="18"/>
  <c r="T15" i="18"/>
  <c r="U15" i="18"/>
  <c r="V15" i="18"/>
  <c r="W15" i="18"/>
  <c r="X15" i="18"/>
  <c r="Y15" i="18"/>
  <c r="Z15" i="18"/>
  <c r="AA15" i="18"/>
  <c r="AB15" i="18"/>
  <c r="AC15" i="18"/>
  <c r="AD15" i="18"/>
  <c r="AE15" i="18"/>
  <c r="AF15" i="18"/>
  <c r="AG15" i="18"/>
  <c r="AH15" i="18"/>
  <c r="AI15" i="18"/>
  <c r="AJ15" i="18"/>
  <c r="AK15" i="18"/>
  <c r="AL15" i="18"/>
  <c r="AM15" i="18"/>
  <c r="AN15" i="18"/>
  <c r="AO15" i="18"/>
  <c r="AP15" i="18"/>
  <c r="AQ15" i="18"/>
  <c r="AR15" i="18"/>
  <c r="AS15" i="18"/>
  <c r="AT15" i="18"/>
  <c r="AU15" i="18"/>
  <c r="AV15" i="18"/>
  <c r="AW15" i="18"/>
  <c r="AX15" i="18"/>
  <c r="AY15" i="18"/>
  <c r="AZ15" i="18"/>
  <c r="BA15" i="18"/>
  <c r="BB15" i="18"/>
  <c r="BC15" i="18"/>
  <c r="BD15" i="18"/>
  <c r="BE15" i="18"/>
  <c r="BF15" i="18"/>
  <c r="BG15" i="18"/>
  <c r="BH15" i="18"/>
  <c r="BI15" i="18"/>
  <c r="BJ15" i="18"/>
  <c r="BK15" i="18"/>
  <c r="BL15" i="18"/>
  <c r="BM15" i="18"/>
  <c r="BN15" i="18"/>
  <c r="BO15" i="18"/>
  <c r="BP15" i="18"/>
  <c r="BQ15" i="18"/>
  <c r="BR15" i="18"/>
  <c r="BS15" i="18"/>
  <c r="BT15" i="18"/>
  <c r="BU15" i="18"/>
  <c r="BV15" i="18"/>
  <c r="BW15" i="18"/>
  <c r="BX15" i="18"/>
  <c r="BY15" i="18"/>
  <c r="BZ15" i="18"/>
  <c r="CA15" i="18"/>
  <c r="CB15" i="18"/>
  <c r="F16" i="18"/>
  <c r="G16" i="18"/>
  <c r="H16" i="18"/>
  <c r="I16" i="18"/>
  <c r="J16" i="18"/>
  <c r="K16" i="18"/>
  <c r="L16" i="18"/>
  <c r="M16" i="18"/>
  <c r="N16" i="18"/>
  <c r="O16" i="18"/>
  <c r="P16" i="18"/>
  <c r="Q16" i="18"/>
  <c r="R16" i="18"/>
  <c r="S16" i="18"/>
  <c r="T16" i="18"/>
  <c r="U16" i="18"/>
  <c r="V16" i="18"/>
  <c r="W16" i="18"/>
  <c r="X16" i="18"/>
  <c r="Y16" i="18"/>
  <c r="Z16" i="18"/>
  <c r="AA16" i="18"/>
  <c r="AB16" i="18"/>
  <c r="AC16" i="18"/>
  <c r="AD16" i="18"/>
  <c r="AE16" i="18"/>
  <c r="AF16" i="18"/>
  <c r="AG16" i="18"/>
  <c r="AH16" i="18"/>
  <c r="AI16" i="18"/>
  <c r="AJ16" i="18"/>
  <c r="AK16" i="18"/>
  <c r="AL16" i="18"/>
  <c r="AM16" i="18"/>
  <c r="AN16" i="18"/>
  <c r="AO16" i="18"/>
  <c r="AP16" i="18"/>
  <c r="AQ16" i="18"/>
  <c r="AR16" i="18"/>
  <c r="AS16" i="18"/>
  <c r="D16" i="18" s="1"/>
  <c r="AT16" i="18"/>
  <c r="AU16" i="18"/>
  <c r="AV16" i="18"/>
  <c r="AW16" i="18"/>
  <c r="AX16" i="18"/>
  <c r="AY16" i="18"/>
  <c r="AZ16" i="18"/>
  <c r="BA16" i="18"/>
  <c r="BB16" i="18"/>
  <c r="BC16" i="18"/>
  <c r="BD16" i="18"/>
  <c r="BE16" i="18"/>
  <c r="BF16" i="18"/>
  <c r="BG16" i="18"/>
  <c r="BH16" i="18"/>
  <c r="BI16" i="18"/>
  <c r="BJ16" i="18"/>
  <c r="BK16" i="18"/>
  <c r="BL16" i="18"/>
  <c r="BM16" i="18"/>
  <c r="BN16" i="18"/>
  <c r="BO16" i="18"/>
  <c r="BP16" i="18"/>
  <c r="BQ16" i="18"/>
  <c r="BR16" i="18"/>
  <c r="BS16" i="18"/>
  <c r="BT16" i="18"/>
  <c r="BU16" i="18"/>
  <c r="BV16" i="18"/>
  <c r="BW16" i="18"/>
  <c r="BX16" i="18"/>
  <c r="BY16" i="18"/>
  <c r="BZ16" i="18"/>
  <c r="CA16" i="18"/>
  <c r="CB16" i="18"/>
  <c r="E17" i="18"/>
  <c r="D17" i="18" s="1"/>
  <c r="F17" i="18"/>
  <c r="G17" i="18"/>
  <c r="H17" i="18"/>
  <c r="I17" i="18"/>
  <c r="J17" i="18"/>
  <c r="K17" i="18"/>
  <c r="L17" i="18"/>
  <c r="M17" i="18"/>
  <c r="N17" i="18"/>
  <c r="O17" i="18"/>
  <c r="P17" i="18"/>
  <c r="Q17" i="18"/>
  <c r="R17" i="18"/>
  <c r="S17" i="18"/>
  <c r="T17" i="18"/>
  <c r="U17" i="18"/>
  <c r="V17" i="18"/>
  <c r="W17" i="18"/>
  <c r="X17" i="18"/>
  <c r="Y17" i="18"/>
  <c r="Z17" i="18"/>
  <c r="AA17" i="18"/>
  <c r="AB17" i="18"/>
  <c r="AC17" i="18"/>
  <c r="AD17" i="18"/>
  <c r="AE17" i="18"/>
  <c r="AF17" i="18"/>
  <c r="AG17" i="18"/>
  <c r="AH17" i="18"/>
  <c r="AI17" i="18"/>
  <c r="AJ17" i="18"/>
  <c r="AK17" i="18"/>
  <c r="AL17" i="18"/>
  <c r="AM17" i="18"/>
  <c r="AN17" i="18"/>
  <c r="AO17" i="18"/>
  <c r="AP17" i="18"/>
  <c r="AQ17" i="18"/>
  <c r="AR17" i="18"/>
  <c r="AS17" i="18"/>
  <c r="AT17" i="18"/>
  <c r="AU17" i="18"/>
  <c r="AV17" i="18"/>
  <c r="AW17" i="18"/>
  <c r="AX17" i="18"/>
  <c r="AY17" i="18"/>
  <c r="AZ17" i="18"/>
  <c r="BA17" i="18"/>
  <c r="BB17" i="18"/>
  <c r="BC17" i="18"/>
  <c r="BD17" i="18"/>
  <c r="BE17" i="18"/>
  <c r="BF17" i="18"/>
  <c r="BG17" i="18"/>
  <c r="BH17" i="18"/>
  <c r="BI17" i="18"/>
  <c r="BJ17" i="18"/>
  <c r="BK17" i="18"/>
  <c r="BL17" i="18"/>
  <c r="BM17" i="18"/>
  <c r="BN17" i="18"/>
  <c r="BO17" i="18"/>
  <c r="BP17" i="18"/>
  <c r="BQ17" i="18"/>
  <c r="BR17" i="18"/>
  <c r="BS17" i="18"/>
  <c r="BT17" i="18"/>
  <c r="BU17" i="18"/>
  <c r="BV17" i="18"/>
  <c r="BW17" i="18"/>
  <c r="BX17" i="18"/>
  <c r="BY17" i="18"/>
  <c r="BZ17" i="18"/>
  <c r="CA17" i="18"/>
  <c r="CB17" i="18"/>
  <c r="E18" i="18"/>
  <c r="D18" i="18" s="1"/>
  <c r="F18" i="18"/>
  <c r="G18" i="18"/>
  <c r="H18" i="18"/>
  <c r="I18" i="18"/>
  <c r="J18" i="18"/>
  <c r="K18" i="18"/>
  <c r="L18" i="18"/>
  <c r="M18" i="18"/>
  <c r="N18" i="18"/>
  <c r="O18" i="18"/>
  <c r="P18" i="18"/>
  <c r="Q18" i="18"/>
  <c r="R18" i="18"/>
  <c r="S18" i="18"/>
  <c r="T18" i="18"/>
  <c r="U18" i="18"/>
  <c r="V18" i="18"/>
  <c r="W18" i="18"/>
  <c r="X18" i="18"/>
  <c r="Y18" i="18"/>
  <c r="Z18" i="18"/>
  <c r="AA18" i="18"/>
  <c r="AB18" i="18"/>
  <c r="AC18" i="18"/>
  <c r="AD18" i="18"/>
  <c r="AE18" i="18"/>
  <c r="AF18" i="18"/>
  <c r="AG18" i="18"/>
  <c r="AH18" i="18"/>
  <c r="AI18" i="18"/>
  <c r="AJ18" i="18"/>
  <c r="AK18" i="18"/>
  <c r="AL18" i="18"/>
  <c r="AM18" i="18"/>
  <c r="AN18" i="18"/>
  <c r="AO18" i="18"/>
  <c r="AP18" i="18"/>
  <c r="AQ18" i="18"/>
  <c r="AR18" i="18"/>
  <c r="AS18" i="18"/>
  <c r="AT18" i="18"/>
  <c r="AU18" i="18"/>
  <c r="AV18" i="18"/>
  <c r="AW18" i="18"/>
  <c r="AX18" i="18"/>
  <c r="AY18" i="18"/>
  <c r="AZ18" i="18"/>
  <c r="BA18" i="18"/>
  <c r="BB18" i="18"/>
  <c r="BC18" i="18"/>
  <c r="BD18" i="18"/>
  <c r="BE18" i="18"/>
  <c r="BF18" i="18"/>
  <c r="BG18" i="18"/>
  <c r="BH18" i="18"/>
  <c r="BI18" i="18"/>
  <c r="BJ18" i="18"/>
  <c r="BK18" i="18"/>
  <c r="BL18" i="18"/>
  <c r="BM18" i="18"/>
  <c r="BN18" i="18"/>
  <c r="BO18" i="18"/>
  <c r="BP18" i="18"/>
  <c r="BQ18" i="18"/>
  <c r="BR18" i="18"/>
  <c r="BS18" i="18"/>
  <c r="BT18" i="18"/>
  <c r="BU18" i="18"/>
  <c r="BV18" i="18"/>
  <c r="BW18" i="18"/>
  <c r="BX18" i="18"/>
  <c r="BY18" i="18"/>
  <c r="BZ18" i="18"/>
  <c r="CA18" i="18"/>
  <c r="CB18" i="18"/>
  <c r="E19" i="18"/>
  <c r="D19" i="18" s="1"/>
  <c r="F19" i="18"/>
  <c r="G19" i="18"/>
  <c r="H19" i="18"/>
  <c r="I19" i="18"/>
  <c r="J19" i="18"/>
  <c r="K19" i="18"/>
  <c r="L19" i="18"/>
  <c r="M19" i="18"/>
  <c r="N19" i="18"/>
  <c r="O19" i="18"/>
  <c r="P19" i="18"/>
  <c r="Q19" i="18"/>
  <c r="R19" i="18"/>
  <c r="S19" i="18"/>
  <c r="T19" i="18"/>
  <c r="U19" i="18"/>
  <c r="V19" i="18"/>
  <c r="W19" i="18"/>
  <c r="X19" i="18"/>
  <c r="Y19" i="18"/>
  <c r="Z19" i="18"/>
  <c r="AA19" i="18"/>
  <c r="AB19" i="18"/>
  <c r="AC19" i="18"/>
  <c r="AD19" i="18"/>
  <c r="AE19" i="18"/>
  <c r="AF19" i="18"/>
  <c r="AG19" i="18"/>
  <c r="AH19" i="18"/>
  <c r="AI19" i="18"/>
  <c r="AJ19" i="18"/>
  <c r="AK19" i="18"/>
  <c r="AL19" i="18"/>
  <c r="AM19" i="18"/>
  <c r="AN19" i="18"/>
  <c r="AO19" i="18"/>
  <c r="AP19" i="18"/>
  <c r="AQ19" i="18"/>
  <c r="AR19" i="18"/>
  <c r="AS19" i="18"/>
  <c r="AT19" i="18"/>
  <c r="AU19" i="18"/>
  <c r="AV19" i="18"/>
  <c r="AW19" i="18"/>
  <c r="AX19" i="18"/>
  <c r="AY19" i="18"/>
  <c r="AZ19" i="18"/>
  <c r="BA19" i="18"/>
  <c r="BB19" i="18"/>
  <c r="BC19" i="18"/>
  <c r="BD19" i="18"/>
  <c r="BE19" i="18"/>
  <c r="BF19" i="18"/>
  <c r="BG19" i="18"/>
  <c r="BH19" i="18"/>
  <c r="BI19" i="18"/>
  <c r="BJ19" i="18"/>
  <c r="BK19" i="18"/>
  <c r="BL19" i="18"/>
  <c r="BM19" i="18"/>
  <c r="BN19" i="18"/>
  <c r="BO19" i="18"/>
  <c r="BP19" i="18"/>
  <c r="BQ19" i="18"/>
  <c r="BR19" i="18"/>
  <c r="BS19" i="18"/>
  <c r="BT19" i="18"/>
  <c r="BU19" i="18"/>
  <c r="BV19" i="18"/>
  <c r="BW19" i="18"/>
  <c r="BX19" i="18"/>
  <c r="BY19" i="18"/>
  <c r="BZ19" i="18"/>
  <c r="CA19" i="18"/>
  <c r="CB19" i="18"/>
  <c r="E20" i="18"/>
  <c r="D20" i="18" s="1"/>
  <c r="F20" i="18"/>
  <c r="G20" i="18"/>
  <c r="H20" i="18"/>
  <c r="I20" i="18"/>
  <c r="J20" i="18"/>
  <c r="K20" i="18"/>
  <c r="L20" i="18"/>
  <c r="M20" i="18"/>
  <c r="N20" i="18"/>
  <c r="O20" i="18"/>
  <c r="P20" i="18"/>
  <c r="Q20" i="18"/>
  <c r="R20" i="18"/>
  <c r="S20" i="18"/>
  <c r="T20" i="18"/>
  <c r="U20" i="18"/>
  <c r="V20" i="18"/>
  <c r="W20" i="18"/>
  <c r="X20" i="18"/>
  <c r="Y20" i="18"/>
  <c r="Z20" i="18"/>
  <c r="AA20" i="18"/>
  <c r="AB20" i="18"/>
  <c r="AC20" i="18"/>
  <c r="AD20" i="18"/>
  <c r="AE20" i="18"/>
  <c r="AF20" i="18"/>
  <c r="AG20" i="18"/>
  <c r="AH20" i="18"/>
  <c r="AI20" i="18"/>
  <c r="AJ20" i="18"/>
  <c r="AK20" i="18"/>
  <c r="AL20" i="18"/>
  <c r="AM20" i="18"/>
  <c r="AN20" i="18"/>
  <c r="AO20" i="18"/>
  <c r="AP20" i="18"/>
  <c r="AQ20" i="18"/>
  <c r="AR20" i="18"/>
  <c r="AS20" i="18"/>
  <c r="AT20" i="18"/>
  <c r="AU20" i="18"/>
  <c r="AV20" i="18"/>
  <c r="AW20" i="18"/>
  <c r="AX20" i="18"/>
  <c r="AY20" i="18"/>
  <c r="AZ20" i="18"/>
  <c r="BA20" i="18"/>
  <c r="BB20" i="18"/>
  <c r="BC20" i="18"/>
  <c r="BD20" i="18"/>
  <c r="BE20" i="18"/>
  <c r="BF20" i="18"/>
  <c r="BG20" i="18"/>
  <c r="BH20" i="18"/>
  <c r="BI20" i="18"/>
  <c r="BJ20" i="18"/>
  <c r="BK20" i="18"/>
  <c r="BL20" i="18"/>
  <c r="BM20" i="18"/>
  <c r="BN20" i="18"/>
  <c r="BO20" i="18"/>
  <c r="BP20" i="18"/>
  <c r="BQ20" i="18"/>
  <c r="BR20" i="18"/>
  <c r="BS20" i="18"/>
  <c r="BT20" i="18"/>
  <c r="BU20" i="18"/>
  <c r="BV20" i="18"/>
  <c r="BW20" i="18"/>
  <c r="BX20" i="18"/>
  <c r="BY20" i="18"/>
  <c r="BZ20" i="18"/>
  <c r="CA20" i="18"/>
  <c r="CB20" i="18"/>
  <c r="E21" i="18"/>
  <c r="F21" i="18"/>
  <c r="G21" i="18"/>
  <c r="H21" i="18"/>
  <c r="I21" i="18"/>
  <c r="J21" i="18"/>
  <c r="K21" i="18"/>
  <c r="L21" i="18"/>
  <c r="L4" i="18" s="1"/>
  <c r="M21" i="18"/>
  <c r="N21" i="18"/>
  <c r="O21" i="18"/>
  <c r="P21" i="18"/>
  <c r="Q21" i="18"/>
  <c r="R21" i="18"/>
  <c r="S21" i="18"/>
  <c r="T21" i="18"/>
  <c r="T4" i="18" s="1"/>
  <c r="U21" i="18"/>
  <c r="V21" i="18"/>
  <c r="W21" i="18"/>
  <c r="X21" i="18"/>
  <c r="Y21" i="18"/>
  <c r="Z21" i="18"/>
  <c r="AA21" i="18"/>
  <c r="AB21" i="18"/>
  <c r="AB4" i="18" s="1"/>
  <c r="AC21" i="18"/>
  <c r="AD21" i="18"/>
  <c r="AE21" i="18"/>
  <c r="AF21" i="18"/>
  <c r="AG21" i="18"/>
  <c r="AH21" i="18"/>
  <c r="AI21" i="18"/>
  <c r="AJ21" i="18"/>
  <c r="AJ4" i="18" s="1"/>
  <c r="AK21" i="18"/>
  <c r="AL21" i="18"/>
  <c r="AM21" i="18"/>
  <c r="AN21" i="18"/>
  <c r="AO21" i="18"/>
  <c r="AP21" i="18"/>
  <c r="AQ21" i="18"/>
  <c r="AR21" i="18"/>
  <c r="AR4" i="18" s="1"/>
  <c r="AS21" i="18"/>
  <c r="AT21" i="18"/>
  <c r="AU21" i="18"/>
  <c r="AV21" i="18"/>
  <c r="AW21" i="18"/>
  <c r="AX21" i="18"/>
  <c r="AY21" i="18"/>
  <c r="AZ21" i="18"/>
  <c r="AZ4" i="18" s="1"/>
  <c r="BA21" i="18"/>
  <c r="BB21" i="18"/>
  <c r="BC21" i="18"/>
  <c r="BD21" i="18"/>
  <c r="BE21" i="18"/>
  <c r="BF21" i="18"/>
  <c r="BG21" i="18"/>
  <c r="BH21" i="18"/>
  <c r="BH4" i="18" s="1"/>
  <c r="BI21" i="18"/>
  <c r="BJ21" i="18"/>
  <c r="BK21" i="18"/>
  <c r="BL21" i="18"/>
  <c r="BM21" i="18"/>
  <c r="BN21" i="18"/>
  <c r="BO21" i="18"/>
  <c r="BP21" i="18"/>
  <c r="BP4" i="18" s="1"/>
  <c r="BQ21" i="18"/>
  <c r="BR21" i="18"/>
  <c r="BS21" i="18"/>
  <c r="BT21" i="18"/>
  <c r="BU21" i="18"/>
  <c r="BV21" i="18"/>
  <c r="BW21" i="18"/>
  <c r="BX21" i="18"/>
  <c r="BX4" i="18" s="1"/>
  <c r="BY21" i="18"/>
  <c r="BZ21" i="18"/>
  <c r="CA21" i="18"/>
  <c r="CB21" i="18"/>
  <c r="F22" i="18"/>
  <c r="D22" i="18" s="1"/>
  <c r="G22" i="18"/>
  <c r="H22" i="18"/>
  <c r="I22" i="18"/>
  <c r="J22" i="18"/>
  <c r="K22" i="18"/>
  <c r="L22" i="18"/>
  <c r="M22" i="18"/>
  <c r="N22" i="18"/>
  <c r="O22" i="18"/>
  <c r="P22" i="18"/>
  <c r="Q22" i="18"/>
  <c r="R22" i="18"/>
  <c r="S22" i="18"/>
  <c r="T22" i="18"/>
  <c r="U22" i="18"/>
  <c r="V22" i="18"/>
  <c r="W22" i="18"/>
  <c r="X22" i="18"/>
  <c r="Y22" i="18"/>
  <c r="Z22" i="18"/>
  <c r="AA22" i="18"/>
  <c r="AB22" i="18"/>
  <c r="AC22" i="18"/>
  <c r="AD22" i="18"/>
  <c r="AE22" i="18"/>
  <c r="AF22" i="18"/>
  <c r="AG22" i="18"/>
  <c r="AH22" i="18"/>
  <c r="AI22" i="18"/>
  <c r="AJ22" i="18"/>
  <c r="AK22" i="18"/>
  <c r="AL22" i="18"/>
  <c r="AM22" i="18"/>
  <c r="AN22" i="18"/>
  <c r="AO22" i="18"/>
  <c r="AP22" i="18"/>
  <c r="AQ22" i="18"/>
  <c r="AR22" i="18"/>
  <c r="AS22" i="18"/>
  <c r="AT22" i="18"/>
  <c r="AU22" i="18"/>
  <c r="AV22" i="18"/>
  <c r="AW22" i="18"/>
  <c r="AX22" i="18"/>
  <c r="AY22" i="18"/>
  <c r="AZ22" i="18"/>
  <c r="BA22" i="18"/>
  <c r="BB22" i="18"/>
  <c r="BC22" i="18"/>
  <c r="BD22" i="18"/>
  <c r="BE22" i="18"/>
  <c r="BF22" i="18"/>
  <c r="BG22" i="18"/>
  <c r="BH22" i="18"/>
  <c r="BI22" i="18"/>
  <c r="BJ22" i="18"/>
  <c r="BK22" i="18"/>
  <c r="BL22" i="18"/>
  <c r="BM22" i="18"/>
  <c r="BN22" i="18"/>
  <c r="BO22" i="18"/>
  <c r="BP22" i="18"/>
  <c r="BQ22" i="18"/>
  <c r="BR22" i="18"/>
  <c r="BS22" i="18"/>
  <c r="BT22" i="18"/>
  <c r="BU22" i="18"/>
  <c r="BV22" i="18"/>
  <c r="BW22" i="18"/>
  <c r="BX22" i="18"/>
  <c r="BY22" i="18"/>
  <c r="BZ22" i="18"/>
  <c r="CA22" i="18"/>
  <c r="CB22" i="18"/>
  <c r="C23" i="18"/>
  <c r="E23" i="18"/>
  <c r="D23" i="18" s="1"/>
  <c r="F23" i="18"/>
  <c r="G23" i="18"/>
  <c r="H23" i="18"/>
  <c r="I23" i="18"/>
  <c r="J23" i="18"/>
  <c r="K23" i="18"/>
  <c r="L23" i="18"/>
  <c r="M23" i="18"/>
  <c r="N23" i="18"/>
  <c r="O23" i="18"/>
  <c r="P23" i="18"/>
  <c r="Q23" i="18"/>
  <c r="R23" i="18"/>
  <c r="S23" i="18"/>
  <c r="T23" i="18"/>
  <c r="U23" i="18"/>
  <c r="V23" i="18"/>
  <c r="W23" i="18"/>
  <c r="X23" i="18"/>
  <c r="Y23" i="18"/>
  <c r="Z23" i="18"/>
  <c r="AA23" i="18"/>
  <c r="AB23" i="18"/>
  <c r="AC23" i="18"/>
  <c r="AD23" i="18"/>
  <c r="AE23" i="18"/>
  <c r="AF23" i="18"/>
  <c r="AG23" i="18"/>
  <c r="AH23" i="18"/>
  <c r="AI23" i="18"/>
  <c r="AJ23" i="18"/>
  <c r="AK23" i="18"/>
  <c r="AL23" i="18"/>
  <c r="AM23" i="18"/>
  <c r="AN23" i="18"/>
  <c r="AO23" i="18"/>
  <c r="AP23" i="18"/>
  <c r="AQ23" i="18"/>
  <c r="AR23" i="18"/>
  <c r="AS23" i="18"/>
  <c r="AT23" i="18"/>
  <c r="AU23" i="18"/>
  <c r="AV23" i="18"/>
  <c r="AW23" i="18"/>
  <c r="AX23" i="18"/>
  <c r="AY23" i="18"/>
  <c r="AZ23" i="18"/>
  <c r="BA23" i="18"/>
  <c r="BB23" i="18"/>
  <c r="BC23" i="18"/>
  <c r="BD23" i="18"/>
  <c r="BE23" i="18"/>
  <c r="BF23" i="18"/>
  <c r="BG23" i="18"/>
  <c r="BH23" i="18"/>
  <c r="BI23" i="18"/>
  <c r="BJ23" i="18"/>
  <c r="BK23" i="18"/>
  <c r="BL23" i="18"/>
  <c r="BM23" i="18"/>
  <c r="BN23" i="18"/>
  <c r="BO23" i="18"/>
  <c r="BP23" i="18"/>
  <c r="BQ23" i="18"/>
  <c r="BR23" i="18"/>
  <c r="BS23" i="18"/>
  <c r="BT23" i="18"/>
  <c r="BU23" i="18"/>
  <c r="BV23" i="18"/>
  <c r="BW23" i="18"/>
  <c r="BX23" i="18"/>
  <c r="BY23" i="18"/>
  <c r="BZ23" i="18"/>
  <c r="CA23" i="18"/>
  <c r="CB23" i="18"/>
  <c r="F24" i="18"/>
  <c r="D24" i="18" s="1"/>
  <c r="G24" i="18"/>
  <c r="H24" i="18"/>
  <c r="I24" i="18"/>
  <c r="J24" i="18"/>
  <c r="K24" i="18"/>
  <c r="L24" i="18"/>
  <c r="M24" i="18"/>
  <c r="N24" i="18"/>
  <c r="O24" i="18"/>
  <c r="P24" i="18"/>
  <c r="Q24" i="18"/>
  <c r="R24" i="18"/>
  <c r="S24" i="18"/>
  <c r="T24" i="18"/>
  <c r="U24" i="18"/>
  <c r="V24" i="18"/>
  <c r="W24" i="18"/>
  <c r="X24" i="18"/>
  <c r="Y24" i="18"/>
  <c r="Z24" i="18"/>
  <c r="AA24" i="18"/>
  <c r="AB24" i="18"/>
  <c r="AC24" i="18"/>
  <c r="AD24" i="18"/>
  <c r="AE24" i="18"/>
  <c r="AF24" i="18"/>
  <c r="AG24" i="18"/>
  <c r="AH24" i="18"/>
  <c r="AI24" i="18"/>
  <c r="AJ24" i="18"/>
  <c r="AK24" i="18"/>
  <c r="AL24" i="18"/>
  <c r="AM24" i="18"/>
  <c r="AN24" i="18"/>
  <c r="AO24" i="18"/>
  <c r="AP24" i="18"/>
  <c r="AQ24" i="18"/>
  <c r="AR24" i="18"/>
  <c r="AS24" i="18"/>
  <c r="AT24" i="18"/>
  <c r="AU24" i="18"/>
  <c r="AV24" i="18"/>
  <c r="AW24" i="18"/>
  <c r="AX24" i="18"/>
  <c r="AY24" i="18"/>
  <c r="AZ24" i="18"/>
  <c r="BA24" i="18"/>
  <c r="BB24" i="18"/>
  <c r="BC24" i="18"/>
  <c r="BD24" i="18"/>
  <c r="BE24" i="18"/>
  <c r="BF24" i="18"/>
  <c r="BG24" i="18"/>
  <c r="BH24" i="18"/>
  <c r="BI24" i="18"/>
  <c r="BJ24" i="18"/>
  <c r="BK24" i="18"/>
  <c r="BL24" i="18"/>
  <c r="BM24" i="18"/>
  <c r="BN24" i="18"/>
  <c r="BO24" i="18"/>
  <c r="BP24" i="18"/>
  <c r="BQ24" i="18"/>
  <c r="BR24" i="18"/>
  <c r="BS24" i="18"/>
  <c r="BT24" i="18"/>
  <c r="BU24" i="18"/>
  <c r="BV24" i="18"/>
  <c r="BW24" i="18"/>
  <c r="BX24" i="18"/>
  <c r="BY24" i="18"/>
  <c r="BZ24" i="18"/>
  <c r="CA24" i="18"/>
  <c r="CB24" i="18"/>
  <c r="F25" i="18"/>
  <c r="D25" i="18" s="1"/>
  <c r="G25" i="18"/>
  <c r="H25" i="18"/>
  <c r="I25" i="18"/>
  <c r="J25" i="18"/>
  <c r="K25" i="18"/>
  <c r="L25" i="18"/>
  <c r="M25" i="18"/>
  <c r="N25" i="18"/>
  <c r="O25" i="18"/>
  <c r="P25" i="18"/>
  <c r="Q25" i="18"/>
  <c r="R25" i="18"/>
  <c r="S25" i="18"/>
  <c r="T25" i="18"/>
  <c r="U25" i="18"/>
  <c r="V25" i="18"/>
  <c r="W25" i="18"/>
  <c r="X25" i="18"/>
  <c r="Y25" i="18"/>
  <c r="Z25" i="18"/>
  <c r="AA25" i="18"/>
  <c r="AB25" i="18"/>
  <c r="AC25" i="18"/>
  <c r="AD25" i="18"/>
  <c r="AE25" i="18"/>
  <c r="AF25" i="18"/>
  <c r="AG25" i="18"/>
  <c r="AH25" i="18"/>
  <c r="AI25" i="18"/>
  <c r="AJ25" i="18"/>
  <c r="AK25" i="18"/>
  <c r="AL25" i="18"/>
  <c r="AM25" i="18"/>
  <c r="AN25" i="18"/>
  <c r="AO25" i="18"/>
  <c r="AP25" i="18"/>
  <c r="AQ25" i="18"/>
  <c r="AR25" i="18"/>
  <c r="AS25" i="18"/>
  <c r="AT25" i="18"/>
  <c r="AU25" i="18"/>
  <c r="AV25" i="18"/>
  <c r="AW25" i="18"/>
  <c r="AX25" i="18"/>
  <c r="AY25" i="18"/>
  <c r="AZ25" i="18"/>
  <c r="BA25" i="18"/>
  <c r="BB25" i="18"/>
  <c r="BC25" i="18"/>
  <c r="BD25" i="18"/>
  <c r="BE25" i="18"/>
  <c r="BF25" i="18"/>
  <c r="BG25" i="18"/>
  <c r="BH25" i="18"/>
  <c r="BI25" i="18"/>
  <c r="BJ25" i="18"/>
  <c r="BK25" i="18"/>
  <c r="BL25" i="18"/>
  <c r="BM25" i="18"/>
  <c r="BN25" i="18"/>
  <c r="BO25" i="18"/>
  <c r="BP25" i="18"/>
  <c r="BQ25" i="18"/>
  <c r="BR25" i="18"/>
  <c r="BS25" i="18"/>
  <c r="BT25" i="18"/>
  <c r="BU25" i="18"/>
  <c r="BV25" i="18"/>
  <c r="BW25" i="18"/>
  <c r="BX25" i="18"/>
  <c r="BY25" i="18"/>
  <c r="BZ25" i="18"/>
  <c r="CA25" i="18"/>
  <c r="CB25" i="18"/>
  <c r="E26" i="18"/>
  <c r="D26" i="18" s="1"/>
  <c r="F26" i="18"/>
  <c r="G26" i="18"/>
  <c r="H26" i="18"/>
  <c r="I26" i="18"/>
  <c r="J26" i="18"/>
  <c r="K26" i="18"/>
  <c r="L26" i="18"/>
  <c r="M26" i="18"/>
  <c r="N26" i="18"/>
  <c r="O26" i="18"/>
  <c r="P26" i="18"/>
  <c r="Q26" i="18"/>
  <c r="R26" i="18"/>
  <c r="S26" i="18"/>
  <c r="T26" i="18"/>
  <c r="U26" i="18"/>
  <c r="V26" i="18"/>
  <c r="W26" i="18"/>
  <c r="X26" i="18"/>
  <c r="Y26" i="18"/>
  <c r="Z26" i="18"/>
  <c r="AA26" i="18"/>
  <c r="AB26" i="18"/>
  <c r="AC26" i="18"/>
  <c r="AD26" i="18"/>
  <c r="AE26" i="18"/>
  <c r="AF26" i="18"/>
  <c r="AG26" i="18"/>
  <c r="AH26" i="18"/>
  <c r="AI26" i="18"/>
  <c r="AJ26" i="18"/>
  <c r="AK26" i="18"/>
  <c r="AL26" i="18"/>
  <c r="AM26" i="18"/>
  <c r="AN26" i="18"/>
  <c r="AO26" i="18"/>
  <c r="AP26" i="18"/>
  <c r="AQ26" i="18"/>
  <c r="AR26" i="18"/>
  <c r="AS26" i="18"/>
  <c r="AT26" i="18"/>
  <c r="AU26" i="18"/>
  <c r="AV26" i="18"/>
  <c r="AW26" i="18"/>
  <c r="AX26" i="18"/>
  <c r="AY26" i="18"/>
  <c r="AZ26" i="18"/>
  <c r="BA26" i="18"/>
  <c r="BB26" i="18"/>
  <c r="BC26" i="18"/>
  <c r="BD26" i="18"/>
  <c r="BE26" i="18"/>
  <c r="BF26" i="18"/>
  <c r="BG26" i="18"/>
  <c r="BH26" i="18"/>
  <c r="BI26" i="18"/>
  <c r="BJ26" i="18"/>
  <c r="BK26" i="18"/>
  <c r="BL26" i="18"/>
  <c r="BM26" i="18"/>
  <c r="BN26" i="18"/>
  <c r="BO26" i="18"/>
  <c r="BP26" i="18"/>
  <c r="BQ26" i="18"/>
  <c r="BR26" i="18"/>
  <c r="BS26" i="18"/>
  <c r="BT26" i="18"/>
  <c r="BU26" i="18"/>
  <c r="BV26" i="18"/>
  <c r="BW26" i="18"/>
  <c r="BX26" i="18"/>
  <c r="BY26" i="18"/>
  <c r="BZ26" i="18"/>
  <c r="CA26" i="18"/>
  <c r="CB26" i="18"/>
  <c r="E27" i="18"/>
  <c r="D27" i="18" s="1"/>
  <c r="F27" i="18"/>
  <c r="G27" i="18"/>
  <c r="H27" i="18"/>
  <c r="I27" i="18"/>
  <c r="J27" i="18"/>
  <c r="K27" i="18"/>
  <c r="L27" i="18"/>
  <c r="M27" i="18"/>
  <c r="N27" i="18"/>
  <c r="O27" i="18"/>
  <c r="P27" i="18"/>
  <c r="Q27" i="18"/>
  <c r="R27" i="18"/>
  <c r="S27" i="18"/>
  <c r="T27" i="18"/>
  <c r="U27" i="18"/>
  <c r="V27" i="18"/>
  <c r="W27" i="18"/>
  <c r="X27" i="18"/>
  <c r="Y27" i="18"/>
  <c r="Z27" i="18"/>
  <c r="AA27" i="18"/>
  <c r="AB27" i="18"/>
  <c r="AC27" i="18"/>
  <c r="AD27" i="18"/>
  <c r="AE27" i="18"/>
  <c r="AF27" i="18"/>
  <c r="AG27" i="18"/>
  <c r="AH27" i="18"/>
  <c r="AI27" i="18"/>
  <c r="AJ27" i="18"/>
  <c r="AK27" i="18"/>
  <c r="AL27" i="18"/>
  <c r="AM27" i="18"/>
  <c r="AN27" i="18"/>
  <c r="AO27" i="18"/>
  <c r="AP27" i="18"/>
  <c r="AQ27" i="18"/>
  <c r="AR27" i="18"/>
  <c r="AS27" i="18"/>
  <c r="AT27" i="18"/>
  <c r="AU27" i="18"/>
  <c r="AV27" i="18"/>
  <c r="AW27" i="18"/>
  <c r="AX27" i="18"/>
  <c r="AY27" i="18"/>
  <c r="AZ27" i="18"/>
  <c r="BA27" i="18"/>
  <c r="BB27" i="18"/>
  <c r="BC27" i="18"/>
  <c r="BD27" i="18"/>
  <c r="BE27" i="18"/>
  <c r="BF27" i="18"/>
  <c r="BG27" i="18"/>
  <c r="BH27" i="18"/>
  <c r="BI27" i="18"/>
  <c r="BJ27" i="18"/>
  <c r="BK27" i="18"/>
  <c r="BL27" i="18"/>
  <c r="BM27" i="18"/>
  <c r="BN27" i="18"/>
  <c r="BO27" i="18"/>
  <c r="BP27" i="18"/>
  <c r="BQ27" i="18"/>
  <c r="BR27" i="18"/>
  <c r="BS27" i="18"/>
  <c r="BT27" i="18"/>
  <c r="BU27" i="18"/>
  <c r="BV27" i="18"/>
  <c r="BW27" i="18"/>
  <c r="BX27" i="18"/>
  <c r="BY27" i="18"/>
  <c r="BZ27" i="18"/>
  <c r="CA27" i="18"/>
  <c r="CB27" i="18"/>
  <c r="E28" i="18"/>
  <c r="D28" i="18" s="1"/>
  <c r="F28" i="18"/>
  <c r="G28" i="18"/>
  <c r="H28" i="18"/>
  <c r="I28" i="18"/>
  <c r="J28" i="18"/>
  <c r="K28" i="18"/>
  <c r="L28" i="18"/>
  <c r="M28" i="18"/>
  <c r="N28" i="18"/>
  <c r="O28" i="18"/>
  <c r="P28" i="18"/>
  <c r="Q28" i="18"/>
  <c r="R28" i="18"/>
  <c r="S28" i="18"/>
  <c r="T28" i="18"/>
  <c r="U28" i="18"/>
  <c r="V28" i="18"/>
  <c r="W28" i="18"/>
  <c r="X28" i="18"/>
  <c r="Y28" i="18"/>
  <c r="Z28" i="18"/>
  <c r="AA28" i="18"/>
  <c r="AB28" i="18"/>
  <c r="AC28" i="18"/>
  <c r="AD28" i="18"/>
  <c r="AE28" i="18"/>
  <c r="AF28" i="18"/>
  <c r="AG28" i="18"/>
  <c r="AH28" i="18"/>
  <c r="AI28" i="18"/>
  <c r="AJ28" i="18"/>
  <c r="AK28" i="18"/>
  <c r="AL28" i="18"/>
  <c r="AM28" i="18"/>
  <c r="AN28" i="18"/>
  <c r="AO28" i="18"/>
  <c r="AP28" i="18"/>
  <c r="AQ28" i="18"/>
  <c r="AR28" i="18"/>
  <c r="AS28" i="18"/>
  <c r="AT28" i="18"/>
  <c r="AU28" i="18"/>
  <c r="AV28" i="18"/>
  <c r="AW28" i="18"/>
  <c r="AX28" i="18"/>
  <c r="AY28" i="18"/>
  <c r="AZ28" i="18"/>
  <c r="BA28" i="18"/>
  <c r="BB28" i="18"/>
  <c r="BC28" i="18"/>
  <c r="BD28" i="18"/>
  <c r="BE28" i="18"/>
  <c r="BF28" i="18"/>
  <c r="BG28" i="18"/>
  <c r="BH28" i="18"/>
  <c r="BI28" i="18"/>
  <c r="BJ28" i="18"/>
  <c r="BK28" i="18"/>
  <c r="BL28" i="18"/>
  <c r="BM28" i="18"/>
  <c r="BN28" i="18"/>
  <c r="BO28" i="18"/>
  <c r="BP28" i="18"/>
  <c r="BQ28" i="18"/>
  <c r="BR28" i="18"/>
  <c r="BS28" i="18"/>
  <c r="BT28" i="18"/>
  <c r="BU28" i="18"/>
  <c r="BV28" i="18"/>
  <c r="BW28" i="18"/>
  <c r="BX28" i="18"/>
  <c r="BY28" i="18"/>
  <c r="BZ28" i="18"/>
  <c r="CA28" i="18"/>
  <c r="CB28" i="18"/>
  <c r="F29" i="18"/>
  <c r="D29" i="18" s="1"/>
  <c r="G29" i="18"/>
  <c r="H29" i="18"/>
  <c r="I29" i="18"/>
  <c r="J29" i="18"/>
  <c r="K29" i="18"/>
  <c r="L29" i="18"/>
  <c r="M29" i="18"/>
  <c r="N29" i="18"/>
  <c r="O29" i="18"/>
  <c r="P29" i="18"/>
  <c r="Q29" i="18"/>
  <c r="R29" i="18"/>
  <c r="S29" i="18"/>
  <c r="T29" i="18"/>
  <c r="U29" i="18"/>
  <c r="V29" i="18"/>
  <c r="W29" i="18"/>
  <c r="X29" i="18"/>
  <c r="Y29" i="18"/>
  <c r="Z29" i="18"/>
  <c r="AA29" i="18"/>
  <c r="AB29" i="18"/>
  <c r="AC29" i="18"/>
  <c r="AD29" i="18"/>
  <c r="AE29" i="18"/>
  <c r="AF29" i="18"/>
  <c r="AG29" i="18"/>
  <c r="AH29" i="18"/>
  <c r="AI29" i="18"/>
  <c r="AJ29" i="18"/>
  <c r="AK29" i="18"/>
  <c r="AL29" i="18"/>
  <c r="AM29" i="18"/>
  <c r="AN29" i="18"/>
  <c r="AO29" i="18"/>
  <c r="AP29" i="18"/>
  <c r="AQ29" i="18"/>
  <c r="AR29" i="18"/>
  <c r="AS29" i="18"/>
  <c r="AT29" i="18"/>
  <c r="AU29" i="18"/>
  <c r="AV29" i="18"/>
  <c r="AW29" i="18"/>
  <c r="AX29" i="18"/>
  <c r="AY29" i="18"/>
  <c r="AZ29" i="18"/>
  <c r="BA29" i="18"/>
  <c r="BB29" i="18"/>
  <c r="BC29" i="18"/>
  <c r="BD29" i="18"/>
  <c r="BE29" i="18"/>
  <c r="BF29" i="18"/>
  <c r="BG29" i="18"/>
  <c r="BH29" i="18"/>
  <c r="BI29" i="18"/>
  <c r="BJ29" i="18"/>
  <c r="BK29" i="18"/>
  <c r="BL29" i="18"/>
  <c r="BM29" i="18"/>
  <c r="BN29" i="18"/>
  <c r="BO29" i="18"/>
  <c r="BP29" i="18"/>
  <c r="BQ29" i="18"/>
  <c r="BR29" i="18"/>
  <c r="BS29" i="18"/>
  <c r="BT29" i="18"/>
  <c r="BU29" i="18"/>
  <c r="BV29" i="18"/>
  <c r="BW29" i="18"/>
  <c r="BX29" i="18"/>
  <c r="BY29" i="18"/>
  <c r="BZ29" i="18"/>
  <c r="CA29" i="18"/>
  <c r="CB29" i="18"/>
  <c r="E30" i="18"/>
  <c r="D30" i="18" s="1"/>
  <c r="F30" i="18"/>
  <c r="G30" i="18"/>
  <c r="H30" i="18"/>
  <c r="I30" i="18"/>
  <c r="J30" i="18"/>
  <c r="K30" i="18"/>
  <c r="L30" i="18"/>
  <c r="M30" i="18"/>
  <c r="N30" i="18"/>
  <c r="O30" i="18"/>
  <c r="P30" i="18"/>
  <c r="Q30" i="18"/>
  <c r="R30" i="18"/>
  <c r="S30" i="18"/>
  <c r="T30" i="18"/>
  <c r="U30" i="18"/>
  <c r="V30" i="18"/>
  <c r="W30" i="18"/>
  <c r="X30" i="18"/>
  <c r="Y30" i="18"/>
  <c r="Z30" i="18"/>
  <c r="AA30" i="18"/>
  <c r="AB30" i="18"/>
  <c r="AC30" i="18"/>
  <c r="AD30" i="18"/>
  <c r="AE30" i="18"/>
  <c r="AF30" i="18"/>
  <c r="AG30" i="18"/>
  <c r="AH30" i="18"/>
  <c r="AI30" i="18"/>
  <c r="AJ30" i="18"/>
  <c r="AK30" i="18"/>
  <c r="AL30" i="18"/>
  <c r="AM30" i="18"/>
  <c r="AN30" i="18"/>
  <c r="AO30" i="18"/>
  <c r="AP30" i="18"/>
  <c r="AQ30" i="18"/>
  <c r="AR30" i="18"/>
  <c r="AS30" i="18"/>
  <c r="AT30" i="18"/>
  <c r="AU30" i="18"/>
  <c r="AV30" i="18"/>
  <c r="AW30" i="18"/>
  <c r="AX30" i="18"/>
  <c r="AY30" i="18"/>
  <c r="AZ30" i="18"/>
  <c r="BA30" i="18"/>
  <c r="BB30" i="18"/>
  <c r="BC30" i="18"/>
  <c r="BD30" i="18"/>
  <c r="BE30" i="18"/>
  <c r="BF30" i="18"/>
  <c r="BG30" i="18"/>
  <c r="BH30" i="18"/>
  <c r="BI30" i="18"/>
  <c r="BJ30" i="18"/>
  <c r="BK30" i="18"/>
  <c r="BL30" i="18"/>
  <c r="BM30" i="18"/>
  <c r="BN30" i="18"/>
  <c r="BO30" i="18"/>
  <c r="BP30" i="18"/>
  <c r="BQ30" i="18"/>
  <c r="BR30" i="18"/>
  <c r="BS30" i="18"/>
  <c r="BT30" i="18"/>
  <c r="BU30" i="18"/>
  <c r="BV30" i="18"/>
  <c r="BW30" i="18"/>
  <c r="BX30" i="18"/>
  <c r="BY30" i="18"/>
  <c r="BZ30" i="18"/>
  <c r="CA30" i="18"/>
  <c r="CB30" i="18"/>
  <c r="E31" i="18"/>
  <c r="D31" i="18" s="1"/>
  <c r="F31" i="18"/>
  <c r="G31" i="18"/>
  <c r="H31" i="18"/>
  <c r="I31" i="18"/>
  <c r="J31" i="18"/>
  <c r="K31" i="18"/>
  <c r="L31" i="18"/>
  <c r="M31" i="18"/>
  <c r="N31" i="18"/>
  <c r="O31" i="18"/>
  <c r="P31" i="18"/>
  <c r="Q31" i="18"/>
  <c r="R31" i="18"/>
  <c r="S31" i="18"/>
  <c r="T31" i="18"/>
  <c r="U31" i="18"/>
  <c r="V31" i="18"/>
  <c r="W31" i="18"/>
  <c r="X31" i="18"/>
  <c r="Y31" i="18"/>
  <c r="Z31" i="18"/>
  <c r="AA31" i="18"/>
  <c r="AB31" i="18"/>
  <c r="AC31" i="18"/>
  <c r="AD31" i="18"/>
  <c r="AE31" i="18"/>
  <c r="AF31" i="18"/>
  <c r="AG31" i="18"/>
  <c r="AH31" i="18"/>
  <c r="AI31" i="18"/>
  <c r="AJ31" i="18"/>
  <c r="AK31" i="18"/>
  <c r="AL31" i="18"/>
  <c r="AM31" i="18"/>
  <c r="AN31" i="18"/>
  <c r="AO31" i="18"/>
  <c r="AP31" i="18"/>
  <c r="AQ31" i="18"/>
  <c r="AR31" i="18"/>
  <c r="AS31" i="18"/>
  <c r="AT31" i="18"/>
  <c r="AU31" i="18"/>
  <c r="AV31" i="18"/>
  <c r="AW31" i="18"/>
  <c r="AX31" i="18"/>
  <c r="AY31" i="18"/>
  <c r="AZ31" i="18"/>
  <c r="BA31" i="18"/>
  <c r="BB31" i="18"/>
  <c r="BC31" i="18"/>
  <c r="BD31" i="18"/>
  <c r="BE31" i="18"/>
  <c r="BF31" i="18"/>
  <c r="BG31" i="18"/>
  <c r="BH31" i="18"/>
  <c r="BI31" i="18"/>
  <c r="BJ31" i="18"/>
  <c r="BK31" i="18"/>
  <c r="BL31" i="18"/>
  <c r="BM31" i="18"/>
  <c r="BN31" i="18"/>
  <c r="BO31" i="18"/>
  <c r="BP31" i="18"/>
  <c r="BQ31" i="18"/>
  <c r="BR31" i="18"/>
  <c r="BS31" i="18"/>
  <c r="BT31" i="18"/>
  <c r="BU31" i="18"/>
  <c r="BV31" i="18"/>
  <c r="BW31" i="18"/>
  <c r="BX31" i="18"/>
  <c r="BY31" i="18"/>
  <c r="BZ31" i="18"/>
  <c r="CA31" i="18"/>
  <c r="CB31" i="18"/>
  <c r="E32" i="18"/>
  <c r="F32" i="18"/>
  <c r="D32" i="18" s="1"/>
  <c r="G32" i="18"/>
  <c r="H32" i="18"/>
  <c r="I32" i="18"/>
  <c r="J32" i="18"/>
  <c r="K32" i="18"/>
  <c r="L32" i="18"/>
  <c r="M32" i="18"/>
  <c r="N32" i="18"/>
  <c r="O32" i="18"/>
  <c r="P32" i="18"/>
  <c r="Q32" i="18"/>
  <c r="R32" i="18"/>
  <c r="S32" i="18"/>
  <c r="T32" i="18"/>
  <c r="U32" i="18"/>
  <c r="V32" i="18"/>
  <c r="W32" i="18"/>
  <c r="X32" i="18"/>
  <c r="Y32" i="18"/>
  <c r="Z32" i="18"/>
  <c r="AA32" i="18"/>
  <c r="AB32" i="18"/>
  <c r="AC32" i="18"/>
  <c r="AD32" i="18"/>
  <c r="AE32" i="18"/>
  <c r="AF32" i="18"/>
  <c r="AG32" i="18"/>
  <c r="AH32" i="18"/>
  <c r="AI32" i="18"/>
  <c r="AJ32" i="18"/>
  <c r="AK32" i="18"/>
  <c r="AL32" i="18"/>
  <c r="AM32" i="18"/>
  <c r="AN32" i="18"/>
  <c r="AO32" i="18"/>
  <c r="AP32" i="18"/>
  <c r="AQ32" i="18"/>
  <c r="AR32" i="18"/>
  <c r="AS32" i="18"/>
  <c r="AT32" i="18"/>
  <c r="AU32" i="18"/>
  <c r="AV32" i="18"/>
  <c r="AW32" i="18"/>
  <c r="AX32" i="18"/>
  <c r="AY32" i="18"/>
  <c r="AZ32" i="18"/>
  <c r="BA32" i="18"/>
  <c r="BB32" i="18"/>
  <c r="BC32" i="18"/>
  <c r="BD32" i="18"/>
  <c r="BE32" i="18"/>
  <c r="BF32" i="18"/>
  <c r="BG32" i="18"/>
  <c r="BH32" i="18"/>
  <c r="BI32" i="18"/>
  <c r="BJ32" i="18"/>
  <c r="BK32" i="18"/>
  <c r="BL32" i="18"/>
  <c r="BM32" i="18"/>
  <c r="BN32" i="18"/>
  <c r="BO32" i="18"/>
  <c r="BP32" i="18"/>
  <c r="BQ32" i="18"/>
  <c r="BR32" i="18"/>
  <c r="BS32" i="18"/>
  <c r="BT32" i="18"/>
  <c r="BU32" i="18"/>
  <c r="BV32" i="18"/>
  <c r="BW32" i="18"/>
  <c r="BX32" i="18"/>
  <c r="BY32" i="18"/>
  <c r="BZ32" i="18"/>
  <c r="CA32" i="18"/>
  <c r="CB32" i="18"/>
  <c r="E33" i="18"/>
  <c r="D33" i="18" s="1"/>
  <c r="F33" i="18"/>
  <c r="G33" i="18"/>
  <c r="H33" i="18"/>
  <c r="I33" i="18"/>
  <c r="J33" i="18"/>
  <c r="K33" i="18"/>
  <c r="L33" i="18"/>
  <c r="M33" i="18"/>
  <c r="N33" i="18"/>
  <c r="O33" i="18"/>
  <c r="P33" i="18"/>
  <c r="Q33" i="18"/>
  <c r="R33" i="18"/>
  <c r="S33" i="18"/>
  <c r="T33" i="18"/>
  <c r="U33" i="18"/>
  <c r="V33" i="18"/>
  <c r="W33" i="18"/>
  <c r="X33" i="18"/>
  <c r="Y33" i="18"/>
  <c r="Z33" i="18"/>
  <c r="AA33" i="18"/>
  <c r="AB33" i="18"/>
  <c r="AC33" i="18"/>
  <c r="AD33" i="18"/>
  <c r="AE33" i="18"/>
  <c r="AF33" i="18"/>
  <c r="AG33" i="18"/>
  <c r="AH33" i="18"/>
  <c r="AI33" i="18"/>
  <c r="AJ33" i="18"/>
  <c r="AK33" i="18"/>
  <c r="AL33" i="18"/>
  <c r="AM33" i="18"/>
  <c r="AN33" i="18"/>
  <c r="AO33" i="18"/>
  <c r="AP33" i="18"/>
  <c r="AQ33" i="18"/>
  <c r="AR33" i="18"/>
  <c r="AS33" i="18"/>
  <c r="AT33" i="18"/>
  <c r="AU33" i="18"/>
  <c r="AV33" i="18"/>
  <c r="AW33" i="18"/>
  <c r="AX33" i="18"/>
  <c r="AY33" i="18"/>
  <c r="AZ33" i="18"/>
  <c r="BA33" i="18"/>
  <c r="BB33" i="18"/>
  <c r="BC33" i="18"/>
  <c r="BD33" i="18"/>
  <c r="BE33" i="18"/>
  <c r="BF33" i="18"/>
  <c r="BG33" i="18"/>
  <c r="BH33" i="18"/>
  <c r="BI33" i="18"/>
  <c r="BJ33" i="18"/>
  <c r="BK33" i="18"/>
  <c r="BL33" i="18"/>
  <c r="BM33" i="18"/>
  <c r="BN33" i="18"/>
  <c r="BO33" i="18"/>
  <c r="BP33" i="18"/>
  <c r="BQ33" i="18"/>
  <c r="BR33" i="18"/>
  <c r="BS33" i="18"/>
  <c r="BT33" i="18"/>
  <c r="BU33" i="18"/>
  <c r="BV33" i="18"/>
  <c r="BW33" i="18"/>
  <c r="BX33" i="18"/>
  <c r="BY33" i="18"/>
  <c r="BZ33" i="18"/>
  <c r="CA33" i="18"/>
  <c r="CB33" i="18"/>
  <c r="E34" i="18"/>
  <c r="D34" i="18" s="1"/>
  <c r="F34" i="18"/>
  <c r="G34" i="18"/>
  <c r="H34" i="18"/>
  <c r="I34" i="18"/>
  <c r="J34" i="18"/>
  <c r="K34" i="18"/>
  <c r="L34" i="18"/>
  <c r="M34" i="18"/>
  <c r="N34" i="18"/>
  <c r="O34" i="18"/>
  <c r="P34" i="18"/>
  <c r="Q34" i="18"/>
  <c r="R34" i="18"/>
  <c r="S34" i="18"/>
  <c r="T34" i="18"/>
  <c r="U34" i="18"/>
  <c r="V34" i="18"/>
  <c r="W34" i="18"/>
  <c r="X34" i="18"/>
  <c r="Y34" i="18"/>
  <c r="Z34" i="18"/>
  <c r="AA34" i="18"/>
  <c r="AB34" i="18"/>
  <c r="AC34" i="18"/>
  <c r="AD34" i="18"/>
  <c r="AE34" i="18"/>
  <c r="AF34" i="18"/>
  <c r="AG34" i="18"/>
  <c r="AH34" i="18"/>
  <c r="AI34" i="18"/>
  <c r="AJ34" i="18"/>
  <c r="AK34" i="18"/>
  <c r="AL34" i="18"/>
  <c r="AM34" i="18"/>
  <c r="AN34" i="18"/>
  <c r="AO34" i="18"/>
  <c r="AP34" i="18"/>
  <c r="AQ34" i="18"/>
  <c r="AR34" i="18"/>
  <c r="AS34" i="18"/>
  <c r="AT34" i="18"/>
  <c r="AU34" i="18"/>
  <c r="AV34" i="18"/>
  <c r="AW34" i="18"/>
  <c r="AX34" i="18"/>
  <c r="AY34" i="18"/>
  <c r="AZ34" i="18"/>
  <c r="BA34" i="18"/>
  <c r="BB34" i="18"/>
  <c r="BC34" i="18"/>
  <c r="BD34" i="18"/>
  <c r="BE34" i="18"/>
  <c r="BF34" i="18"/>
  <c r="BG34" i="18"/>
  <c r="BH34" i="18"/>
  <c r="BI34" i="18"/>
  <c r="BJ34" i="18"/>
  <c r="BK34" i="18"/>
  <c r="BL34" i="18"/>
  <c r="BM34" i="18"/>
  <c r="BN34" i="18"/>
  <c r="BO34" i="18"/>
  <c r="BP34" i="18"/>
  <c r="BQ34" i="18"/>
  <c r="BR34" i="18"/>
  <c r="BS34" i="18"/>
  <c r="BT34" i="18"/>
  <c r="BU34" i="18"/>
  <c r="BV34" i="18"/>
  <c r="BW34" i="18"/>
  <c r="BX34" i="18"/>
  <c r="BY34" i="18"/>
  <c r="BZ34" i="18"/>
  <c r="CA34" i="18"/>
  <c r="CB34" i="18"/>
  <c r="E35" i="18"/>
  <c r="D35" i="18" s="1"/>
  <c r="F35" i="18"/>
  <c r="G35" i="18"/>
  <c r="H35" i="18"/>
  <c r="I35" i="18"/>
  <c r="J35" i="18"/>
  <c r="K35" i="18"/>
  <c r="L35" i="18"/>
  <c r="M35" i="18"/>
  <c r="N35" i="18"/>
  <c r="O35" i="18"/>
  <c r="P35" i="18"/>
  <c r="Q35" i="18"/>
  <c r="R35" i="18"/>
  <c r="S35" i="18"/>
  <c r="T35" i="18"/>
  <c r="U35" i="18"/>
  <c r="V35" i="18"/>
  <c r="W35" i="18"/>
  <c r="X35" i="18"/>
  <c r="Y35" i="18"/>
  <c r="Z35" i="18"/>
  <c r="AA35" i="18"/>
  <c r="AB35" i="18"/>
  <c r="AC35" i="18"/>
  <c r="AD35" i="18"/>
  <c r="AE35" i="18"/>
  <c r="AF35" i="18"/>
  <c r="AG35" i="18"/>
  <c r="AH35" i="18"/>
  <c r="AI35" i="18"/>
  <c r="AJ35" i="18"/>
  <c r="AK35" i="18"/>
  <c r="AL35" i="18"/>
  <c r="AM35" i="18"/>
  <c r="AN35" i="18"/>
  <c r="AO35" i="18"/>
  <c r="AP35" i="18"/>
  <c r="AQ35" i="18"/>
  <c r="AR35" i="18"/>
  <c r="AS35" i="18"/>
  <c r="AT35" i="18"/>
  <c r="AU35" i="18"/>
  <c r="AV35" i="18"/>
  <c r="AW35" i="18"/>
  <c r="AX35" i="18"/>
  <c r="AY35" i="18"/>
  <c r="AZ35" i="18"/>
  <c r="BA35" i="18"/>
  <c r="BB35" i="18"/>
  <c r="BC35" i="18"/>
  <c r="BD35" i="18"/>
  <c r="BE35" i="18"/>
  <c r="BF35" i="18"/>
  <c r="BG35" i="18"/>
  <c r="BH35" i="18"/>
  <c r="BI35" i="18"/>
  <c r="BJ35" i="18"/>
  <c r="BK35" i="18"/>
  <c r="BL35" i="18"/>
  <c r="BM35" i="18"/>
  <c r="BN35" i="18"/>
  <c r="BO35" i="18"/>
  <c r="BP35" i="18"/>
  <c r="BQ35" i="18"/>
  <c r="BR35" i="18"/>
  <c r="BS35" i="18"/>
  <c r="BT35" i="18"/>
  <c r="BU35" i="18"/>
  <c r="BV35" i="18"/>
  <c r="BW35" i="18"/>
  <c r="BX35" i="18"/>
  <c r="BY35" i="18"/>
  <c r="BZ35" i="18"/>
  <c r="CA35" i="18"/>
  <c r="CB35" i="18"/>
  <c r="D36" i="18"/>
  <c r="E36" i="18"/>
  <c r="F36" i="18"/>
  <c r="G36" i="18"/>
  <c r="H36" i="18"/>
  <c r="I36" i="18"/>
  <c r="J36" i="18"/>
  <c r="K36" i="18"/>
  <c r="L36" i="18"/>
  <c r="M36" i="18"/>
  <c r="N36" i="18"/>
  <c r="O36" i="18"/>
  <c r="P36" i="18"/>
  <c r="Q36" i="18"/>
  <c r="R36" i="18"/>
  <c r="S36" i="18"/>
  <c r="T36" i="18"/>
  <c r="U36" i="18"/>
  <c r="V36" i="18"/>
  <c r="W36" i="18"/>
  <c r="X36" i="18"/>
  <c r="Y36" i="18"/>
  <c r="Z36" i="18"/>
  <c r="AA36" i="18"/>
  <c r="AB36" i="18"/>
  <c r="AC36" i="18"/>
  <c r="AD36" i="18"/>
  <c r="AE36" i="18"/>
  <c r="AF36" i="18"/>
  <c r="AG36" i="18"/>
  <c r="AH36" i="18"/>
  <c r="AI36" i="18"/>
  <c r="AJ36" i="18"/>
  <c r="AK36" i="18"/>
  <c r="AL36" i="18"/>
  <c r="AM36" i="18"/>
  <c r="AN36" i="18"/>
  <c r="AO36" i="18"/>
  <c r="AP36" i="18"/>
  <c r="AQ36" i="18"/>
  <c r="AR36" i="18"/>
  <c r="AS36" i="18"/>
  <c r="AT36" i="18"/>
  <c r="AU36" i="18"/>
  <c r="AV36" i="18"/>
  <c r="AW36" i="18"/>
  <c r="AX36" i="18"/>
  <c r="AY36" i="18"/>
  <c r="AZ36" i="18"/>
  <c r="BA36" i="18"/>
  <c r="BB36" i="18"/>
  <c r="BC36" i="18"/>
  <c r="BD36" i="18"/>
  <c r="BE36" i="18"/>
  <c r="BF36" i="18"/>
  <c r="BG36" i="18"/>
  <c r="BH36" i="18"/>
  <c r="BI36" i="18"/>
  <c r="BJ36" i="18"/>
  <c r="BK36" i="18"/>
  <c r="BL36" i="18"/>
  <c r="BM36" i="18"/>
  <c r="BN36" i="18"/>
  <c r="BO36" i="18"/>
  <c r="BP36" i="18"/>
  <c r="BQ36" i="18"/>
  <c r="BR36" i="18"/>
  <c r="BS36" i="18"/>
  <c r="BT36" i="18"/>
  <c r="BU36" i="18"/>
  <c r="BV36" i="18"/>
  <c r="BW36" i="18"/>
  <c r="BX36" i="18"/>
  <c r="BY36" i="18"/>
  <c r="BZ36" i="18"/>
  <c r="CA36" i="18"/>
  <c r="CB36" i="18"/>
  <c r="E37" i="18"/>
  <c r="D37" i="18" s="1"/>
  <c r="F37" i="18"/>
  <c r="G37" i="18"/>
  <c r="H37" i="18"/>
  <c r="I37" i="18"/>
  <c r="J37" i="18"/>
  <c r="K37" i="18"/>
  <c r="L37" i="18"/>
  <c r="M37" i="18"/>
  <c r="N37" i="18"/>
  <c r="O37" i="18"/>
  <c r="P37" i="18"/>
  <c r="Q37" i="18"/>
  <c r="R37" i="18"/>
  <c r="S37" i="18"/>
  <c r="T37" i="18"/>
  <c r="U37" i="18"/>
  <c r="V37" i="18"/>
  <c r="W37" i="18"/>
  <c r="X37" i="18"/>
  <c r="Y37" i="18"/>
  <c r="Z37" i="18"/>
  <c r="AA37" i="18"/>
  <c r="AB37" i="18"/>
  <c r="AC37" i="18"/>
  <c r="AD37" i="18"/>
  <c r="AE37" i="18"/>
  <c r="AF37" i="18"/>
  <c r="AG37" i="18"/>
  <c r="AH37" i="18"/>
  <c r="AI37" i="18"/>
  <c r="AJ37" i="18"/>
  <c r="AK37" i="18"/>
  <c r="AL37" i="18"/>
  <c r="AM37" i="18"/>
  <c r="AN37" i="18"/>
  <c r="AO37" i="18"/>
  <c r="AP37" i="18"/>
  <c r="AQ37" i="18"/>
  <c r="AR37" i="18"/>
  <c r="AS37" i="18"/>
  <c r="AT37" i="18"/>
  <c r="AU37" i="18"/>
  <c r="AV37" i="18"/>
  <c r="AW37" i="18"/>
  <c r="AX37" i="18"/>
  <c r="AY37" i="18"/>
  <c r="AZ37" i="18"/>
  <c r="BA37" i="18"/>
  <c r="BB37" i="18"/>
  <c r="BC37" i="18"/>
  <c r="BD37" i="18"/>
  <c r="BE37" i="18"/>
  <c r="BF37" i="18"/>
  <c r="BG37" i="18"/>
  <c r="BH37" i="18"/>
  <c r="BI37" i="18"/>
  <c r="BJ37" i="18"/>
  <c r="BK37" i="18"/>
  <c r="BL37" i="18"/>
  <c r="BM37" i="18"/>
  <c r="BN37" i="18"/>
  <c r="BO37" i="18"/>
  <c r="BP37" i="18"/>
  <c r="BQ37" i="18"/>
  <c r="BR37" i="18"/>
  <c r="BS37" i="18"/>
  <c r="BT37" i="18"/>
  <c r="BU37" i="18"/>
  <c r="BV37" i="18"/>
  <c r="BW37" i="18"/>
  <c r="BX37" i="18"/>
  <c r="BY37" i="18"/>
  <c r="BZ37" i="18"/>
  <c r="CA37" i="18"/>
  <c r="CB37" i="18"/>
  <c r="E38" i="18"/>
  <c r="D38" i="18" s="1"/>
  <c r="F38" i="18"/>
  <c r="G38" i="18"/>
  <c r="H38" i="18"/>
  <c r="I38" i="18"/>
  <c r="J38" i="18"/>
  <c r="K38" i="18"/>
  <c r="L38" i="18"/>
  <c r="M38" i="18"/>
  <c r="N38" i="18"/>
  <c r="O38" i="18"/>
  <c r="P38" i="18"/>
  <c r="Q38" i="18"/>
  <c r="R38" i="18"/>
  <c r="S38" i="18"/>
  <c r="T38" i="18"/>
  <c r="U38" i="18"/>
  <c r="V38" i="18"/>
  <c r="W38" i="18"/>
  <c r="X38" i="18"/>
  <c r="Y38" i="18"/>
  <c r="Z38" i="18"/>
  <c r="AA38" i="18"/>
  <c r="AB38" i="18"/>
  <c r="AC38" i="18"/>
  <c r="AD38" i="18"/>
  <c r="AE38" i="18"/>
  <c r="AF38" i="18"/>
  <c r="AG38" i="18"/>
  <c r="AH38" i="18"/>
  <c r="AI38" i="18"/>
  <c r="AJ38" i="18"/>
  <c r="AK38" i="18"/>
  <c r="AL38" i="18"/>
  <c r="AM38" i="18"/>
  <c r="AN38" i="18"/>
  <c r="AO38" i="18"/>
  <c r="AP38" i="18"/>
  <c r="AQ38" i="18"/>
  <c r="AR38" i="18"/>
  <c r="AS38" i="18"/>
  <c r="AT38" i="18"/>
  <c r="AU38" i="18"/>
  <c r="AV38" i="18"/>
  <c r="AW38" i="18"/>
  <c r="AX38" i="18"/>
  <c r="AY38" i="18"/>
  <c r="AZ38" i="18"/>
  <c r="BA38" i="18"/>
  <c r="BB38" i="18"/>
  <c r="BC38" i="18"/>
  <c r="BD38" i="18"/>
  <c r="BE38" i="18"/>
  <c r="BF38" i="18"/>
  <c r="BG38" i="18"/>
  <c r="BH38" i="18"/>
  <c r="BI38" i="18"/>
  <c r="BJ38" i="18"/>
  <c r="BK38" i="18"/>
  <c r="BL38" i="18"/>
  <c r="BM38" i="18"/>
  <c r="BN38" i="18"/>
  <c r="BO38" i="18"/>
  <c r="BP38" i="18"/>
  <c r="BQ38" i="18"/>
  <c r="BR38" i="18"/>
  <c r="BS38" i="18"/>
  <c r="BT38" i="18"/>
  <c r="BU38" i="18"/>
  <c r="BV38" i="18"/>
  <c r="BW38" i="18"/>
  <c r="BX38" i="18"/>
  <c r="BY38" i="18"/>
  <c r="BZ38" i="18"/>
  <c r="CA38" i="18"/>
  <c r="CB38" i="18"/>
  <c r="F39" i="18"/>
  <c r="D39" i="18" s="1"/>
  <c r="G39" i="18"/>
  <c r="H39" i="18"/>
  <c r="I39" i="18"/>
  <c r="J39" i="18"/>
  <c r="K39" i="18"/>
  <c r="L39" i="18"/>
  <c r="M39" i="18"/>
  <c r="N39" i="18"/>
  <c r="O39" i="18"/>
  <c r="P39" i="18"/>
  <c r="Q39" i="18"/>
  <c r="R39" i="18"/>
  <c r="S39" i="18"/>
  <c r="T39" i="18"/>
  <c r="U39" i="18"/>
  <c r="V39" i="18"/>
  <c r="W39" i="18"/>
  <c r="X39" i="18"/>
  <c r="Y39" i="18"/>
  <c r="Z39" i="18"/>
  <c r="AA39" i="18"/>
  <c r="AB39" i="18"/>
  <c r="AC39" i="18"/>
  <c r="AD39" i="18"/>
  <c r="AE39" i="18"/>
  <c r="AF39" i="18"/>
  <c r="AG39" i="18"/>
  <c r="AH39" i="18"/>
  <c r="AI39" i="18"/>
  <c r="AJ39" i="18"/>
  <c r="AK39" i="18"/>
  <c r="AL39" i="18"/>
  <c r="AM39" i="18"/>
  <c r="AN39" i="18"/>
  <c r="AO39" i="18"/>
  <c r="AP39" i="18"/>
  <c r="AQ39" i="18"/>
  <c r="AR39" i="18"/>
  <c r="AS39" i="18"/>
  <c r="AT39" i="18"/>
  <c r="AU39" i="18"/>
  <c r="AV39" i="18"/>
  <c r="AW39" i="18"/>
  <c r="AX39" i="18"/>
  <c r="AY39" i="18"/>
  <c r="AZ39" i="18"/>
  <c r="BA39" i="18"/>
  <c r="BB39" i="18"/>
  <c r="BC39" i="18"/>
  <c r="BD39" i="18"/>
  <c r="BE39" i="18"/>
  <c r="BF39" i="18"/>
  <c r="BG39" i="18"/>
  <c r="BH39" i="18"/>
  <c r="BI39" i="18"/>
  <c r="BJ39" i="18"/>
  <c r="BK39" i="18"/>
  <c r="BL39" i="18"/>
  <c r="BM39" i="18"/>
  <c r="BN39" i="18"/>
  <c r="BO39" i="18"/>
  <c r="BP39" i="18"/>
  <c r="BQ39" i="18"/>
  <c r="BR39" i="18"/>
  <c r="BS39" i="18"/>
  <c r="BT39" i="18"/>
  <c r="BU39" i="18"/>
  <c r="BV39" i="18"/>
  <c r="BW39" i="18"/>
  <c r="BX39" i="18"/>
  <c r="BY39" i="18"/>
  <c r="BZ39" i="18"/>
  <c r="CA39" i="18"/>
  <c r="CB39" i="18"/>
  <c r="E40" i="18"/>
  <c r="F40" i="18"/>
  <c r="G40" i="18"/>
  <c r="D40" i="18" s="1"/>
  <c r="H40" i="18"/>
  <c r="I40" i="18"/>
  <c r="J40" i="18"/>
  <c r="K40" i="18"/>
  <c r="L40" i="18"/>
  <c r="M40" i="18"/>
  <c r="N40" i="18"/>
  <c r="O40" i="18"/>
  <c r="P40" i="18"/>
  <c r="Q40" i="18"/>
  <c r="R40" i="18"/>
  <c r="S40" i="18"/>
  <c r="T40" i="18"/>
  <c r="U40" i="18"/>
  <c r="V40" i="18"/>
  <c r="W40" i="18"/>
  <c r="X40" i="18"/>
  <c r="Y40" i="18"/>
  <c r="Z40" i="18"/>
  <c r="AA40" i="18"/>
  <c r="AB40" i="18"/>
  <c r="AC40" i="18"/>
  <c r="AD40" i="18"/>
  <c r="AE40" i="18"/>
  <c r="AF40" i="18"/>
  <c r="AG40" i="18"/>
  <c r="AH40" i="18"/>
  <c r="AI40" i="18"/>
  <c r="AJ40" i="18"/>
  <c r="AK40" i="18"/>
  <c r="AL40" i="18"/>
  <c r="AM40" i="18"/>
  <c r="AN40" i="18"/>
  <c r="AO40" i="18"/>
  <c r="AP40" i="18"/>
  <c r="AQ40" i="18"/>
  <c r="AR40" i="18"/>
  <c r="AS40" i="18"/>
  <c r="AT40" i="18"/>
  <c r="AU40" i="18"/>
  <c r="AV40" i="18"/>
  <c r="AW40" i="18"/>
  <c r="AX40" i="18"/>
  <c r="AY40" i="18"/>
  <c r="AZ40" i="18"/>
  <c r="BA40" i="18"/>
  <c r="BB40" i="18"/>
  <c r="BC40" i="18"/>
  <c r="BD40" i="18"/>
  <c r="BE40" i="18"/>
  <c r="BF40" i="18"/>
  <c r="BG40" i="18"/>
  <c r="BH40" i="18"/>
  <c r="BI40" i="18"/>
  <c r="BJ40" i="18"/>
  <c r="BK40" i="18"/>
  <c r="BL40" i="18"/>
  <c r="BM40" i="18"/>
  <c r="BN40" i="18"/>
  <c r="BO40" i="18"/>
  <c r="BP40" i="18"/>
  <c r="BQ40" i="18"/>
  <c r="BR40" i="18"/>
  <c r="BS40" i="18"/>
  <c r="BT40" i="18"/>
  <c r="BU40" i="18"/>
  <c r="BV40" i="18"/>
  <c r="BW40" i="18"/>
  <c r="BX40" i="18"/>
  <c r="BY40" i="18"/>
  <c r="BZ40" i="18"/>
  <c r="CA40" i="18"/>
  <c r="CB40" i="18"/>
  <c r="F41" i="18"/>
  <c r="G41" i="18"/>
  <c r="H41" i="18"/>
  <c r="I41" i="18"/>
  <c r="J41" i="18"/>
  <c r="K41" i="18"/>
  <c r="L41" i="18"/>
  <c r="M41" i="18"/>
  <c r="D41" i="18" s="1"/>
  <c r="N41" i="18"/>
  <c r="O41" i="18"/>
  <c r="P41" i="18"/>
  <c r="Q41" i="18"/>
  <c r="R41" i="18"/>
  <c r="S41" i="18"/>
  <c r="T41" i="18"/>
  <c r="U41" i="18"/>
  <c r="V41" i="18"/>
  <c r="W41" i="18"/>
  <c r="X41" i="18"/>
  <c r="Y41" i="18"/>
  <c r="Z41" i="18"/>
  <c r="AA41" i="18"/>
  <c r="AB41" i="18"/>
  <c r="AC41" i="18"/>
  <c r="AD41" i="18"/>
  <c r="AE41" i="18"/>
  <c r="AF41" i="18"/>
  <c r="AG41" i="18"/>
  <c r="AH41" i="18"/>
  <c r="AI41" i="18"/>
  <c r="AJ41" i="18"/>
  <c r="AK41" i="18"/>
  <c r="AL41" i="18"/>
  <c r="AM41" i="18"/>
  <c r="AN41" i="18"/>
  <c r="AO41" i="18"/>
  <c r="AP41" i="18"/>
  <c r="AQ41" i="18"/>
  <c r="AR41" i="18"/>
  <c r="AS41" i="18"/>
  <c r="AT41" i="18"/>
  <c r="AU41" i="18"/>
  <c r="AV41" i="18"/>
  <c r="AW41" i="18"/>
  <c r="AX41" i="18"/>
  <c r="AY41" i="18"/>
  <c r="AZ41" i="18"/>
  <c r="BA41" i="18"/>
  <c r="BB41" i="18"/>
  <c r="BC41" i="18"/>
  <c r="BD41" i="18"/>
  <c r="BE41" i="18"/>
  <c r="BF41" i="18"/>
  <c r="BG41" i="18"/>
  <c r="BH41" i="18"/>
  <c r="BI41" i="18"/>
  <c r="BJ41" i="18"/>
  <c r="BK41" i="18"/>
  <c r="BL41" i="18"/>
  <c r="BM41" i="18"/>
  <c r="BN41" i="18"/>
  <c r="BO41" i="18"/>
  <c r="BP41" i="18"/>
  <c r="BQ41" i="18"/>
  <c r="BR41" i="18"/>
  <c r="BS41" i="18"/>
  <c r="BT41" i="18"/>
  <c r="BU41" i="18"/>
  <c r="BV41" i="18"/>
  <c r="BW41" i="18"/>
  <c r="BX41" i="18"/>
  <c r="BY41" i="18"/>
  <c r="BZ41" i="18"/>
  <c r="CA41" i="18"/>
  <c r="CB41" i="18"/>
  <c r="E42" i="18"/>
  <c r="F42" i="18"/>
  <c r="D42" i="18" s="1"/>
  <c r="G42" i="18"/>
  <c r="H42" i="18"/>
  <c r="I42" i="18"/>
  <c r="J42" i="18"/>
  <c r="K42" i="18"/>
  <c r="L42" i="18"/>
  <c r="M42" i="18"/>
  <c r="N42" i="18"/>
  <c r="O42" i="18"/>
  <c r="P42" i="18"/>
  <c r="Q42" i="18"/>
  <c r="R42" i="18"/>
  <c r="S42" i="18"/>
  <c r="T42" i="18"/>
  <c r="U42" i="18"/>
  <c r="V42" i="18"/>
  <c r="W42" i="18"/>
  <c r="X42" i="18"/>
  <c r="Y42" i="18"/>
  <c r="Z42" i="18"/>
  <c r="AA42" i="18"/>
  <c r="AB42" i="18"/>
  <c r="AC42" i="18"/>
  <c r="AD42" i="18"/>
  <c r="AE42" i="18"/>
  <c r="AF42" i="18"/>
  <c r="AG42" i="18"/>
  <c r="AH42" i="18"/>
  <c r="AI42" i="18"/>
  <c r="AJ42" i="18"/>
  <c r="AK42" i="18"/>
  <c r="AL42" i="18"/>
  <c r="AM42" i="18"/>
  <c r="AN42" i="18"/>
  <c r="AO42" i="18"/>
  <c r="AP42" i="18"/>
  <c r="AQ42" i="18"/>
  <c r="AR42" i="18"/>
  <c r="AS42" i="18"/>
  <c r="AT42" i="18"/>
  <c r="AU42" i="18"/>
  <c r="AV42" i="18"/>
  <c r="AW42" i="18"/>
  <c r="AX42" i="18"/>
  <c r="AY42" i="18"/>
  <c r="AZ42" i="18"/>
  <c r="BA42" i="18"/>
  <c r="BB42" i="18"/>
  <c r="BC42" i="18"/>
  <c r="BD42" i="18"/>
  <c r="BE42" i="18"/>
  <c r="BF42" i="18"/>
  <c r="BG42" i="18"/>
  <c r="BH42" i="18"/>
  <c r="BI42" i="18"/>
  <c r="BJ42" i="18"/>
  <c r="BK42" i="18"/>
  <c r="BL42" i="18"/>
  <c r="BM42" i="18"/>
  <c r="BN42" i="18"/>
  <c r="BO42" i="18"/>
  <c r="BP42" i="18"/>
  <c r="BQ42" i="18"/>
  <c r="BR42" i="18"/>
  <c r="BS42" i="18"/>
  <c r="BT42" i="18"/>
  <c r="BU42" i="18"/>
  <c r="BV42" i="18"/>
  <c r="BW42" i="18"/>
  <c r="BX42" i="18"/>
  <c r="BY42" i="18"/>
  <c r="BZ42" i="18"/>
  <c r="CA42" i="18"/>
  <c r="CB42" i="18"/>
  <c r="F43" i="18"/>
  <c r="D43" i="18" s="1"/>
  <c r="G43" i="18"/>
  <c r="H43" i="18"/>
  <c r="I43" i="18"/>
  <c r="J43" i="18"/>
  <c r="K43" i="18"/>
  <c r="L43" i="18"/>
  <c r="M43" i="18"/>
  <c r="N43" i="18"/>
  <c r="O43" i="18"/>
  <c r="P43" i="18"/>
  <c r="Q43" i="18"/>
  <c r="R43" i="18"/>
  <c r="S43" i="18"/>
  <c r="T43" i="18"/>
  <c r="U43" i="18"/>
  <c r="V43" i="18"/>
  <c r="W43" i="18"/>
  <c r="X43" i="18"/>
  <c r="Y43" i="18"/>
  <c r="Z43" i="18"/>
  <c r="AA43" i="18"/>
  <c r="AB43" i="18"/>
  <c r="AC43" i="18"/>
  <c r="AD43" i="18"/>
  <c r="AE43" i="18"/>
  <c r="AF43" i="18"/>
  <c r="AG43" i="18"/>
  <c r="AH43" i="18"/>
  <c r="AI43" i="18"/>
  <c r="AJ43" i="18"/>
  <c r="AK43" i="18"/>
  <c r="AL43" i="18"/>
  <c r="AM43" i="18"/>
  <c r="AN43" i="18"/>
  <c r="AO43" i="18"/>
  <c r="AP43" i="18"/>
  <c r="AQ43" i="18"/>
  <c r="AR43" i="18"/>
  <c r="AS43" i="18"/>
  <c r="AT43" i="18"/>
  <c r="AU43" i="18"/>
  <c r="AV43" i="18"/>
  <c r="AW43" i="18"/>
  <c r="AX43" i="18"/>
  <c r="AY43" i="18"/>
  <c r="AZ43" i="18"/>
  <c r="BA43" i="18"/>
  <c r="BB43" i="18"/>
  <c r="BC43" i="18"/>
  <c r="BD43" i="18"/>
  <c r="BE43" i="18"/>
  <c r="BF43" i="18"/>
  <c r="BG43" i="18"/>
  <c r="BH43" i="18"/>
  <c r="BI43" i="18"/>
  <c r="BJ43" i="18"/>
  <c r="BK43" i="18"/>
  <c r="BL43" i="18"/>
  <c r="BM43" i="18"/>
  <c r="BN43" i="18"/>
  <c r="BO43" i="18"/>
  <c r="BP43" i="18"/>
  <c r="BQ43" i="18"/>
  <c r="BR43" i="18"/>
  <c r="BS43" i="18"/>
  <c r="BT43" i="18"/>
  <c r="BU43" i="18"/>
  <c r="BV43" i="18"/>
  <c r="BW43" i="18"/>
  <c r="BX43" i="18"/>
  <c r="BY43" i="18"/>
  <c r="BZ43" i="18"/>
  <c r="CA43" i="18"/>
  <c r="CB43" i="18"/>
  <c r="E44" i="18"/>
  <c r="D44" i="18" s="1"/>
  <c r="F44" i="18"/>
  <c r="G44" i="18"/>
  <c r="H44" i="18"/>
  <c r="I44" i="18"/>
  <c r="J44" i="18"/>
  <c r="K44" i="18"/>
  <c r="L44" i="18"/>
  <c r="M44" i="18"/>
  <c r="N44" i="18"/>
  <c r="O44" i="18"/>
  <c r="P44" i="18"/>
  <c r="Q44" i="18"/>
  <c r="R44" i="18"/>
  <c r="S44" i="18"/>
  <c r="T44" i="18"/>
  <c r="U44" i="18"/>
  <c r="V44" i="18"/>
  <c r="W44" i="18"/>
  <c r="X44" i="18"/>
  <c r="Y44" i="18"/>
  <c r="Z44" i="18"/>
  <c r="AA44" i="18"/>
  <c r="AB44" i="18"/>
  <c r="AC44" i="18"/>
  <c r="AD44" i="18"/>
  <c r="AE44" i="18"/>
  <c r="AF44" i="18"/>
  <c r="AG44" i="18"/>
  <c r="AH44" i="18"/>
  <c r="AI44" i="18"/>
  <c r="AJ44" i="18"/>
  <c r="AK44" i="18"/>
  <c r="AL44" i="18"/>
  <c r="AM44" i="18"/>
  <c r="AN44" i="18"/>
  <c r="AO44" i="18"/>
  <c r="AP44" i="18"/>
  <c r="AQ44" i="18"/>
  <c r="AR44" i="18"/>
  <c r="AS44" i="18"/>
  <c r="AT44" i="18"/>
  <c r="AU44" i="18"/>
  <c r="AV44" i="18"/>
  <c r="AW44" i="18"/>
  <c r="AX44" i="18"/>
  <c r="AY44" i="18"/>
  <c r="AZ44" i="18"/>
  <c r="BA44" i="18"/>
  <c r="BB44" i="18"/>
  <c r="BC44" i="18"/>
  <c r="BD44" i="18"/>
  <c r="BE44" i="18"/>
  <c r="BF44" i="18"/>
  <c r="BG44" i="18"/>
  <c r="BH44" i="18"/>
  <c r="BI44" i="18"/>
  <c r="BJ44" i="18"/>
  <c r="BK44" i="18"/>
  <c r="BL44" i="18"/>
  <c r="BM44" i="18"/>
  <c r="BN44" i="18"/>
  <c r="BO44" i="18"/>
  <c r="BP44" i="18"/>
  <c r="BQ44" i="18"/>
  <c r="BR44" i="18"/>
  <c r="BS44" i="18"/>
  <c r="BT44" i="18"/>
  <c r="BU44" i="18"/>
  <c r="BV44" i="18"/>
  <c r="BW44" i="18"/>
  <c r="BX44" i="18"/>
  <c r="BY44" i="18"/>
  <c r="BZ44" i="18"/>
  <c r="CA44" i="18"/>
  <c r="CB44" i="18"/>
  <c r="F45" i="18"/>
  <c r="D45" i="18" s="1"/>
  <c r="G45" i="18"/>
  <c r="H45" i="18"/>
  <c r="I45" i="18"/>
  <c r="J45" i="18"/>
  <c r="K45" i="18"/>
  <c r="L45" i="18"/>
  <c r="M45" i="18"/>
  <c r="N45" i="18"/>
  <c r="O45" i="18"/>
  <c r="P45" i="18"/>
  <c r="Q45" i="18"/>
  <c r="R45" i="18"/>
  <c r="S45" i="18"/>
  <c r="T45" i="18"/>
  <c r="U45" i="18"/>
  <c r="V45" i="18"/>
  <c r="W45" i="18"/>
  <c r="X45" i="18"/>
  <c r="Y45" i="18"/>
  <c r="Z45" i="18"/>
  <c r="AA45" i="18"/>
  <c r="AB45" i="18"/>
  <c r="AC45" i="18"/>
  <c r="AD45" i="18"/>
  <c r="AE45" i="18"/>
  <c r="AF45" i="18"/>
  <c r="AG45" i="18"/>
  <c r="AH45" i="18"/>
  <c r="AI45" i="18"/>
  <c r="AJ45" i="18"/>
  <c r="AK45" i="18"/>
  <c r="AL45" i="18"/>
  <c r="AM45" i="18"/>
  <c r="AN45" i="18"/>
  <c r="AO45" i="18"/>
  <c r="AP45" i="18"/>
  <c r="AQ45" i="18"/>
  <c r="AR45" i="18"/>
  <c r="AS45" i="18"/>
  <c r="AT45" i="18"/>
  <c r="AU45" i="18"/>
  <c r="AV45" i="18"/>
  <c r="AW45" i="18"/>
  <c r="AX45" i="18"/>
  <c r="AY45" i="18"/>
  <c r="AZ45" i="18"/>
  <c r="BA45" i="18"/>
  <c r="BB45" i="18"/>
  <c r="BC45" i="18"/>
  <c r="BD45" i="18"/>
  <c r="BE45" i="18"/>
  <c r="BF45" i="18"/>
  <c r="BG45" i="18"/>
  <c r="BH45" i="18"/>
  <c r="BI45" i="18"/>
  <c r="BJ45" i="18"/>
  <c r="BK45" i="18"/>
  <c r="BL45" i="18"/>
  <c r="BM45" i="18"/>
  <c r="BN45" i="18"/>
  <c r="BO45" i="18"/>
  <c r="BP45" i="18"/>
  <c r="BQ45" i="18"/>
  <c r="BR45" i="18"/>
  <c r="BS45" i="18"/>
  <c r="BT45" i="18"/>
  <c r="BU45" i="18"/>
  <c r="BV45" i="18"/>
  <c r="BW45" i="18"/>
  <c r="BX45" i="18"/>
  <c r="BY45" i="18"/>
  <c r="BZ45" i="18"/>
  <c r="CA45" i="18"/>
  <c r="CB45" i="18"/>
  <c r="E46" i="18"/>
  <c r="D46" i="18" s="1"/>
  <c r="F46" i="18"/>
  <c r="G46" i="18"/>
  <c r="H46" i="18"/>
  <c r="I46" i="18"/>
  <c r="J46" i="18"/>
  <c r="K46" i="18"/>
  <c r="L46" i="18"/>
  <c r="M46" i="18"/>
  <c r="N46" i="18"/>
  <c r="O46" i="18"/>
  <c r="P46" i="18"/>
  <c r="Q46" i="18"/>
  <c r="R46" i="18"/>
  <c r="S46" i="18"/>
  <c r="T46" i="18"/>
  <c r="U46" i="18"/>
  <c r="V46" i="18"/>
  <c r="W46" i="18"/>
  <c r="X46" i="18"/>
  <c r="Y46" i="18"/>
  <c r="Z46" i="18"/>
  <c r="AA46" i="18"/>
  <c r="AB46" i="18"/>
  <c r="AC46" i="18"/>
  <c r="AD46" i="18"/>
  <c r="AE46" i="18"/>
  <c r="AF46" i="18"/>
  <c r="AG46" i="18"/>
  <c r="AH46" i="18"/>
  <c r="AI46" i="18"/>
  <c r="AJ46" i="18"/>
  <c r="AK46" i="18"/>
  <c r="AL46" i="18"/>
  <c r="AM46" i="18"/>
  <c r="AN46" i="18"/>
  <c r="AO46" i="18"/>
  <c r="AP46" i="18"/>
  <c r="AQ46" i="18"/>
  <c r="AR46" i="18"/>
  <c r="AS46" i="18"/>
  <c r="AT46" i="18"/>
  <c r="AU46" i="18"/>
  <c r="AV46" i="18"/>
  <c r="AW46" i="18"/>
  <c r="AX46" i="18"/>
  <c r="AY46" i="18"/>
  <c r="AZ46" i="18"/>
  <c r="BA46" i="18"/>
  <c r="BB46" i="18"/>
  <c r="BC46" i="18"/>
  <c r="BD46" i="18"/>
  <c r="BE46" i="18"/>
  <c r="BF46" i="18"/>
  <c r="BG46" i="18"/>
  <c r="BH46" i="18"/>
  <c r="BI46" i="18"/>
  <c r="BJ46" i="18"/>
  <c r="BK46" i="18"/>
  <c r="BL46" i="18"/>
  <c r="BM46" i="18"/>
  <c r="BN46" i="18"/>
  <c r="BO46" i="18"/>
  <c r="BP46" i="18"/>
  <c r="BQ46" i="18"/>
  <c r="BR46" i="18"/>
  <c r="BS46" i="18"/>
  <c r="BT46" i="18"/>
  <c r="BU46" i="18"/>
  <c r="BV46" i="18"/>
  <c r="BW46" i="18"/>
  <c r="BX46" i="18"/>
  <c r="BY46" i="18"/>
  <c r="BZ46" i="18"/>
  <c r="CA46" i="18"/>
  <c r="CB46" i="18"/>
  <c r="E47" i="18"/>
  <c r="D47" i="18" s="1"/>
  <c r="F47" i="18"/>
  <c r="G47" i="18"/>
  <c r="H47" i="18"/>
  <c r="I47" i="18"/>
  <c r="J47" i="18"/>
  <c r="K47" i="18"/>
  <c r="L47" i="18"/>
  <c r="M47" i="18"/>
  <c r="N47" i="18"/>
  <c r="O47" i="18"/>
  <c r="P47" i="18"/>
  <c r="Q47" i="18"/>
  <c r="R47" i="18"/>
  <c r="S47" i="18"/>
  <c r="T47" i="18"/>
  <c r="U47" i="18"/>
  <c r="V47" i="18"/>
  <c r="W47" i="18"/>
  <c r="X47" i="18"/>
  <c r="Y47" i="18"/>
  <c r="Z47" i="18"/>
  <c r="AA47" i="18"/>
  <c r="AB47" i="18"/>
  <c r="AC47" i="18"/>
  <c r="AD47" i="18"/>
  <c r="AE47" i="18"/>
  <c r="AF47" i="18"/>
  <c r="AG47" i="18"/>
  <c r="AH47" i="18"/>
  <c r="AI47" i="18"/>
  <c r="AJ47" i="18"/>
  <c r="AK47" i="18"/>
  <c r="AL47" i="18"/>
  <c r="AM47" i="18"/>
  <c r="AN47" i="18"/>
  <c r="AO47" i="18"/>
  <c r="AP47" i="18"/>
  <c r="AQ47" i="18"/>
  <c r="AR47" i="18"/>
  <c r="AS47" i="18"/>
  <c r="AT47" i="18"/>
  <c r="AU47" i="18"/>
  <c r="AV47" i="18"/>
  <c r="AW47" i="18"/>
  <c r="AX47" i="18"/>
  <c r="AY47" i="18"/>
  <c r="AZ47" i="18"/>
  <c r="BA47" i="18"/>
  <c r="BB47" i="18"/>
  <c r="BC47" i="18"/>
  <c r="BD47" i="18"/>
  <c r="BE47" i="18"/>
  <c r="BF47" i="18"/>
  <c r="BG47" i="18"/>
  <c r="BH47" i="18"/>
  <c r="BI47" i="18"/>
  <c r="BJ47" i="18"/>
  <c r="BK47" i="18"/>
  <c r="BL47" i="18"/>
  <c r="BM47" i="18"/>
  <c r="BN47" i="18"/>
  <c r="BO47" i="18"/>
  <c r="BP47" i="18"/>
  <c r="BQ47" i="18"/>
  <c r="BR47" i="18"/>
  <c r="BS47" i="18"/>
  <c r="BT47" i="18"/>
  <c r="BU47" i="18"/>
  <c r="BV47" i="18"/>
  <c r="BW47" i="18"/>
  <c r="BX47" i="18"/>
  <c r="BY47" i="18"/>
  <c r="BZ47" i="18"/>
  <c r="CA47" i="18"/>
  <c r="CB47" i="18"/>
  <c r="E48" i="18"/>
  <c r="F48" i="18"/>
  <c r="G48" i="18"/>
  <c r="H48" i="18"/>
  <c r="I48" i="18"/>
  <c r="J48" i="18"/>
  <c r="K48" i="18"/>
  <c r="L48" i="18"/>
  <c r="D48" i="18" s="1"/>
  <c r="M48" i="18"/>
  <c r="N48" i="18"/>
  <c r="O48" i="18"/>
  <c r="P48" i="18"/>
  <c r="Q48" i="18"/>
  <c r="R48" i="18"/>
  <c r="S48" i="18"/>
  <c r="T48" i="18"/>
  <c r="U48" i="18"/>
  <c r="V48" i="18"/>
  <c r="W48" i="18"/>
  <c r="X48" i="18"/>
  <c r="Y48" i="18"/>
  <c r="Z48" i="18"/>
  <c r="AA48" i="18"/>
  <c r="AB48" i="18"/>
  <c r="AC48" i="18"/>
  <c r="AD48" i="18"/>
  <c r="AE48" i="18"/>
  <c r="AF48" i="18"/>
  <c r="AG48" i="18"/>
  <c r="AH48" i="18"/>
  <c r="AI48" i="18"/>
  <c r="AJ48" i="18"/>
  <c r="AK48" i="18"/>
  <c r="AL48" i="18"/>
  <c r="AM48" i="18"/>
  <c r="AN48" i="18"/>
  <c r="AO48" i="18"/>
  <c r="AP48" i="18"/>
  <c r="AQ48" i="18"/>
  <c r="AR48" i="18"/>
  <c r="AS48" i="18"/>
  <c r="AT48" i="18"/>
  <c r="AU48" i="18"/>
  <c r="AV48" i="18"/>
  <c r="AW48" i="18"/>
  <c r="AX48" i="18"/>
  <c r="AY48" i="18"/>
  <c r="AZ48" i="18"/>
  <c r="BA48" i="18"/>
  <c r="BB48" i="18"/>
  <c r="BC48" i="18"/>
  <c r="BD48" i="18"/>
  <c r="BE48" i="18"/>
  <c r="BF48" i="18"/>
  <c r="BG48" i="18"/>
  <c r="BH48" i="18"/>
  <c r="BI48" i="18"/>
  <c r="BJ48" i="18"/>
  <c r="BK48" i="18"/>
  <c r="BL48" i="18"/>
  <c r="BM48" i="18"/>
  <c r="BN48" i="18"/>
  <c r="BO48" i="18"/>
  <c r="BP48" i="18"/>
  <c r="BQ48" i="18"/>
  <c r="BR48" i="18"/>
  <c r="BS48" i="18"/>
  <c r="BT48" i="18"/>
  <c r="BU48" i="18"/>
  <c r="BV48" i="18"/>
  <c r="BW48" i="18"/>
  <c r="BX48" i="18"/>
  <c r="BY48" i="18"/>
  <c r="BZ48" i="18"/>
  <c r="CA48" i="18"/>
  <c r="CB48" i="18"/>
  <c r="F49" i="18"/>
  <c r="D49" i="18" s="1"/>
  <c r="G49" i="18"/>
  <c r="H49" i="18"/>
  <c r="I49" i="18"/>
  <c r="J49" i="18"/>
  <c r="K49" i="18"/>
  <c r="L49" i="18"/>
  <c r="M49" i="18"/>
  <c r="N49" i="18"/>
  <c r="O49" i="18"/>
  <c r="P49" i="18"/>
  <c r="Q49" i="18"/>
  <c r="R49" i="18"/>
  <c r="S49" i="18"/>
  <c r="T49" i="18"/>
  <c r="U49" i="18"/>
  <c r="V49" i="18"/>
  <c r="W49" i="18"/>
  <c r="X49" i="18"/>
  <c r="Y49" i="18"/>
  <c r="Z49" i="18"/>
  <c r="AA49" i="18"/>
  <c r="AB49" i="18"/>
  <c r="AC49" i="18"/>
  <c r="AD49" i="18"/>
  <c r="AE49" i="18"/>
  <c r="AF49" i="18"/>
  <c r="AG49" i="18"/>
  <c r="AH49" i="18"/>
  <c r="AI49" i="18"/>
  <c r="AJ49" i="18"/>
  <c r="AK49" i="18"/>
  <c r="AL49" i="18"/>
  <c r="AM49" i="18"/>
  <c r="AN49" i="18"/>
  <c r="AO49" i="18"/>
  <c r="AP49" i="18"/>
  <c r="AQ49" i="18"/>
  <c r="AR49" i="18"/>
  <c r="AS49" i="18"/>
  <c r="AT49" i="18"/>
  <c r="AU49" i="18"/>
  <c r="AV49" i="18"/>
  <c r="AW49" i="18"/>
  <c r="AX49" i="18"/>
  <c r="AY49" i="18"/>
  <c r="AZ49" i="18"/>
  <c r="BA49" i="18"/>
  <c r="BB49" i="18"/>
  <c r="BC49" i="18"/>
  <c r="BD49" i="18"/>
  <c r="BE49" i="18"/>
  <c r="BF49" i="18"/>
  <c r="BG49" i="18"/>
  <c r="BH49" i="18"/>
  <c r="BI49" i="18"/>
  <c r="BJ49" i="18"/>
  <c r="BK49" i="18"/>
  <c r="BL49" i="18"/>
  <c r="BM49" i="18"/>
  <c r="BN49" i="18"/>
  <c r="BO49" i="18"/>
  <c r="BP49" i="18"/>
  <c r="BQ49" i="18"/>
  <c r="BR49" i="18"/>
  <c r="BS49" i="18"/>
  <c r="BT49" i="18"/>
  <c r="BU49" i="18"/>
  <c r="BV49" i="18"/>
  <c r="BW49" i="18"/>
  <c r="BX49" i="18"/>
  <c r="BY49" i="18"/>
  <c r="BZ49" i="18"/>
  <c r="CA49" i="18"/>
  <c r="CB49" i="18"/>
  <c r="E50" i="18"/>
  <c r="D50" i="18" s="1"/>
  <c r="F50" i="18"/>
  <c r="G50" i="18"/>
  <c r="H50" i="18"/>
  <c r="I50" i="18"/>
  <c r="J50" i="18"/>
  <c r="K50" i="18"/>
  <c r="L50" i="18"/>
  <c r="M50" i="18"/>
  <c r="N50" i="18"/>
  <c r="O50" i="18"/>
  <c r="P50" i="18"/>
  <c r="Q50" i="18"/>
  <c r="R50" i="18"/>
  <c r="S50" i="18"/>
  <c r="T50" i="18"/>
  <c r="U50" i="18"/>
  <c r="V50" i="18"/>
  <c r="W50" i="18"/>
  <c r="X50" i="18"/>
  <c r="Y50" i="18"/>
  <c r="Z50" i="18"/>
  <c r="AA50" i="18"/>
  <c r="AB50" i="18"/>
  <c r="AC50" i="18"/>
  <c r="AD50" i="18"/>
  <c r="AE50" i="18"/>
  <c r="AF50" i="18"/>
  <c r="AG50" i="18"/>
  <c r="AH50" i="18"/>
  <c r="AI50" i="18"/>
  <c r="AJ50" i="18"/>
  <c r="AK50" i="18"/>
  <c r="AL50" i="18"/>
  <c r="AM50" i="18"/>
  <c r="AN50" i="18"/>
  <c r="AO50" i="18"/>
  <c r="AP50" i="18"/>
  <c r="AQ50" i="18"/>
  <c r="AR50" i="18"/>
  <c r="AS50" i="18"/>
  <c r="AT50" i="18"/>
  <c r="AU50" i="18"/>
  <c r="AV50" i="18"/>
  <c r="AW50" i="18"/>
  <c r="AX50" i="18"/>
  <c r="AY50" i="18"/>
  <c r="AZ50" i="18"/>
  <c r="BA50" i="18"/>
  <c r="BB50" i="18"/>
  <c r="BC50" i="18"/>
  <c r="BD50" i="18"/>
  <c r="BE50" i="18"/>
  <c r="BF50" i="18"/>
  <c r="BG50" i="18"/>
  <c r="BH50" i="18"/>
  <c r="BI50" i="18"/>
  <c r="BJ50" i="18"/>
  <c r="BK50" i="18"/>
  <c r="BL50" i="18"/>
  <c r="BM50" i="18"/>
  <c r="BN50" i="18"/>
  <c r="BO50" i="18"/>
  <c r="BP50" i="18"/>
  <c r="BQ50" i="18"/>
  <c r="BR50" i="18"/>
  <c r="BS50" i="18"/>
  <c r="BT50" i="18"/>
  <c r="BU50" i="18"/>
  <c r="BV50" i="18"/>
  <c r="BW50" i="18"/>
  <c r="BX50" i="18"/>
  <c r="BY50" i="18"/>
  <c r="BZ50" i="18"/>
  <c r="CA50" i="18"/>
  <c r="CB50" i="18"/>
  <c r="E51" i="18"/>
  <c r="D51" i="18" s="1"/>
  <c r="F51" i="18"/>
  <c r="G51" i="18"/>
  <c r="H51" i="18"/>
  <c r="I51" i="18"/>
  <c r="J51" i="18"/>
  <c r="K51" i="18"/>
  <c r="L51" i="18"/>
  <c r="M51" i="18"/>
  <c r="N51" i="18"/>
  <c r="O51" i="18"/>
  <c r="P51" i="18"/>
  <c r="Q51" i="18"/>
  <c r="R51" i="18"/>
  <c r="S51" i="18"/>
  <c r="T51" i="18"/>
  <c r="U51" i="18"/>
  <c r="V51" i="18"/>
  <c r="W51" i="18"/>
  <c r="X51" i="18"/>
  <c r="Y51" i="18"/>
  <c r="Z51" i="18"/>
  <c r="AA51" i="18"/>
  <c r="AB51" i="18"/>
  <c r="AC51" i="18"/>
  <c r="AD51" i="18"/>
  <c r="AE51" i="18"/>
  <c r="AF51" i="18"/>
  <c r="AG51" i="18"/>
  <c r="AH51" i="18"/>
  <c r="AI51" i="18"/>
  <c r="AJ51" i="18"/>
  <c r="AK51" i="18"/>
  <c r="AL51" i="18"/>
  <c r="AM51" i="18"/>
  <c r="AN51" i="18"/>
  <c r="AO51" i="18"/>
  <c r="AP51" i="18"/>
  <c r="AQ51" i="18"/>
  <c r="AR51" i="18"/>
  <c r="AS51" i="18"/>
  <c r="AT51" i="18"/>
  <c r="AU51" i="18"/>
  <c r="AV51" i="18"/>
  <c r="AW51" i="18"/>
  <c r="AX51" i="18"/>
  <c r="AY51" i="18"/>
  <c r="AZ51" i="18"/>
  <c r="BA51" i="18"/>
  <c r="BB51" i="18"/>
  <c r="BC51" i="18"/>
  <c r="BD51" i="18"/>
  <c r="BE51" i="18"/>
  <c r="BF51" i="18"/>
  <c r="BG51" i="18"/>
  <c r="BH51" i="18"/>
  <c r="BI51" i="18"/>
  <c r="BJ51" i="18"/>
  <c r="BK51" i="18"/>
  <c r="BL51" i="18"/>
  <c r="BM51" i="18"/>
  <c r="BN51" i="18"/>
  <c r="BO51" i="18"/>
  <c r="BP51" i="18"/>
  <c r="BQ51" i="18"/>
  <c r="BR51" i="18"/>
  <c r="BS51" i="18"/>
  <c r="BT51" i="18"/>
  <c r="BU51" i="18"/>
  <c r="BV51" i="18"/>
  <c r="BW51" i="18"/>
  <c r="BX51" i="18"/>
  <c r="BY51" i="18"/>
  <c r="BZ51" i="18"/>
  <c r="CA51" i="18"/>
  <c r="CB51" i="18"/>
  <c r="E52" i="18"/>
  <c r="D52" i="18" s="1"/>
  <c r="F52" i="18"/>
  <c r="G52" i="18"/>
  <c r="H52" i="18"/>
  <c r="I52" i="18"/>
  <c r="J52" i="18"/>
  <c r="K52" i="18"/>
  <c r="L52" i="18"/>
  <c r="M52" i="18"/>
  <c r="N52" i="18"/>
  <c r="O52" i="18"/>
  <c r="P52" i="18"/>
  <c r="Q52" i="18"/>
  <c r="R52" i="18"/>
  <c r="S52" i="18"/>
  <c r="T52" i="18"/>
  <c r="U52" i="18"/>
  <c r="V52" i="18"/>
  <c r="W52" i="18"/>
  <c r="X52" i="18"/>
  <c r="Y52" i="18"/>
  <c r="Z52" i="18"/>
  <c r="AA52" i="18"/>
  <c r="AB52" i="18"/>
  <c r="AC52" i="18"/>
  <c r="AD52" i="18"/>
  <c r="AE52" i="18"/>
  <c r="AF52" i="18"/>
  <c r="AG52" i="18"/>
  <c r="AH52" i="18"/>
  <c r="AI52" i="18"/>
  <c r="AJ52" i="18"/>
  <c r="AK52" i="18"/>
  <c r="AL52" i="18"/>
  <c r="AM52" i="18"/>
  <c r="AN52" i="18"/>
  <c r="AO52" i="18"/>
  <c r="AP52" i="18"/>
  <c r="AQ52" i="18"/>
  <c r="AR52" i="18"/>
  <c r="AS52" i="18"/>
  <c r="AT52" i="18"/>
  <c r="AU52" i="18"/>
  <c r="AV52" i="18"/>
  <c r="AW52" i="18"/>
  <c r="AX52" i="18"/>
  <c r="AY52" i="18"/>
  <c r="AZ52" i="18"/>
  <c r="BA52" i="18"/>
  <c r="BB52" i="18"/>
  <c r="BC52" i="18"/>
  <c r="BD52" i="18"/>
  <c r="BE52" i="18"/>
  <c r="BF52" i="18"/>
  <c r="BG52" i="18"/>
  <c r="BH52" i="18"/>
  <c r="BI52" i="18"/>
  <c r="BJ52" i="18"/>
  <c r="BK52" i="18"/>
  <c r="BL52" i="18"/>
  <c r="BM52" i="18"/>
  <c r="BN52" i="18"/>
  <c r="BO52" i="18"/>
  <c r="BP52" i="18"/>
  <c r="BQ52" i="18"/>
  <c r="BR52" i="18"/>
  <c r="BS52" i="18"/>
  <c r="BT52" i="18"/>
  <c r="BU52" i="18"/>
  <c r="BV52" i="18"/>
  <c r="BW52" i="18"/>
  <c r="BX52" i="18"/>
  <c r="BY52" i="18"/>
  <c r="BZ52" i="18"/>
  <c r="CA52" i="18"/>
  <c r="CB52" i="18"/>
  <c r="E53" i="18"/>
  <c r="F53" i="18"/>
  <c r="G53" i="18"/>
  <c r="H53" i="18"/>
  <c r="I53" i="18"/>
  <c r="J53" i="18"/>
  <c r="K53" i="18"/>
  <c r="L53" i="18"/>
  <c r="D53" i="18" s="1"/>
  <c r="M53" i="18"/>
  <c r="N53" i="18"/>
  <c r="O53" i="18"/>
  <c r="P53" i="18"/>
  <c r="Q53" i="18"/>
  <c r="R53" i="18"/>
  <c r="S53" i="18"/>
  <c r="T53" i="18"/>
  <c r="U53" i="18"/>
  <c r="V53" i="18"/>
  <c r="W53" i="18"/>
  <c r="X53" i="18"/>
  <c r="Y53" i="18"/>
  <c r="Z53" i="18"/>
  <c r="AA53" i="18"/>
  <c r="AB53" i="18"/>
  <c r="AC53" i="18"/>
  <c r="AD53" i="18"/>
  <c r="AE53" i="18"/>
  <c r="AF53" i="18"/>
  <c r="AG53" i="18"/>
  <c r="AH53" i="18"/>
  <c r="AI53" i="18"/>
  <c r="AJ53" i="18"/>
  <c r="AK53" i="18"/>
  <c r="AL53" i="18"/>
  <c r="AM53" i="18"/>
  <c r="AN53" i="18"/>
  <c r="AO53" i="18"/>
  <c r="AP53" i="18"/>
  <c r="AQ53" i="18"/>
  <c r="AR53" i="18"/>
  <c r="AS53" i="18"/>
  <c r="AT53" i="18"/>
  <c r="AU53" i="18"/>
  <c r="AV53" i="18"/>
  <c r="AW53" i="18"/>
  <c r="AX53" i="18"/>
  <c r="AY53" i="18"/>
  <c r="AZ53" i="18"/>
  <c r="BA53" i="18"/>
  <c r="BB53" i="18"/>
  <c r="BC53" i="18"/>
  <c r="BD53" i="18"/>
  <c r="BE53" i="18"/>
  <c r="BF53" i="18"/>
  <c r="BG53" i="18"/>
  <c r="BH53" i="18"/>
  <c r="BI53" i="18"/>
  <c r="BJ53" i="18"/>
  <c r="BK53" i="18"/>
  <c r="BL53" i="18"/>
  <c r="BM53" i="18"/>
  <c r="BN53" i="18"/>
  <c r="BO53" i="18"/>
  <c r="BP53" i="18"/>
  <c r="BQ53" i="18"/>
  <c r="BR53" i="18"/>
  <c r="BS53" i="18"/>
  <c r="BT53" i="18"/>
  <c r="BU53" i="18"/>
  <c r="BV53" i="18"/>
  <c r="BW53" i="18"/>
  <c r="BX53" i="18"/>
  <c r="BY53" i="18"/>
  <c r="BZ53" i="18"/>
  <c r="CA53" i="18"/>
  <c r="CB53" i="18"/>
  <c r="E54" i="18"/>
  <c r="D54" i="18" s="1"/>
  <c r="F54" i="18"/>
  <c r="G54" i="18"/>
  <c r="H54" i="18"/>
  <c r="I54" i="18"/>
  <c r="J54" i="18"/>
  <c r="K54" i="18"/>
  <c r="L54" i="18"/>
  <c r="M54" i="18"/>
  <c r="N54" i="18"/>
  <c r="O54" i="18"/>
  <c r="P54" i="18"/>
  <c r="Q54" i="18"/>
  <c r="R54" i="18"/>
  <c r="S54" i="18"/>
  <c r="T54" i="18"/>
  <c r="U54" i="18"/>
  <c r="V54" i="18"/>
  <c r="W54" i="18"/>
  <c r="X54" i="18"/>
  <c r="Y54" i="18"/>
  <c r="Z54" i="18"/>
  <c r="AA54" i="18"/>
  <c r="AB54" i="18"/>
  <c r="AC54" i="18"/>
  <c r="AD54" i="18"/>
  <c r="AE54" i="18"/>
  <c r="AF54" i="18"/>
  <c r="AG54" i="18"/>
  <c r="AH54" i="18"/>
  <c r="AI54" i="18"/>
  <c r="AJ54" i="18"/>
  <c r="AK54" i="18"/>
  <c r="AL54" i="18"/>
  <c r="AM54" i="18"/>
  <c r="AN54" i="18"/>
  <c r="AO54" i="18"/>
  <c r="AP54" i="18"/>
  <c r="AQ54" i="18"/>
  <c r="AR54" i="18"/>
  <c r="AS54" i="18"/>
  <c r="AT54" i="18"/>
  <c r="AU54" i="18"/>
  <c r="AV54" i="18"/>
  <c r="AW54" i="18"/>
  <c r="AX54" i="18"/>
  <c r="AY54" i="18"/>
  <c r="AZ54" i="18"/>
  <c r="BA54" i="18"/>
  <c r="BB54" i="18"/>
  <c r="BC54" i="18"/>
  <c r="BD54" i="18"/>
  <c r="BE54" i="18"/>
  <c r="BF54" i="18"/>
  <c r="BG54" i="18"/>
  <c r="BH54" i="18"/>
  <c r="BI54" i="18"/>
  <c r="BJ54" i="18"/>
  <c r="BK54" i="18"/>
  <c r="BL54" i="18"/>
  <c r="BM54" i="18"/>
  <c r="BN54" i="18"/>
  <c r="BO54" i="18"/>
  <c r="BP54" i="18"/>
  <c r="BQ54" i="18"/>
  <c r="BR54" i="18"/>
  <c r="BS54" i="18"/>
  <c r="BT54" i="18"/>
  <c r="BU54" i="18"/>
  <c r="BV54" i="18"/>
  <c r="BW54" i="18"/>
  <c r="BX54" i="18"/>
  <c r="BY54" i="18"/>
  <c r="BZ54" i="18"/>
  <c r="CA54" i="18"/>
  <c r="CB54" i="18"/>
  <c r="R6" i="17"/>
  <c r="D6" i="17" s="1"/>
  <c r="D7" i="17"/>
  <c r="R7" i="17"/>
  <c r="V7" i="17"/>
  <c r="R8" i="17"/>
  <c r="D8" i="17" s="1"/>
  <c r="D9" i="17"/>
  <c r="R9" i="17"/>
  <c r="V9" i="17"/>
  <c r="D10" i="17"/>
  <c r="R10" i="17"/>
  <c r="V10" i="17"/>
  <c r="D11" i="17"/>
  <c r="R11" i="17"/>
  <c r="D12" i="17"/>
  <c r="R12" i="17"/>
  <c r="R13" i="17"/>
  <c r="D13" i="17" s="1"/>
  <c r="D14" i="17"/>
  <c r="R14" i="17"/>
  <c r="V14" i="17"/>
  <c r="F15" i="17"/>
  <c r="F16" i="17" s="1"/>
  <c r="G15" i="17"/>
  <c r="H15" i="17"/>
  <c r="I15" i="17"/>
  <c r="I16" i="17" s="1"/>
  <c r="J15" i="17"/>
  <c r="J16" i="17" s="1"/>
  <c r="K15" i="17"/>
  <c r="L15" i="17"/>
  <c r="M15" i="17"/>
  <c r="O15" i="17"/>
  <c r="O16" i="17" s="1"/>
  <c r="P15" i="17"/>
  <c r="R15" i="17"/>
  <c r="R16" i="17" s="1"/>
  <c r="U15" i="17"/>
  <c r="AA15" i="17"/>
  <c r="AB15" i="17"/>
  <c r="AC15" i="17"/>
  <c r="AD15" i="17"/>
  <c r="AD16" i="17" s="1"/>
  <c r="G16" i="17"/>
  <c r="H16" i="17"/>
  <c r="K16" i="17"/>
  <c r="L16" i="17"/>
  <c r="M16" i="17"/>
  <c r="N16" i="17"/>
  <c r="P16" i="17"/>
  <c r="Q16" i="17"/>
  <c r="S16" i="17"/>
  <c r="T16" i="17"/>
  <c r="U16" i="17"/>
  <c r="V16" i="17"/>
  <c r="W16" i="17"/>
  <c r="X16" i="17"/>
  <c r="Y16" i="17"/>
  <c r="Z16" i="17"/>
  <c r="AA16" i="17"/>
  <c r="AB16" i="17"/>
  <c r="AC16" i="17"/>
  <c r="AE16" i="17"/>
  <c r="AF16" i="17"/>
  <c r="AG16" i="17"/>
  <c r="AH16" i="17"/>
  <c r="AI16" i="17"/>
  <c r="AJ16" i="17"/>
  <c r="AK16" i="17"/>
  <c r="AL16" i="17"/>
  <c r="AM16" i="17"/>
  <c r="AN16" i="17"/>
  <c r="AO16" i="17"/>
  <c r="AP16" i="17"/>
  <c r="AQ16" i="17"/>
  <c r="AR16" i="17"/>
  <c r="AS16" i="17"/>
  <c r="AT16" i="17"/>
  <c r="AU16" i="17"/>
  <c r="AV16" i="17"/>
  <c r="AW16" i="17"/>
  <c r="AX16" i="17"/>
  <c r="AY16" i="17"/>
  <c r="AZ16" i="17"/>
  <c r="BA16" i="17"/>
  <c r="BB16" i="17"/>
  <c r="BC16" i="17"/>
  <c r="BD16" i="17"/>
  <c r="BE16" i="17"/>
  <c r="BF16" i="17"/>
  <c r="BG16" i="17"/>
  <c r="BH16" i="17"/>
  <c r="BI16" i="17"/>
  <c r="BJ16" i="17"/>
  <c r="BK16" i="17"/>
  <c r="BL16" i="17"/>
  <c r="BM16" i="17"/>
  <c r="BN16" i="17"/>
  <c r="BO16" i="17"/>
  <c r="BP16" i="17"/>
  <c r="BQ16" i="17"/>
  <c r="BR16" i="17"/>
  <c r="BS16" i="17"/>
  <c r="BT16" i="17"/>
  <c r="BU16" i="17"/>
  <c r="BV16" i="17"/>
  <c r="BW16" i="17"/>
  <c r="BX16" i="17"/>
  <c r="BY16" i="17"/>
  <c r="BZ16" i="17"/>
  <c r="CA16" i="17"/>
  <c r="D17" i="17"/>
  <c r="Q17" i="17"/>
  <c r="AF17" i="17"/>
  <c r="I18" i="17"/>
  <c r="J18" i="17"/>
  <c r="D18" i="17" s="1"/>
  <c r="M18" i="17"/>
  <c r="O18" i="17"/>
  <c r="Q18" i="17"/>
  <c r="R18" i="17"/>
  <c r="U18" i="17"/>
  <c r="V18" i="17"/>
  <c r="AD18" i="17"/>
  <c r="AH18" i="17"/>
  <c r="AI18" i="17"/>
  <c r="AJ18" i="17"/>
  <c r="AK18" i="17"/>
  <c r="F19" i="17"/>
  <c r="H19" i="17"/>
  <c r="I19" i="17"/>
  <c r="J19" i="17"/>
  <c r="D19" i="17" s="1"/>
  <c r="K19" i="17"/>
  <c r="L19" i="17"/>
  <c r="M19" i="17"/>
  <c r="O19" i="17"/>
  <c r="P19" i="17"/>
  <c r="Q19" i="17"/>
  <c r="U19" i="17"/>
  <c r="AB19" i="17"/>
  <c r="AJ19" i="17"/>
  <c r="AL19" i="17"/>
  <c r="AM19" i="17"/>
  <c r="D20" i="17"/>
  <c r="F21" i="17"/>
  <c r="I21" i="17"/>
  <c r="J21" i="17"/>
  <c r="D21" i="17" s="1"/>
  <c r="K21" i="17"/>
  <c r="L21" i="17"/>
  <c r="M21" i="17"/>
  <c r="O21" i="17"/>
  <c r="P21" i="17"/>
  <c r="U21" i="17"/>
  <c r="AB21" i="17"/>
  <c r="AJ21" i="17"/>
  <c r="AK21" i="17"/>
  <c r="AL21" i="17"/>
  <c r="AM21" i="17"/>
  <c r="D22" i="17"/>
  <c r="D23" i="17"/>
  <c r="D24" i="17"/>
  <c r="L25" i="17"/>
  <c r="D25" i="17" s="1"/>
  <c r="P25" i="17"/>
  <c r="D26" i="17"/>
  <c r="I27" i="17"/>
  <c r="J27" i="17"/>
  <c r="K27" i="17"/>
  <c r="M27" i="17"/>
  <c r="O27" i="17"/>
  <c r="D27" i="17" s="1"/>
  <c r="P27" i="17"/>
  <c r="Q27" i="17"/>
  <c r="R27" i="17"/>
  <c r="U27" i="17"/>
  <c r="AB27" i="17"/>
  <c r="AD27" i="17"/>
  <c r="AH27" i="17"/>
  <c r="AI27" i="17"/>
  <c r="AJ27" i="17"/>
  <c r="AK27" i="17"/>
  <c r="AL27" i="17"/>
  <c r="AM27" i="17"/>
  <c r="AN27" i="17"/>
  <c r="AR27" i="17"/>
  <c r="AS27" i="17"/>
  <c r="AT27" i="17"/>
  <c r="AU27" i="17"/>
  <c r="AV27" i="17"/>
  <c r="D28" i="17"/>
  <c r="F29" i="17"/>
  <c r="G29" i="17"/>
  <c r="H29" i="17"/>
  <c r="I29" i="17"/>
  <c r="D29" i="17" s="1"/>
  <c r="J29" i="17"/>
  <c r="K29" i="17"/>
  <c r="M29" i="17"/>
  <c r="P29" i="17"/>
  <c r="R29" i="17"/>
  <c r="U29" i="17"/>
  <c r="AB29" i="17"/>
  <c r="AD29" i="17"/>
  <c r="AH29" i="17"/>
  <c r="CB29" i="17"/>
  <c r="I30" i="17"/>
  <c r="M30" i="17"/>
  <c r="S30" i="17"/>
  <c r="AA30" i="17"/>
  <c r="AD30" i="17"/>
  <c r="D30" i="17" s="1"/>
  <c r="AJ30" i="17"/>
  <c r="BA30" i="17"/>
  <c r="D31" i="17"/>
  <c r="M31" i="17"/>
  <c r="AF31" i="17"/>
  <c r="M32" i="17"/>
  <c r="V32" i="17"/>
  <c r="D32" i="17" s="1"/>
  <c r="AD32" i="17"/>
  <c r="BH32" i="17"/>
  <c r="M33" i="17"/>
  <c r="N33" i="17"/>
  <c r="R33" i="17"/>
  <c r="V33" i="17"/>
  <c r="AO33" i="17"/>
  <c r="D33" i="17" s="1"/>
  <c r="AW33" i="17"/>
  <c r="BD33" i="17"/>
  <c r="BI33" i="17"/>
  <c r="I34" i="17"/>
  <c r="M34" i="17"/>
  <c r="AA34" i="17"/>
  <c r="AD34" i="17"/>
  <c r="D34" i="17" s="1"/>
  <c r="AJ34" i="17"/>
  <c r="BA34" i="17"/>
  <c r="I35" i="17"/>
  <c r="M35" i="17"/>
  <c r="AA35" i="17"/>
  <c r="AD35" i="17"/>
  <c r="AJ35" i="17"/>
  <c r="D35" i="17" s="1"/>
  <c r="BA35" i="17"/>
  <c r="M36" i="17"/>
  <c r="D36" i="17" s="1"/>
  <c r="AF36" i="17"/>
  <c r="D37" i="17"/>
  <c r="M37" i="17"/>
  <c r="AF37" i="17"/>
  <c r="D38" i="17"/>
  <c r="I38" i="17"/>
  <c r="M38" i="17"/>
  <c r="AA38" i="17"/>
  <c r="AD38" i="17"/>
  <c r="AJ38" i="17"/>
  <c r="BA38" i="17"/>
  <c r="I39" i="17"/>
  <c r="D39" i="17" s="1"/>
  <c r="M39" i="17"/>
  <c r="N39" i="17"/>
  <c r="R39" i="17"/>
  <c r="S39" i="17"/>
  <c r="U39" i="17"/>
  <c r="Y39" i="17"/>
  <c r="AA39" i="17"/>
  <c r="AD39" i="17"/>
  <c r="AF39" i="17"/>
  <c r="AJ39" i="17"/>
  <c r="AL39" i="17"/>
  <c r="AN39" i="17"/>
  <c r="AX39" i="17"/>
  <c r="AY39" i="17"/>
  <c r="AZ39" i="17"/>
  <c r="BA39" i="17"/>
  <c r="BB39" i="17"/>
  <c r="BC39" i="17"/>
  <c r="BD39" i="17"/>
  <c r="BE39" i="17"/>
  <c r="M40" i="17"/>
  <c r="R40" i="17"/>
  <c r="AD40" i="17"/>
  <c r="D40" i="17" s="1"/>
  <c r="AF40" i="17"/>
  <c r="AN40" i="17"/>
  <c r="AS40" i="17"/>
  <c r="AX40" i="17"/>
  <c r="BD40" i="17"/>
  <c r="BF40" i="17"/>
  <c r="BI40" i="17"/>
  <c r="BJ40" i="17"/>
  <c r="D41" i="17"/>
  <c r="M42" i="17"/>
  <c r="D42" i="17" s="1"/>
  <c r="AF42" i="17"/>
  <c r="D43" i="17"/>
  <c r="M44" i="17"/>
  <c r="N44" i="17"/>
  <c r="D44" i="17" s="1"/>
  <c r="O44" i="17"/>
  <c r="R44" i="17"/>
  <c r="S44" i="17"/>
  <c r="U44" i="17"/>
  <c r="Y44" i="17"/>
  <c r="AD44" i="17"/>
  <c r="AS44" i="17"/>
  <c r="AW44" i="17"/>
  <c r="AZ44" i="17"/>
  <c r="BA44" i="17"/>
  <c r="BC44" i="17"/>
  <c r="BD44" i="17"/>
  <c r="BK44" i="17"/>
  <c r="D45" i="17"/>
  <c r="E46" i="17"/>
  <c r="D46" i="17" s="1"/>
  <c r="K46" i="17"/>
  <c r="M46" i="17"/>
  <c r="N46" i="17"/>
  <c r="P46" i="17"/>
  <c r="R46" i="17"/>
  <c r="U46" i="17"/>
  <c r="AC46" i="17"/>
  <c r="BB46" i="17"/>
  <c r="BD46" i="17"/>
  <c r="BL46" i="17"/>
  <c r="BM46" i="17"/>
  <c r="BN46" i="17"/>
  <c r="BO46" i="17"/>
  <c r="BP46" i="17"/>
  <c r="BQ46" i="17"/>
  <c r="D47" i="17"/>
  <c r="G47" i="17"/>
  <c r="M47" i="17"/>
  <c r="D48" i="17"/>
  <c r="G48" i="17"/>
  <c r="F49" i="17"/>
  <c r="D49" i="17" s="1"/>
  <c r="G49" i="17"/>
  <c r="I49" i="17"/>
  <c r="J49" i="17"/>
  <c r="L49" i="17"/>
  <c r="M49" i="17"/>
  <c r="O49" i="17"/>
  <c r="P49" i="17"/>
  <c r="Q49" i="17"/>
  <c r="R49" i="17"/>
  <c r="S49" i="17"/>
  <c r="AW49" i="17"/>
  <c r="G50" i="17"/>
  <c r="D50" i="17" s="1"/>
  <c r="P50" i="17"/>
  <c r="Q50" i="17"/>
  <c r="S50" i="17"/>
  <c r="G51" i="17"/>
  <c r="D51" i="17" s="1"/>
  <c r="G52" i="17"/>
  <c r="D52" i="17" s="1"/>
  <c r="M52" i="17"/>
  <c r="G53" i="17"/>
  <c r="D53" i="17" s="1"/>
  <c r="M53" i="17"/>
  <c r="O53" i="17"/>
  <c r="P53" i="17"/>
  <c r="M54" i="17"/>
  <c r="D54" i="17" s="1"/>
  <c r="D21" i="18" l="1"/>
  <c r="D6" i="18"/>
  <c r="D16" i="17"/>
  <c r="D15" i="17"/>
  <c r="G6" i="11" l="1"/>
  <c r="G7" i="11"/>
  <c r="G8" i="11"/>
  <c r="G9" i="11"/>
  <c r="H9" i="11"/>
  <c r="E10" i="11"/>
  <c r="G10" i="11" s="1"/>
  <c r="G11" i="11"/>
  <c r="G12" i="11"/>
  <c r="G13" i="11"/>
  <c r="G14" i="11"/>
  <c r="G15" i="11"/>
  <c r="G16" i="11"/>
  <c r="G17" i="11"/>
  <c r="G18" i="11"/>
  <c r="H32" i="11"/>
  <c r="G33" i="11"/>
  <c r="G34" i="11"/>
  <c r="G35" i="11"/>
  <c r="G36" i="11"/>
  <c r="G37" i="11"/>
  <c r="G38" i="11"/>
  <c r="G39" i="11"/>
  <c r="G40" i="11"/>
  <c r="G41" i="11"/>
  <c r="G42" i="11"/>
  <c r="G43" i="11"/>
  <c r="G44" i="11"/>
  <c r="G45" i="11"/>
  <c r="G46" i="11"/>
  <c r="G47" i="11"/>
  <c r="G48" i="11"/>
  <c r="G49" i="11"/>
  <c r="G50" i="11"/>
  <c r="G51" i="11"/>
  <c r="G52" i="11"/>
  <c r="G53" i="11"/>
  <c r="G54" i="11"/>
  <c r="G55" i="11"/>
  <c r="J4" i="10" a="1"/>
  <c r="J4" i="10" s="1"/>
  <c r="J6" i="10"/>
  <c r="M6" i="10"/>
  <c r="O6" i="10" s="1"/>
  <c r="J7" i="10"/>
  <c r="O7" i="10"/>
  <c r="J8" i="10"/>
  <c r="O8" i="10"/>
  <c r="J9" i="10"/>
  <c r="O9" i="10"/>
  <c r="J10" i="10"/>
  <c r="O10" i="10"/>
  <c r="J11" i="10"/>
  <c r="O11" i="10"/>
  <c r="J12" i="10"/>
  <c r="O12" i="10"/>
  <c r="J13" i="10"/>
  <c r="O13" i="10"/>
  <c r="J14" i="10"/>
  <c r="O14" i="10"/>
  <c r="J15" i="10"/>
  <c r="O15" i="10"/>
  <c r="J16" i="10"/>
  <c r="O16" i="10"/>
  <c r="J17" i="10"/>
  <c r="O17" i="10"/>
  <c r="J18" i="10"/>
  <c r="O18" i="10"/>
  <c r="J19" i="10"/>
  <c r="O19" i="10"/>
  <c r="J20" i="10"/>
  <c r="O20" i="10"/>
  <c r="J21" i="10"/>
  <c r="O21" i="10"/>
  <c r="J22" i="10"/>
  <c r="O22" i="10"/>
  <c r="J23" i="10"/>
  <c r="O23" i="10"/>
  <c r="J24" i="10"/>
  <c r="O24" i="10"/>
  <c r="J25" i="10"/>
  <c r="O25" i="10"/>
  <c r="J26" i="10"/>
  <c r="O26" i="10"/>
  <c r="J27" i="10"/>
  <c r="O27" i="10"/>
  <c r="J28" i="10"/>
  <c r="O28" i="10"/>
  <c r="J29" i="10"/>
  <c r="O29" i="10"/>
  <c r="J30" i="10"/>
  <c r="O30" i="10"/>
  <c r="J31" i="10"/>
  <c r="O31" i="10"/>
  <c r="J32" i="10"/>
  <c r="O32" i="10"/>
  <c r="J33" i="10"/>
  <c r="O33" i="10"/>
  <c r="J34" i="10"/>
  <c r="O34" i="10"/>
  <c r="J35" i="10"/>
  <c r="O35" i="10"/>
  <c r="J36" i="10"/>
  <c r="O36" i="10"/>
  <c r="J37" i="10"/>
  <c r="O37" i="10"/>
  <c r="J38" i="10"/>
  <c r="O38" i="10"/>
  <c r="J39" i="10"/>
  <c r="O39" i="10"/>
  <c r="J40" i="10"/>
  <c r="O40" i="10"/>
  <c r="J41" i="10"/>
  <c r="O41" i="10"/>
  <c r="J42" i="10"/>
  <c r="O42" i="10"/>
  <c r="J43" i="10"/>
  <c r="O43" i="10"/>
  <c r="J44" i="10"/>
  <c r="O44" i="10"/>
  <c r="J45" i="10"/>
  <c r="O45" i="10"/>
  <c r="J46" i="10"/>
  <c r="O46" i="10"/>
  <c r="J47" i="10"/>
  <c r="O47" i="10"/>
  <c r="J48" i="10"/>
  <c r="O48" i="10"/>
  <c r="J49" i="10"/>
  <c r="O49" i="10"/>
  <c r="J50" i="10"/>
  <c r="O50" i="10"/>
  <c r="J51" i="10"/>
  <c r="O51" i="10"/>
  <c r="J52" i="10"/>
  <c r="O52" i="10"/>
  <c r="J53" i="10"/>
  <c r="O53" i="10"/>
  <c r="J54" i="10"/>
  <c r="O54" i="10"/>
  <c r="H51" i="11" l="1"/>
  <c r="O56" i="10"/>
  <c r="H44" i="11"/>
  <c r="G57" i="11"/>
  <c r="H18" i="11"/>
  <c r="H39" i="11"/>
  <c r="B5"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<sst xmlns="http://schemas.openxmlformats.org/spreadsheetml/2006/main" count="3747" uniqueCount="790">
  <si>
    <t>Database</t>
  </si>
  <si>
    <t>Activity</t>
  </si>
  <si>
    <t>comment</t>
  </si>
  <si>
    <t>(Unknown)</t>
  </si>
  <si>
    <t>location</t>
  </si>
  <si>
    <t>GLO</t>
  </si>
  <si>
    <t>production amount</t>
  </si>
  <si>
    <t>type</t>
  </si>
  <si>
    <t>process</t>
  </si>
  <si>
    <t>unit</t>
  </si>
  <si>
    <t>Exchanges</t>
  </si>
  <si>
    <t>name</t>
  </si>
  <si>
    <t>amount</t>
  </si>
  <si>
    <t>database</t>
  </si>
  <si>
    <t>categories</t>
  </si>
  <si>
    <t>square meter</t>
  </si>
  <si>
    <t>technosphere</t>
  </si>
  <si>
    <t>kilogram</t>
  </si>
  <si>
    <t>market for wire drawing, copper</t>
  </si>
  <si>
    <t>market for copper, cathode</t>
  </si>
  <si>
    <t>kilowatt hour</t>
  </si>
  <si>
    <t>RER</t>
  </si>
  <si>
    <t>market for nickel, class 1</t>
  </si>
  <si>
    <t>RoW</t>
  </si>
  <si>
    <t>market for zinc</t>
  </si>
  <si>
    <t>market for glass fibre</t>
  </si>
  <si>
    <t>production</t>
  </si>
  <si>
    <t>market for brass</t>
  </si>
  <si>
    <t>market for tin</t>
  </si>
  <si>
    <t>skip</t>
  </si>
  <si>
    <t>Informations</t>
  </si>
  <si>
    <t>LCA result path</t>
  </si>
  <si>
    <t>The path where the 'Result PELCA' folder is located (without 'Result PELCA' in the path name). If the folder does not exist, the tool will create a 'Results PELCA' folder and perform the LCA.</t>
  </si>
  <si>
    <t>Project name (brightway)</t>
  </si>
  <si>
    <t>inverter_test_02</t>
  </si>
  <si>
    <t>The project name provided in Brightway will be built using the Biosphere database (Brightway) and Ecoinvent. For each new project, the databases will need to be reinstalled. The project can then be viewed and utilized with Activity Browser.</t>
  </si>
  <si>
    <t>Inventory name</t>
  </si>
  <si>
    <t>The inventory name within the project will also be visible and usable in Activity Browser. The inventory consists of activities listed in the 'Inventory - Manufacturing' and 'Inventory - Use' sheets, with the inventory name specified at the beginning of the 'Inventory - Manufacturing' sheet.</t>
  </si>
  <si>
    <t>Database ecoinvent</t>
  </si>
  <si>
    <t>The name of the Ecoinvent database being used. If the database is not yet installed in the Brightway project under the name 'Project name (Brightway)', the tool will install it into the project.</t>
  </si>
  <si>
    <t>Ecoinvent path</t>
  </si>
  <si>
    <t>The path to the 'datasets' of the database if it needs to be installed.</t>
  </si>
  <si>
    <t>Type of simulation (Analysis\Monte Carlo)</t>
  </si>
  <si>
    <t>Analysis</t>
  </si>
  <si>
    <t>The tool allows for environmental quantification through either a traditional LCA (Analysis) or an uncertainty analysis (Monte Carlo). Selecting 'Monte Carlo' also performs a traditional LCA.</t>
  </si>
  <si>
    <t>Number of iterations (Monte Carlo)</t>
  </si>
  <si>
    <t>The number of iterations for the uncertainty analysis, "Monte Carlo" option.</t>
  </si>
  <si>
    <t>Acronym</t>
  </si>
  <si>
    <t>Method name</t>
  </si>
  <si>
    <t>Impact category</t>
  </si>
  <si>
    <t>Specific context</t>
  </si>
  <si>
    <t>Unit</t>
  </si>
  <si>
    <t>The methods selected for LCA.</t>
  </si>
  <si>
    <t>GWP</t>
  </si>
  <si>
    <t>EF v3.0 no LT</t>
  </si>
  <si>
    <t>climate change no LT</t>
  </si>
  <si>
    <t>global warming potential (GWP100) no LT</t>
  </si>
  <si>
    <t>kg CO2 eq</t>
  </si>
  <si>
    <t>OD</t>
  </si>
  <si>
    <t>ozone depletion no LT</t>
  </si>
  <si>
    <t>ozone depletion potential (ODP) no LT</t>
  </si>
  <si>
    <t>kg CFC-11 eq</t>
  </si>
  <si>
    <t>HT</t>
  </si>
  <si>
    <t>human toxicity: carcinogenic no LT</t>
  </si>
  <si>
    <t>comparative toxic unit for human (CTUh) no LT</t>
  </si>
  <si>
    <t>CTUh</t>
  </si>
  <si>
    <t>HTNC</t>
  </si>
  <si>
    <t>human toxicity: non-carcinogenic no LT</t>
  </si>
  <si>
    <t>PMF</t>
  </si>
  <si>
    <t>particulate matter formation no LT</t>
  </si>
  <si>
    <t>impact on human health no LT</t>
  </si>
  <si>
    <t>disease incidence</t>
  </si>
  <si>
    <t>IR</t>
  </si>
  <si>
    <t>ionising radiation: human health no LT</t>
  </si>
  <si>
    <t>human exposure efficiency relative to u235 no LT</t>
  </si>
  <si>
    <t>kBq U-235 eq</t>
  </si>
  <si>
    <t>POF</t>
  </si>
  <si>
    <t>photochemical oxidant formation: human health no LT</t>
  </si>
  <si>
    <t>tropospheric ozone concentration increase no LT</t>
  </si>
  <si>
    <t>kg NMVOC eq</t>
  </si>
  <si>
    <t>TAP</t>
  </si>
  <si>
    <t>acidification no LT</t>
  </si>
  <si>
    <t>accumulated exceedance (AE) no LT</t>
  </si>
  <si>
    <t>mol H+ eq</t>
  </si>
  <si>
    <t>TE</t>
  </si>
  <si>
    <t>eutrophication: terrestrial no LT</t>
  </si>
  <si>
    <t>mol N eq</t>
  </si>
  <si>
    <t>FE</t>
  </si>
  <si>
    <t>eutrophication: freshwater no LT</t>
  </si>
  <si>
    <t>fraction of nutrients reaching freshwater end compartment (P) no LT</t>
  </si>
  <si>
    <t>kg P eq</t>
  </si>
  <si>
    <t>ME</t>
  </si>
  <si>
    <t>eutrophication: marine no LT</t>
  </si>
  <si>
    <t>fraction of nutrients reaching marine end compartment (N) no LT</t>
  </si>
  <si>
    <t>kg N eq</t>
  </si>
  <si>
    <t>FET</t>
  </si>
  <si>
    <t>ecotoxicity: freshwater no LT</t>
  </si>
  <si>
    <t>comparative toxic unit for ecosystems (CTUe) no LT</t>
  </si>
  <si>
    <t>CTUe</t>
  </si>
  <si>
    <t>WD</t>
  </si>
  <si>
    <t>water use no LT</t>
  </si>
  <si>
    <t>user deprivation potential (deprivation-weighted water consumption) no LT</t>
  </si>
  <si>
    <t>m3 world eq</t>
  </si>
  <si>
    <t>MRD</t>
  </si>
  <si>
    <t>material resources: metals/minerals no LT</t>
  </si>
  <si>
    <t>abiotic depletion potential (ADP): elements (ultimate reserves) no LT</t>
  </si>
  <si>
    <t>kg Sb eq</t>
  </si>
  <si>
    <t>FD</t>
  </si>
  <si>
    <t>energy resources: non-renewable no LT</t>
  </si>
  <si>
    <t>abiotic depletion potential (ADP): fossil fuels no LT</t>
  </si>
  <si>
    <t>MJ</t>
  </si>
  <si>
    <t>LU</t>
  </si>
  <si>
    <t>land use no LT</t>
  </si>
  <si>
    <t>soil quality index no LT</t>
  </si>
  <si>
    <t>Dimensionless</t>
  </si>
  <si>
    <t>RU raw cost/price (€)</t>
  </si>
  <si>
    <t xml:space="preserve"> RU assembly cost/price (€)</t>
  </si>
  <si>
    <t>RU disassembly cost/price (€)</t>
  </si>
  <si>
    <t>Service life (year)</t>
  </si>
  <si>
    <t>Duration of use of the staircase curve.</t>
  </si>
  <si>
    <t>Annual usage time (hours/year)</t>
  </si>
  <si>
    <t>Operating duration in hours per year for the entire system. This information is linked to the 'Inventory - Use' sheet, where each activity represents the energy consumption per hour of the RUs.</t>
  </si>
  <si>
    <t>Time step (step/year)</t>
  </si>
  <si>
    <t>Time step for the staircase curve; for example, a time step of 1 means that the points on the staircase curve are spaced 1 year apart.</t>
  </si>
  <si>
    <t>Early failure</t>
  </si>
  <si>
    <t>True</t>
  </si>
  <si>
    <t>Modeling of failure: choose 'True' if this type of failure is considered, or 'False' if it is not considered.</t>
  </si>
  <si>
    <t>Random failure</t>
  </si>
  <si>
    <t>Wearout failure</t>
  </si>
  <si>
    <t>Preventive Maintenance</t>
  </si>
  <si>
    <t>Modeling of maintenance of RU: choose 'True' if maintenance is considered, or 'False' if it is not considered.</t>
  </si>
  <si>
    <t>Monte Carlo (number of iteration)</t>
  </si>
  <si>
    <t>Number of iterations for the staircase curve (due to the probabilistic distribution of faults). Note that the staircase curve is calculated deterministically for each iteration, but Monte Carlo iterations allow to determine the distribution of impacts. If you select the number 1, the staircase curve will be presented in a different way.</t>
  </si>
  <si>
    <t>Plot specific env. impact</t>
  </si>
  <si>
    <t>All staircase curves for each impact are displayed on a single plot. However, this number is an option to show the staircase curve for a selected impact on a separate plot. The number corresponds to the impact listed in the 'LCIA' sheet, ranked by the same number.</t>
  </si>
  <si>
    <t>Early failure (beta)</t>
  </si>
  <si>
    <t>Random failure (beta)</t>
  </si>
  <si>
    <t>Wear-out failure (beta)</t>
  </si>
  <si>
    <t>Prev. Maintenance (year)</t>
  </si>
  <si>
    <t>The tool allows models the diagnosis associated with the system, specifically detailing the replacement scenarios when a fault occurs. This includes identifying what components are replaced within the system, To achieve this, this sheet constructs the Replacement Matrix (RM). The numbers in the matrix represent the average proportion of each component replaced when a fault occurs in a specific RU, with values ranging from 0 to 1. Row indices represent faults in a specific RU (e.g., Fault RU1), while column indices represent the RUs to be replaced (e.g., RU1).
To clarify, consider an example with 2 RUs, resulting in a 2x2 matrix. In this example, if the value in the first row, first column (Fault RU1 ; RU1) is 1, and the value in the first row, second column (Fault RU1 ; RU2) is 0.6, this means that when a fault occurs in RU1, 100% of RU1 and 60% of RU2 are replaced according to the diagnosis.</t>
  </si>
  <si>
    <t>The tool models the failure of a Replacement Unit (RU) across three life stages: the 'Early' phase (associated with design or manufacturing issues that were not adequately controlled), the 'Random' phase (where failures occur randomly), and the 'Wear-out' phase (resulting from wear and tear). This sheet allows you to specify the parameters necessary to create failure functions (probability distributions) for the RUs. The probability distribution used to model failures is Weibull, characterized by two parameters: β (the shape parameter) and σ (the scale parameter - in years). Failures during the early phase have β &lt; 1, random failures have β = 1, and wear-out failures have β &gt; 1.
Maintenance (year) defines the preventive maintenance time for each RU.</t>
  </si>
  <si>
    <t>Early failure (sigma, year)</t>
  </si>
  <si>
    <t>Random failure (sigma, year)</t>
  </si>
  <si>
    <t>Wear-out failure (sigma, year)</t>
  </si>
  <si>
    <t>ecoinvent 3.9.1_cutoff_ecoSpold02</t>
  </si>
  <si>
    <t>Shunt 4 Pin</t>
  </si>
  <si>
    <t>market for resistor, surface-mounted</t>
  </si>
  <si>
    <t>#34</t>
  </si>
  <si>
    <t>Tag</t>
  </si>
  <si>
    <t>Heatsink</t>
  </si>
  <si>
    <t>market for aluminium alloy, AlLi</t>
  </si>
  <si>
    <t>#17</t>
  </si>
  <si>
    <t>market for steel, low-alloyed, hot rolled</t>
  </si>
  <si>
    <t>market for casting, aluminium, lost-wax</t>
  </si>
  <si>
    <t>market for polysulfone</t>
  </si>
  <si>
    <t>Capacitor NP</t>
  </si>
  <si>
    <t>market for capacitor, for surface-mounting</t>
  </si>
  <si>
    <t>#1</t>
  </si>
  <si>
    <t>#2</t>
  </si>
  <si>
    <t>#3</t>
  </si>
  <si>
    <t>#4</t>
  </si>
  <si>
    <t>#5</t>
  </si>
  <si>
    <t>#6</t>
  </si>
  <si>
    <t>#7</t>
  </si>
  <si>
    <t>#8</t>
  </si>
  <si>
    <t>#9</t>
  </si>
  <si>
    <t>Resistor</t>
  </si>
  <si>
    <t>#25</t>
  </si>
  <si>
    <t>#26</t>
  </si>
  <si>
    <t>#27</t>
  </si>
  <si>
    <t>#28</t>
  </si>
  <si>
    <t>#29</t>
  </si>
  <si>
    <t>#30</t>
  </si>
  <si>
    <t>#31</t>
  </si>
  <si>
    <t>#32</t>
  </si>
  <si>
    <t>#33</t>
  </si>
  <si>
    <t>#35</t>
  </si>
  <si>
    <t>#36</t>
  </si>
  <si>
    <t>#37</t>
  </si>
  <si>
    <t>#38</t>
  </si>
  <si>
    <t>#39</t>
  </si>
  <si>
    <t>market for light emitting diode</t>
  </si>
  <si>
    <t>#12</t>
  </si>
  <si>
    <t>market for diode, glass-, for surface-mounting</t>
  </si>
  <si>
    <t>#10</t>
  </si>
  <si>
    <t>#11</t>
  </si>
  <si>
    <t>#13</t>
  </si>
  <si>
    <t>#14</t>
  </si>
  <si>
    <t>#15</t>
  </si>
  <si>
    <t>#16</t>
  </si>
  <si>
    <t>market for transistor, surface-mounted</t>
  </si>
  <si>
    <t>#22</t>
  </si>
  <si>
    <t>market for aluminium hydroxide</t>
  </si>
  <si>
    <t>#41</t>
  </si>
  <si>
    <t>market for silver</t>
  </si>
  <si>
    <t>market for phosphorus trichloride</t>
  </si>
  <si>
    <t>market for manganese(III) oxide</t>
  </si>
  <si>
    <t>market for titanium dioxide</t>
  </si>
  <si>
    <t>market for epoxy resin, liquid</t>
  </si>
  <si>
    <t>market for methyl methacrylate</t>
  </si>
  <si>
    <t>market for polydimethylsiloxane</t>
  </si>
  <si>
    <t>market for inductor, auxilliaries and energy use</t>
  </si>
  <si>
    <t>market for electronic component, active, unspecified</t>
  </si>
  <si>
    <t>#46</t>
  </si>
  <si>
    <t>#42</t>
  </si>
  <si>
    <t>#23</t>
  </si>
  <si>
    <t>#40</t>
  </si>
  <si>
    <t>#43</t>
  </si>
  <si>
    <t>#44</t>
  </si>
  <si>
    <t>#45</t>
  </si>
  <si>
    <t>#47</t>
  </si>
  <si>
    <t>#48</t>
  </si>
  <si>
    <t>#49</t>
  </si>
  <si>
    <t>Board</t>
  </si>
  <si>
    <t>market for mounting, surface mount technology, Pb-free solder</t>
  </si>
  <si>
    <t>#21</t>
  </si>
  <si>
    <t>market for printed wiring board, for surface mounting, Pb free surface</t>
  </si>
  <si>
    <t>#18</t>
  </si>
  <si>
    <t>market for electrode, negative, Ni</t>
  </si>
  <si>
    <t>market for nylon 6-6</t>
  </si>
  <si>
    <t>#20</t>
  </si>
  <si>
    <t>market for casting, brass</t>
  </si>
  <si>
    <t>market for transport, freight, sea, ferry</t>
  </si>
  <si>
    <t>ton kilometer</t>
  </si>
  <si>
    <t>market for transport, freight, aircraft, unspecified</t>
  </si>
  <si>
    <t>market for transport, freight, lorry &gt;32 metric ton, EURO6</t>
  </si>
  <si>
    <t>market for transport, freight, lorry 3.5-7.5 metric ton, EURO6</t>
  </si>
  <si>
    <t>Transport</t>
  </si>
  <si>
    <t>US</t>
  </si>
  <si>
    <t>market for kraft paper</t>
  </si>
  <si>
    <t>market for packaging film, low density polyethylene</t>
  </si>
  <si>
    <t>Package</t>
  </si>
  <si>
    <t>market for waste electric and electronic equipment</t>
  </si>
  <si>
    <t>market for waste packaging paper</t>
  </si>
  <si>
    <t>FR</t>
  </si>
  <si>
    <t>EOL</t>
  </si>
  <si>
    <t>#24</t>
  </si>
  <si>
    <t>market for electricity, low voltage</t>
  </si>
  <si>
    <t>Fault Heatsink</t>
  </si>
  <si>
    <t>Fault Board</t>
  </si>
  <si>
    <t>Fault Transport</t>
  </si>
  <si>
    <t>Fault Package</t>
  </si>
  <si>
    <t>Fault EOL</t>
  </si>
  <si>
    <t>LINK</t>
  </si>
  <si>
    <t>market group for electricity, medium voltage</t>
  </si>
  <si>
    <t>market for silicon carbide</t>
  </si>
  <si>
    <t>market for nitrogen, liquid</t>
  </si>
  <si>
    <t>market for silicon tetrahydride</t>
  </si>
  <si>
    <t>market for propane</t>
  </si>
  <si>
    <t>market for hydrogen, gaseous</t>
  </si>
  <si>
    <t>market for hydrogen fluoride</t>
  </si>
  <si>
    <t>market for ammonia, anhydrous, liquid</t>
  </si>
  <si>
    <t>market for hydrogen peroxide, without water, in 50% solution state</t>
  </si>
  <si>
    <t>market for hydrochloric acid, without water, in 30% solution state</t>
  </si>
  <si>
    <t>water production, ultrapure</t>
  </si>
  <si>
    <t>market for hexamethyldisilazane</t>
  </si>
  <si>
    <t>market for dipropylene glycol monomethyl ether</t>
  </si>
  <si>
    <t>market for phenolic resin</t>
  </si>
  <si>
    <t>market for dichloromethane</t>
  </si>
  <si>
    <t>market for trimethylamine</t>
  </si>
  <si>
    <t>market for potassium hydroxide</t>
  </si>
  <si>
    <t>market for oxygen, liquid</t>
  </si>
  <si>
    <t>market for nitric acid, without water, in 50% solution state</t>
  </si>
  <si>
    <t>market for phosphoric acid, industrial grade, without water, in 85% solution state</t>
  </si>
  <si>
    <t>market for acetic acid, without water, in 98% solution state</t>
  </si>
  <si>
    <t>market for trifluoromethane</t>
  </si>
  <si>
    <t>market for sulfur hexafluoride, liquid</t>
  </si>
  <si>
    <t>market for helium</t>
  </si>
  <si>
    <t>market for phosphane</t>
  </si>
  <si>
    <t>market for boron trifluoride</t>
  </si>
  <si>
    <t>market for tungsten concentrate</t>
  </si>
  <si>
    <t>market for argon, liquid</t>
  </si>
  <si>
    <t>market for aluminium, primary, ingot</t>
  </si>
  <si>
    <t>market for titanium</t>
  </si>
  <si>
    <t>market for activated silica</t>
  </si>
  <si>
    <t>market for polyvinylchloride, bulk polymerised</t>
  </si>
  <si>
    <t>market for carbon dioxide, liquid</t>
  </si>
  <si>
    <t>market for hazardous waste, for incineration</t>
  </si>
  <si>
    <t>market group for tap water</t>
  </si>
  <si>
    <t>market for sodium hydroxide, without water, in 50% solution state</t>
  </si>
  <si>
    <t>treatment of wastewater from wafer fabrication, wastewater treatment</t>
  </si>
  <si>
    <t>cubic meter</t>
  </si>
  <si>
    <t>compressed air production, 800 kPa gauge, &gt;30kW, optimized generation</t>
  </si>
  <si>
    <t>Europe without Switzerland</t>
  </si>
  <si>
    <t>x25</t>
  </si>
  <si>
    <t>https://4donline.ihs.com/images/VipMasterIC/IC/MCHP/MCHP-E-A0014735376/MCHP-E-A0014735376-1.pdf?hkey=6D0214268300F1406B835FE51CB13195</t>
  </si>
  <si>
    <t>Mouser</t>
  </si>
  <si>
    <t>PIC16F15345-E/SS</t>
  </si>
  <si>
    <t>Microchip</t>
  </si>
  <si>
    <t>MCHP MCU 8-BIT 32MHz 14kB 1kB PIC16F15345-E/SS 20-SSOP</t>
  </si>
  <si>
    <t>PIC16(L)F15345 
SOIC-20_SSOP-20_PDIP-20</t>
  </si>
  <si>
    <t>U103</t>
  </si>
  <si>
    <t>https://4donline.ihs.com/images/VipMasterIC/IC/MCHP/MCHP-E-A0014888762/MCHP-E-A0014888762-1.pdf?hkey=6D0214268300F1406B835FE51CB13195</t>
  </si>
  <si>
    <t>Mousser</t>
  </si>
  <si>
    <t>MCP6022-E/ST</t>
  </si>
  <si>
    <t>MCHP ANALOG OPAMP 2-Ch 10MHz MCP6022-E/ST TSSOP-8</t>
  </si>
  <si>
    <t>MCP6XX2_7 SOIC-8_MSOP-8_PDIP-8</t>
  </si>
  <si>
    <t>U102</t>
  </si>
  <si>
    <t>x10</t>
  </si>
  <si>
    <t>https://4donline.ihs.com/images/VipMasterIC/IC/MCHP/MCHP-E-A0020515312/MCHP-E-A0020515312-1.pdf?hkey=6D0214268300F1406B835FE51CB13195</t>
  </si>
  <si>
    <t>MIC9133</t>
  </si>
  <si>
    <t>Microchip Production</t>
  </si>
  <si>
    <t>MCHP ANALOG TC4432VOA, 30V, SOIC-8</t>
  </si>
  <si>
    <t>TC4432VOA</t>
  </si>
  <si>
    <t>U101</t>
  </si>
  <si>
    <t>https://4donline.ihs.com/images/VipMasterIC/IC/MCHP/MCHP-E-A0013503669/MCHP-E-A0013503669-1.pdf?hkey=6D0214268300F1406B835FE51CB13195</t>
  </si>
  <si>
    <t>MCP1792T-5002H/CB</t>
  </si>
  <si>
    <t>MCHP ANALOG VOLTAGE REGULATOR 5.0V 3LD
 MCP1792T-5002H/CB SOT-23A-3</t>
  </si>
  <si>
    <t>MCP1754S SOT-23A-3</t>
  </si>
  <si>
    <t>U100</t>
  </si>
  <si>
    <t xml:space="preserve">https://4donline.ihs.com/images/VipMasterIC/IC/MCHP/MCHP-E-A0013883766/MCHP-E-A0013883766-1.pdf?hkey=6D0214268300F1406B835FE51CB13195 </t>
  </si>
  <si>
    <t>ATA663211-GAQW</t>
  </si>
  <si>
    <t>MCHP INTERFACE LIN ATA663211-GAQW SO-8</t>
  </si>
  <si>
    <t>ATA663211 SO-8</t>
  </si>
  <si>
    <t>U4</t>
  </si>
  <si>
    <t>https://www.ti.com/quality-reliability-packaging-download/report?opn=ISO7342FCQDWRQ1</t>
  </si>
  <si>
    <t>Texas Instruments</t>
  </si>
  <si>
    <t>ISO7342FCQDWRQ1</t>
  </si>
  <si>
    <t>IC ISOLATOR DIGITAL ISO7342FCQDWRQ1 2.5kV SOIC-16</t>
  </si>
  <si>
    <t>ISO7342-Q1 SOIC-16</t>
  </si>
  <si>
    <t>U3</t>
  </si>
  <si>
    <t>https://4donline.ihs.com/images/VipMasterIC/IC/MCHP/MCHP-E-A0002923693/MCHP-E-A0001975748-1.pdf?hkey=6D0214268300F1406B835FE51CB13195</t>
  </si>
  <si>
    <t>PIC10F322T-I/OT</t>
  </si>
  <si>
    <t>MCHP MCU 8-BIT 16MHz 918B 64B PIC10F322-I/OT SOT-23-6</t>
  </si>
  <si>
    <t>PIC10F322 SOT236</t>
  </si>
  <si>
    <t>U2</t>
  </si>
  <si>
    <t>https://4donline.ihs.com/images/VipMasterIC/IC/MCHP/MCHP-E-A0013181284/MCHP-E-A0013181284-1.pdf?hkey=6D0214268300F1406B835FE51CB13195</t>
  </si>
  <si>
    <t>MCP1793T-5002H/DC</t>
  </si>
  <si>
    <t>MCHP ANALOG REG 5V MCP1793T-5002H/DC SOT-223-5</t>
  </si>
  <si>
    <t>MCP1793T_SOT-223</t>
  </si>
  <si>
    <t>U1</t>
  </si>
  <si>
    <t>https://4donline.ihs.com/images/VipMasterIC/IC/MIDC/MIDC-E-A0009162688/MIDC-E-A0009162712-1.pdf?hkey=6D0214268300F1406B835FE51CB13195</t>
  </si>
  <si>
    <t>Wurth Electronics</t>
  </si>
  <si>
    <t>TRANS SMPS 1:1.3 5V 350mA 475UH SMD AEC-Q200</t>
  </si>
  <si>
    <t>Transformer_WE_760390014</t>
  </si>
  <si>
    <t>TR1</t>
  </si>
  <si>
    <t>https://www.mouser.fr/datasheet/2/281/NCU18XH103F6SRB-1108705.pdf</t>
  </si>
  <si>
    <t>NCU18XH103F6SRB</t>
  </si>
  <si>
    <t>Murata</t>
  </si>
  <si>
    <t>RES THERMISTOR NTC 10K 3380K 1% SMD 0603</t>
  </si>
  <si>
    <t>Thermistor NTC</t>
  </si>
  <si>
    <t>TH100</t>
  </si>
  <si>
    <t>https://4donline.ihs.com/images/VipMasterIC/IC/KOAS/KOASE00031/KOASE00031-1.pdf?hkey=6D0214268300F1406B835FE51CB13195</t>
  </si>
  <si>
    <t>RK73H1JTTD1003F</t>
  </si>
  <si>
    <t>KOA Speer</t>
  </si>
  <si>
    <t>RES TKF 100k 1% 1/10W AEC-Q200 SMD 0603</t>
  </si>
  <si>
    <t>R122</t>
  </si>
  <si>
    <t>https://www.mouser.fr/ProductDetail/Panasonic/ERJ-3EKF4701V?qs=MVjVSMjNRMouVvwnqrpO2w%3D%3D&amp;utm_source=octopart&amp;utm_medium=aggregator&amp;utm_campaign=667-ERJ-3EKF4701V&amp;utm_content=Panasonic&amp;_gl=1*18jj3c0*_ga*dW5kZWZpbmVk*_ga_15W4STQT4T*dW5kZWZpbmVk*_ga_1KQLCYKRX3*dW5kZWZpbmVk</t>
  </si>
  <si>
    <t>ERJ-3EKF4701V</t>
  </si>
  <si>
    <t>Panasonic</t>
  </si>
  <si>
    <t>RES TKF 4.7K 1% 1/10W SMD 0603</t>
  </si>
  <si>
    <t>R121, R126</t>
  </si>
  <si>
    <t>https://4donline.ihs.com/images/VipMasterIC/IC/YAGO/YAGO-E-A0012006210/YAGO-E-A0012006210-1.pdf?hkey=6D0214268300F1406B835FE51CB13195</t>
  </si>
  <si>
    <t>RMCF0603FT1K00</t>
  </si>
  <si>
    <t>Stackpole Electronics</t>
  </si>
  <si>
    <t>RES TKF 1k 1% 1/10W SMD 0603</t>
  </si>
  <si>
    <t>R116, R119</t>
  </si>
  <si>
    <t>https://www.mouser.fr/ProductDetail/KOA-Speer/RK73H1JTTD1002F?qs=%252BHd4ebZ%252Bq6V15kIYdKv25A%3D%3D&amp;utm_source=octopart&amp;utm_medium=aggregator&amp;utm_campaign=660-RK73H1JTTD1002F&amp;utm_content=KOA%20Speer</t>
  </si>
  <si>
    <t xml:space="preserve">RK73H1JTTD1002F </t>
  </si>
  <si>
    <t>RES TKF 10k 1% 1/10W SMD 0603 AEC-Q200, 
RES TKF 10k 1% 1/10W AEC-Q200 SMD 0603</t>
  </si>
  <si>
    <t>R113, R115, R124</t>
  </si>
  <si>
    <t>x4000</t>
  </si>
  <si>
    <t>https://4donline.ihs.com/images/VipMasterIC/IC/SEIE/SEIE-E-A0011298520/SEIE-E-A0011298520-1.pdf?hkey=6D0214268300F1406B835FE51CB13195</t>
  </si>
  <si>
    <t>% par 1000</t>
  </si>
  <si>
    <t>RPC2512JT18R0</t>
  </si>
  <si>
    <t>RES TKF 18R 5% 1.5W SMD 2512</t>
  </si>
  <si>
    <t>R110, R114</t>
  </si>
  <si>
    <t>https://www.vishay.com/docs/30179/wslp2726.pdf</t>
  </si>
  <si>
    <t>WSLP27262L000FEA</t>
  </si>
  <si>
    <t>Vishay Dale</t>
  </si>
  <si>
    <t>RES SHUNT MS 0.002R 1% 5W SMD 2726 AEC-Q200</t>
  </si>
  <si>
    <t>R106</t>
  </si>
  <si>
    <t>https://4donline.ihs.com/images/VipMasterIC/IC/PANA/PANAE00775/PANAE00775-1.pdf?hkey=6D0214268300F1406B835FE51CB13195</t>
  </si>
  <si>
    <t>ERJ-6GEYJ200V</t>
  </si>
  <si>
    <t>RES TKF 20R 5% 1/16W SMD 0805</t>
  </si>
  <si>
    <t>R101, R102, R104</t>
  </si>
  <si>
    <t>https://4donline.ihs.com/images/VipMasterIC/IC/YAGO/YAGO-E-A0011552245/YAGO-E-A0011552245-1.pdf?hkey=6D0214268300F1406B835FE51CB13195</t>
  </si>
  <si>
    <t>RC0603FR-0720KL</t>
  </si>
  <si>
    <t>Yageo</t>
  </si>
  <si>
    <t>RES TKF 20k 1% 1/10W SMD 0603</t>
  </si>
  <si>
    <t>R100, R108, R111, R112, R120, R123,
 R125</t>
  </si>
  <si>
    <t>RC0603JR-07100RL</t>
  </si>
  <si>
    <t>RES TKF 100R 5% 1/10W SMD 0603</t>
  </si>
  <si>
    <t>R13, R14, R15, R16, R17, R109, R118</t>
  </si>
  <si>
    <t>https://4donline.ihs.com/images/VipMasterIC/IC/PANA/PANAE01161/PANAE01161-1.pdf?hkey=6D0214268300F1406B835FE51CB13195</t>
  </si>
  <si>
    <t>ERJ-3GEYJ472V</t>
  </si>
  <si>
    <t>RES TKF 4.7k 5% 1/10W SMD 0603</t>
  </si>
  <si>
    <t>R11, R12</t>
  </si>
  <si>
    <t>ERJ-3GEYJ104V</t>
  </si>
  <si>
    <t>RES TKF 100k 5% 1/10W SMD 0603 (Don't Use, Duplicate,
 Use RSMT0026)</t>
  </si>
  <si>
    <t>R6, R8, R9, R20, R103, R105, R107</t>
  </si>
  <si>
    <t>https://4donline.ihs.com/images/VipMasterIC/IC/KOAS/KOAS-E-A0002571303/KOAS-E-A0002571303-1.pdf?hkey=6D0214268300F1406B835FE51CB13195</t>
  </si>
  <si>
    <t>RC0805JR-0710KL</t>
  </si>
  <si>
    <t>RES TKF 10k 5% 1/8W SMD 0805</t>
  </si>
  <si>
    <t>R4, R5</t>
  </si>
  <si>
    <t>https://4donline.ihs.com/images/VipMasterIC/IC/VISH/VISH-E-A0015667156/VISH-E-A0015667087-1.pdf?hkey=6D0214268300F1406B835FE51CB13195</t>
  </si>
  <si>
    <t>ERJ-3GEY0R00V</t>
  </si>
  <si>
    <t>RES TKF 0R 1/10W AEC-Q200 SMD 0603</t>
  </si>
  <si>
    <t>R3</t>
  </si>
  <si>
    <t>RC0603JR-0710KL</t>
  </si>
  <si>
    <t>YAGEO</t>
  </si>
  <si>
    <t>RES TKF 10k 5% 1/10W SMD 0603</t>
  </si>
  <si>
    <t>R2, R7, R10, R18, R19, R117</t>
  </si>
  <si>
    <t>https://4donline.ihs.com/images/VipMasterIC/IC/PANA/PANAE00764/PANAE00764-1.pdf?hkey=6D0214268300F1406B835FE51CB13195</t>
  </si>
  <si>
    <t>ERJ-8RQF4R7V</t>
  </si>
  <si>
    <t>RES TKF 4.7R 1% 1/4W SMD 1206</t>
  </si>
  <si>
    <t>R1</t>
  </si>
  <si>
    <t>x1</t>
  </si>
  <si>
    <t>https://www.mouser.fr/datasheet/2/268/MSC035SMA070B_SiC_MOSFET_Datasheet-3444372.pdf</t>
  </si>
  <si>
    <t xml:space="preserve">MSC025SMA120B4 </t>
  </si>
  <si>
    <t>TRANS FET N-CH SiC MSC035SMA070B4 700V 77A 283W TO-247-4</t>
  </si>
  <si>
    <t>Transistor Sic MOS-N DSG</t>
  </si>
  <si>
    <t>Q100, Q101</t>
  </si>
  <si>
    <t>https://4donline.ihs.com/images/VipMasterIC/IC/VISH/VISH-E-A0001817585/VISH-E-A0001817609-1.pdf?hkey=6D0214268300F1406B835FE51CB13195</t>
  </si>
  <si>
    <t>SI2333DS-T1-E3</t>
  </si>
  <si>
    <t>Vishay Siliconix</t>
  </si>
  <si>
    <t>TRANS FET P-CH Si2333DS -12V -4.1A 750mW SOT-23-3</t>
  </si>
  <si>
    <t>Transistor MOS-P GSD</t>
  </si>
  <si>
    <t>Q2</t>
  </si>
  <si>
    <t>https://4donline.ihs.com/images/VipMasterIC/IC/NEXP/NEXP-E-A0014738174/NEXP-E-A0014737527-1.pdf?hkey=6D0214268300F1406B835FE51CB13195</t>
  </si>
  <si>
    <t>2N7002BK,215</t>
  </si>
  <si>
    <t>Nexperia</t>
  </si>
  <si>
    <t>TRANS FET N-CH 2N7002BK,215 60V 350mA 370mW SOT-23-3</t>
  </si>
  <si>
    <t>2N7002BK,215_SOT-23-3</t>
  </si>
  <si>
    <t>Q1, Q3, Q102</t>
  </si>
  <si>
    <t>ACT Logimark AS</t>
  </si>
  <si>
    <t>LABEL PCBA 18x6mm Datamatrix Assy# / Rev / Serial / Date</t>
  </si>
  <si>
    <t>08-10015</t>
  </si>
  <si>
    <t>LABEL1</t>
  </si>
  <si>
    <t>Keystone Electronics</t>
  </si>
  <si>
    <t>CON TERMINAL 30A Female 1x1 TH VERT</t>
  </si>
  <si>
    <t>Header 1x1</t>
  </si>
  <si>
    <t>J100, J102</t>
  </si>
  <si>
    <t>https://www.mouser.fr/ProductDetail/Microchip-Technology/TC2030-MCP-NL?qs=vpV3rcoeaPNaPItFBtR60A%3D%3D&amp;srsltid=AfmBOoroeVT1BBBs631UaUdvalHDSBcG58fy9TAXk0H4vcDK1ADUpEG9</t>
  </si>
  <si>
    <t>TC2030-MCP-NL</t>
  </si>
  <si>
    <t>CON TAG 6P No-Leg SMD VERT</t>
  </si>
  <si>
    <t>Header 1x6</t>
  </si>
  <si>
    <t>J2, J101</t>
  </si>
  <si>
    <t>#19</t>
  </si>
  <si>
    <t>x10 (Digikey)</t>
  </si>
  <si>
    <t>https://www.on-shore.com/wp-content/uploads/OSTVIXX0152-1.pdf</t>
  </si>
  <si>
    <t>Digi-Key</t>
  </si>
  <si>
    <t>OSTVI030152</t>
  </si>
  <si>
    <t>On-Shore Technology</t>
  </si>
  <si>
    <t>CON TERMINAL 5mm 1x3 Female 12-28AWG 16A TH R/A</t>
  </si>
  <si>
    <t>Header 1x3</t>
  </si>
  <si>
    <t>J1</t>
  </si>
  <si>
    <t>x1000</t>
  </si>
  <si>
    <t>https://www.mouser.fr/ProductDetail/Wakefield-Thermal/OMNI-UNI-27-50?qs=xZ%2FP%252Ba9zWqZGyF0DfCC%2F2w%3D%3D&amp;srsltid=AfmBOoosH-MPEaeqKhyxzEXeEBCD44GtEgCRShIJj3kx7Je6LSn5QHzW</t>
  </si>
  <si>
    <t>OMNI-UNI-27-50</t>
  </si>
  <si>
    <t>Wakefield</t>
  </si>
  <si>
    <t>MECH HW HEATSINK TO-247 TO-264 TO-220 OMNI-UNI-27-50</t>
  </si>
  <si>
    <t>Heatsink_OMNI-UNI-27-50</t>
  </si>
  <si>
    <t>Heatsink100</t>
  </si>
  <si>
    <t>https://4donline.ihs.com/images/VipMasterIC/IC/NEXP/NEXP-E-A0014748077/NEXP-E-A0014748684-1.pdf?hkey=6D0214268300F1406B835FE51CB13195</t>
  </si>
  <si>
    <t>BZX84J-B22.115</t>
  </si>
  <si>
    <t>DIO ZNR BZX84J-B22,115 22V 550mW SMD SOD-323F</t>
  </si>
  <si>
    <t>Diode Zener</t>
  </si>
  <si>
    <t>D101</t>
  </si>
  <si>
    <t>https://4donline.ihs.com/images/VipMasterIC/IC/RECT/RECTE00121/RECTE00121-1.pdf?hkey=6D0214268300F1406B835FE51CB13195</t>
  </si>
  <si>
    <t>BZX84C4V3</t>
  </si>
  <si>
    <t>Rectron</t>
  </si>
  <si>
    <t>DIO ZNR BZX84C4V3 4.3V 350mW SOT-23-3</t>
  </si>
  <si>
    <t>Diode Zener SOT-23-3</t>
  </si>
  <si>
    <t>D100</t>
  </si>
  <si>
    <t>https://4donline.ihs.com/images/VipMasterIC/IC/NEXP/NEXP-E-A0014748077/NEXP-E-A0014750653-1.pdf?hkey=6D0214268300F1406B835FE51CB13195</t>
  </si>
  <si>
    <t>PESD1LIN,115</t>
  </si>
  <si>
    <t>DIO TVS PESD1LIN,115 15V/24V 44V/70V 160W SMD SOD-323F</t>
  </si>
  <si>
    <t>PESD1LIN_SOD323</t>
  </si>
  <si>
    <t>D5</t>
  </si>
  <si>
    <t>https://4donline.ihs.com/images/VipMasterIC/IC/DIOD/DIOD-E-A0002837426/DIOD-E-A0002837398-1.pdf?hkey=6D0214268300F1406B835FE51CB13195</t>
  </si>
  <si>
    <t>BAS70-04-7-F</t>
  </si>
  <si>
    <t>Diodes</t>
  </si>
  <si>
    <t>DIO SCTKY ARRAY BAS70-04-7-F 1V 15mA SOT-23-3</t>
  </si>
  <si>
    <t>Diode Dual AK</t>
  </si>
  <si>
    <t>D4</t>
  </si>
  <si>
    <t>https://4donline.ihs.com/images/VipMasterIC/IC/KBEC/KBEC-E-A0011842624/KBEC-E-A0011842563-1.pdf?hkey=6D0214268300F1406B835FE51CB13195</t>
  </si>
  <si>
    <t>APT1608SGC</t>
  </si>
  <si>
    <t>Kingbright</t>
  </si>
  <si>
    <t>DIO LED GREEN 2.2V 25mA 15mcd Clear SMD 0603</t>
  </si>
  <si>
    <t>LED_green</t>
  </si>
  <si>
    <t>D3, D102</t>
  </si>
  <si>
    <t>https://www.mouser.fr/ProductDetail/Vishay-General-Semiconductor/SM6T39CAHE3_A-I?qs=wnTfsH77Xs4WnCm%252BGW997Q%3D%3D&amp;utm_source=octopart&amp;utm_medium=aggregator&amp;utm_campaign=78-SM6T39CAHE3_A%2FI&amp;utm_content=Vishayabout:blank</t>
  </si>
  <si>
    <t>SM6T39CAHE3_A/I</t>
  </si>
  <si>
    <t>Vishay</t>
  </si>
  <si>
    <t>DIODE TVS BI-DIRECTIONAL SM6T39CAHE3_A/I 39V 11.1A DO214AA</t>
  </si>
  <si>
    <t>Diode TVS Bidirectional</t>
  </si>
  <si>
    <t>D2</t>
  </si>
  <si>
    <t>https://4donline.ihs.com/images/VipMasterIC/IC/DIOD/DIODE01223/DIODE01223-1.pdf?hkey=6D0214268300F1406B835FE51CB13195</t>
  </si>
  <si>
    <t>S1GB-13-F</t>
  </si>
  <si>
    <t>DIO RECT S1G 1.1V 1A 400V DO-214AC_SMA</t>
  </si>
  <si>
    <t>Diode Single</t>
  </si>
  <si>
    <t>D1</t>
  </si>
  <si>
    <t>https://4donline.ihs.com/images/VipMasterIC/IC/KEME/KEME-E-A0001615328/KEME-E-A0001615328-1.pdf?hkey=6D0214268300F1406B835FE51CB13195</t>
  </si>
  <si>
    <t>C0603C103K5RACAUTO</t>
  </si>
  <si>
    <t>KEMET</t>
  </si>
  <si>
    <t>CAP CER 10nF 50V 10% X7R SMD 0603 AEC-Q200</t>
  </si>
  <si>
    <t>C114, C115, C117, C118</t>
  </si>
  <si>
    <t>https://4donline.ihs.com/images/VipMasterIC/IC/KEME/KEME-E-A0001262239/KEME-E-A0001262239-1.pdf?hkey=6D0214268300F1406B835FE51CB13195</t>
  </si>
  <si>
    <t>C0603C101J5GACAUTO</t>
  </si>
  <si>
    <t>CAP CER 100pF 50V 5% C0G AEC-Q200 SMD 0603</t>
  </si>
  <si>
    <t>C110, C111, C116</t>
  </si>
  <si>
    <t>https://4donline.ihs.com/images/VipMasterIC/IC/AVXC/AVXCE00537/AVXCE00537-1.pdf?hkey=6D0214268300F1406B835FE51CB13195</t>
  </si>
  <si>
    <t>08051A221J4T2A</t>
  </si>
  <si>
    <t>Kyocera AVX</t>
  </si>
  <si>
    <t>CAP CER 220pF 100V 5% C0G SMD 0805 AEC-Q200</t>
  </si>
  <si>
    <t>C14</t>
  </si>
  <si>
    <t>https://www.mouser.fr/ProductDetail/Knowles-Syfer/1812YA250472KSTUYX?qs=Li%252BoUPsLEnsBdpS5E0JL2Q%3D%3D</t>
  </si>
  <si>
    <t>1812YA250472KJTSYX</t>
  </si>
  <si>
    <t>Knowles Syfer</t>
  </si>
  <si>
    <t>CAP CER 4.7uF 2.5kV 10% X7R 1812 AEC-Q200</t>
  </si>
  <si>
    <t>C10, C108, C109</t>
  </si>
  <si>
    <t>C0805C105K3RACTU</t>
  </si>
  <si>
    <t>CAP CER 1uF 25V 10% X7R SMD 0805</t>
  </si>
  <si>
    <t>C8</t>
  </si>
  <si>
    <t>C1206C475K4RACTU</t>
  </si>
  <si>
    <t>CAP CER 4.7uF 16V 10% X7R SMD 1206</t>
  </si>
  <si>
    <t>C5, C103, C107</t>
  </si>
  <si>
    <t>https://4donline.ihs.com/images/VipMasterIC/IC/TDKC/TDKC-E-A0011842620/TDKC-E-A0011842620-1.pdf?hkey=6D0214268300F1406B835FE51CB13195</t>
  </si>
  <si>
    <t>CGA5L1X7R1H106K160AC</t>
  </si>
  <si>
    <t>TDK</t>
  </si>
  <si>
    <t>CAP CER 10uF 50V 10% X7R AEC-Q200 SMD 1206</t>
  </si>
  <si>
    <t>C3, C6, C7, C101</t>
  </si>
  <si>
    <t>C0805C103K1RACTU</t>
  </si>
  <si>
    <t>CAP CER 10000pF 100V 10% X7R SMD 0805</t>
  </si>
  <si>
    <t>C2</t>
  </si>
  <si>
    <t>https://4donline.ihs.com/images/VipMasterIC/IC/TDKC/TDKC-E-A0011842620/TDKC-E-A0011842517-1.pdf?hkey=6D0214268300F1406B835FE51CB13195</t>
  </si>
  <si>
    <t>CGA3E2X7R1H104K080AA</t>
  </si>
  <si>
    <t>CAP CER 100nF 50V 10% X7R SMD 0603 AEC-Q200</t>
  </si>
  <si>
    <t>C1, C4, C9, C11, C12, C13, C100, 
C102, C104, C105, C106, C112</t>
  </si>
  <si>
    <t>TOTAL (Prix)</t>
  </si>
  <si>
    <t>PRIX (Unitaire)</t>
  </si>
  <si>
    <t xml:space="preserve">Material Declaration DataSheet </t>
  </si>
  <si>
    <t>Notes</t>
  </si>
  <si>
    <t>Total (mg)</t>
  </si>
  <si>
    <t xml:space="preserve">Weight Unit (mg) </t>
  </si>
  <si>
    <t>Supplier</t>
  </si>
  <si>
    <t>Manufacturer Part Number</t>
  </si>
  <si>
    <t>Manufacturer</t>
  </si>
  <si>
    <t>Description</t>
  </si>
  <si>
    <t>PartType</t>
  </si>
  <si>
    <t>Designator</t>
  </si>
  <si>
    <t>Quantité</t>
  </si>
  <si>
    <t>Mass (g)</t>
  </si>
  <si>
    <t>MSCDR-EFUSE-006</t>
  </si>
  <si>
    <t>Bill of Materials - ACV</t>
  </si>
  <si>
    <t xml:space="preserve">https://www.mouser.fr/ProductDetail/Keystone-Electronics/8197?qs=lQmX4aIt5iCLtZsmTLO7fw%3D%3D&amp;utm_source=octopart&amp;utm_medium=aggregator&amp;utm_campaign=534-8197&amp;utm_content=Keystone%20Electronics </t>
  </si>
  <si>
    <t>Fuse</t>
  </si>
  <si>
    <t>Q101</t>
  </si>
  <si>
    <t>Q100</t>
  </si>
  <si>
    <t>Acide polylactique (PLA)</t>
  </si>
  <si>
    <t>26100-51-6</t>
  </si>
  <si>
    <t>Modified Amine</t>
  </si>
  <si>
    <t>827-43-0</t>
  </si>
  <si>
    <t>Diglycidylether of bisphenol-F</t>
  </si>
  <si>
    <t>54208-63-8</t>
  </si>
  <si>
    <t>Magnesium</t>
  </si>
  <si>
    <t>7439-95-4</t>
  </si>
  <si>
    <t>Crystal silica</t>
  </si>
  <si>
    <t xml:space="preserve">11# Trade Secret </t>
  </si>
  <si>
    <t>Polybutadiene derivative</t>
  </si>
  <si>
    <t xml:space="preserve">10# Trade Secret </t>
  </si>
  <si>
    <t>Acrylic resin</t>
  </si>
  <si>
    <t xml:space="preserve">9# Trade Secret </t>
  </si>
  <si>
    <t>Curing / Hardener</t>
  </si>
  <si>
    <t xml:space="preserve">8# Trade Secret </t>
  </si>
  <si>
    <t>Metal oxide</t>
  </si>
  <si>
    <t xml:space="preserve">7# Trade Secret </t>
  </si>
  <si>
    <t>Paracyclophane</t>
  </si>
  <si>
    <t>1633-22-3</t>
  </si>
  <si>
    <t>2-Propenoic acid, 2-methyl-, polymer with butyl2-methyl-2-propenoate and methyl 2-methyl-2-propenoate</t>
  </si>
  <si>
    <t>28262-63-7</t>
  </si>
  <si>
    <t>Organosilicon polymer</t>
  </si>
  <si>
    <t>68952-93-2</t>
  </si>
  <si>
    <t>Polyurethane</t>
  </si>
  <si>
    <t>9009-54-5</t>
  </si>
  <si>
    <t>Iron oxide (Fe2O3)</t>
  </si>
  <si>
    <t>1309-37-1</t>
  </si>
  <si>
    <t>Aluminum hydroxide</t>
  </si>
  <si>
    <t>25035-78-3</t>
  </si>
  <si>
    <t>Pbo</t>
  </si>
  <si>
    <t>1309-60-0</t>
  </si>
  <si>
    <t>Diethylene glycol monobutyl ether</t>
  </si>
  <si>
    <t>112-34-5</t>
  </si>
  <si>
    <t>Lead Borosilicate Glass</t>
  </si>
  <si>
    <t xml:space="preserve">6# Trade Secret </t>
  </si>
  <si>
    <t>Lead silicate [Glass]</t>
  </si>
  <si>
    <t>10099-76-0</t>
  </si>
  <si>
    <t>Glass (Pb free) (contains Bismuth, Silicon &amp; Boron)</t>
  </si>
  <si>
    <t>65997-17-3</t>
  </si>
  <si>
    <t>Glass Frit</t>
  </si>
  <si>
    <t>65997-18-4</t>
  </si>
  <si>
    <t>Potassium titanium oxide ; K2Ti6013</t>
  </si>
  <si>
    <t>12056-51-8</t>
  </si>
  <si>
    <t>Titanium dioxide ; Ti02</t>
  </si>
  <si>
    <t>13463-67-7</t>
  </si>
  <si>
    <t>Chromium (III) oxide ; Cr203</t>
  </si>
  <si>
    <t>1308-38-9</t>
  </si>
  <si>
    <t>Zinc oxide ; Zn0</t>
  </si>
  <si>
    <t>1314-13-2</t>
  </si>
  <si>
    <t>Boron oxide ; B203</t>
  </si>
  <si>
    <t>1303-86-2</t>
  </si>
  <si>
    <t>Ruthenium(IV) oxide ; Ru02</t>
  </si>
  <si>
    <t>12036-10-1</t>
  </si>
  <si>
    <t>Calcium oxide ; Ca0</t>
  </si>
  <si>
    <t>1305-78-8</t>
  </si>
  <si>
    <t>Aluminum oxide : A1203</t>
  </si>
  <si>
    <t>1344-28-1</t>
  </si>
  <si>
    <t>Epoxy Filler</t>
  </si>
  <si>
    <t>129915-35-1</t>
  </si>
  <si>
    <t>Triphenylphosphine</t>
  </si>
  <si>
    <t>603-35-0</t>
  </si>
  <si>
    <t>Non hazardous</t>
  </si>
  <si>
    <t xml:space="preserve">5# Trade Secret </t>
  </si>
  <si>
    <t>Misc. Sulfur compounds (generic)</t>
  </si>
  <si>
    <t>7704-34-9</t>
  </si>
  <si>
    <t>Chromium (Cr)</t>
  </si>
  <si>
    <t>7440-47-3</t>
  </si>
  <si>
    <t>Carbon (C)</t>
  </si>
  <si>
    <t>7440-44-0</t>
  </si>
  <si>
    <t>Brominated Epoxy</t>
  </si>
  <si>
    <t>68928-70-1</t>
  </si>
  <si>
    <t>Antimony Trioxide</t>
  </si>
  <si>
    <t>1309-64-4</t>
  </si>
  <si>
    <t>Silicon dioxide</t>
  </si>
  <si>
    <t>14808-60-7</t>
  </si>
  <si>
    <t>Cpbalt (Co)</t>
  </si>
  <si>
    <t>7440-48-4</t>
  </si>
  <si>
    <t>Bismuth (Bi)</t>
  </si>
  <si>
    <t>7440-69-9</t>
  </si>
  <si>
    <t>Antimony (Sb)</t>
  </si>
  <si>
    <t>7440-36-0</t>
  </si>
  <si>
    <t>Phenol formaldehyde resin</t>
  </si>
  <si>
    <t>9003-35-4</t>
  </si>
  <si>
    <t>Epoxy cresol novolac resin</t>
  </si>
  <si>
    <t>29690-82-2</t>
  </si>
  <si>
    <t>Manganese</t>
  </si>
  <si>
    <t>7439-96-5</t>
  </si>
  <si>
    <t>Aluminum</t>
  </si>
  <si>
    <t>7429-90-5</t>
  </si>
  <si>
    <t>BT Board</t>
  </si>
  <si>
    <t xml:space="preserve">4# Trade Secret </t>
  </si>
  <si>
    <t xml:space="preserve">Epoxy Resin </t>
  </si>
  <si>
    <t>25068-38-6</t>
  </si>
  <si>
    <t>Gallium</t>
  </si>
  <si>
    <t>7440-55-3</t>
  </si>
  <si>
    <t>7631-86-9</t>
  </si>
  <si>
    <t>Flame Retardant</t>
  </si>
  <si>
    <t>21645-51-2</t>
  </si>
  <si>
    <t>Pd</t>
  </si>
  <si>
    <t>7439-92-1</t>
  </si>
  <si>
    <t>PbO</t>
  </si>
  <si>
    <t>1317-36-8</t>
  </si>
  <si>
    <t>CaZrO3</t>
  </si>
  <si>
    <t>12013-47-7</t>
  </si>
  <si>
    <t>Nd2O3</t>
  </si>
  <si>
    <t>1313-97-9</t>
  </si>
  <si>
    <t>Bi2Ti2O7</t>
  </si>
  <si>
    <t>12048-51-0</t>
  </si>
  <si>
    <t>BaTiO3</t>
  </si>
  <si>
    <t>7787-45-3</t>
  </si>
  <si>
    <t>Miscellaneous</t>
  </si>
  <si>
    <t xml:space="preserve">2# Trade Secret </t>
  </si>
  <si>
    <t>Sn | Tin</t>
  </si>
  <si>
    <t>7440-31-5</t>
  </si>
  <si>
    <t>12047-27-7</t>
  </si>
  <si>
    <t>Palladium (Pd)</t>
  </si>
  <si>
    <t xml:space="preserve">7440-05-3 </t>
  </si>
  <si>
    <t>Nickle (Ni)</t>
  </si>
  <si>
    <t>7440-02-0</t>
  </si>
  <si>
    <t>Gold (Au)</t>
  </si>
  <si>
    <t>7440-57-5</t>
  </si>
  <si>
    <t xml:space="preserve">Copper (Cu) </t>
  </si>
  <si>
    <t>7440-50-8</t>
  </si>
  <si>
    <t>Silicon</t>
  </si>
  <si>
    <t>7440-21-3</t>
  </si>
  <si>
    <t>Copper(II) oxide</t>
  </si>
  <si>
    <t>1317-38-0</t>
  </si>
  <si>
    <t>Silver</t>
  </si>
  <si>
    <t>7440-22-4</t>
  </si>
  <si>
    <t>Zinc (Metal)</t>
  </si>
  <si>
    <t>7440-66-6</t>
  </si>
  <si>
    <t>Phosphorous</t>
  </si>
  <si>
    <t>7723-14-0</t>
  </si>
  <si>
    <t>Iron | Fe</t>
  </si>
  <si>
    <t>7439-89-6</t>
  </si>
  <si>
    <t xml:space="preserve">Carbon Black </t>
  </si>
  <si>
    <t>1333-86-4</t>
  </si>
  <si>
    <t xml:space="preserve">Phenolic Resin </t>
  </si>
  <si>
    <t xml:space="preserve">1# Trade Secret </t>
  </si>
  <si>
    <t>68475-94-5</t>
  </si>
  <si>
    <t>Silica, vitreous (or fused)</t>
  </si>
  <si>
    <t>60676-86-0</t>
  </si>
  <si>
    <t>Basic Substance</t>
  </si>
  <si>
    <t>CAS Number</t>
  </si>
  <si>
    <t>CAS - Code</t>
  </si>
  <si>
    <t xml:space="preserve"> 12048-51-0</t>
  </si>
  <si>
    <t xml:space="preserve">7440-21-3 </t>
  </si>
  <si>
    <t xml:space="preserve">7440-22-4 </t>
  </si>
  <si>
    <t xml:space="preserve">1333-86-4 </t>
  </si>
  <si>
    <t>Other</t>
  </si>
  <si>
    <t>Calculé (mg)</t>
  </si>
  <si>
    <t>Dataseet (mg)</t>
  </si>
  <si>
    <t>Characterization of material resources of the different components</t>
  </si>
  <si>
    <t>Unitaire (mg)</t>
  </si>
  <si>
    <t>Composants Total (mg)</t>
  </si>
  <si>
    <t>Determine the quantities of each resource for the realization of the Efuse</t>
  </si>
  <si>
    <t>Nb Materials Resources</t>
  </si>
  <si>
    <t>Total Composants</t>
  </si>
  <si>
    <t>CAS CODE</t>
  </si>
  <si>
    <t>Composants</t>
  </si>
  <si>
    <t>Top 10</t>
  </si>
  <si>
    <t>Synthesis</t>
  </si>
  <si>
    <t>Report - BOM - Efuse</t>
  </si>
  <si>
    <t>Silicon Carbide</t>
  </si>
  <si>
    <t>409-21-2</t>
  </si>
  <si>
    <t>Calcium</t>
  </si>
  <si>
    <t>7440-70-2</t>
  </si>
  <si>
    <t>INTERPOLATION</t>
  </si>
  <si>
    <t>EQUIVALENCE</t>
  </si>
  <si>
    <t>Zinc</t>
  </si>
  <si>
    <t>Titanium</t>
  </si>
  <si>
    <t>Sulfur</t>
  </si>
  <si>
    <t>Silica</t>
  </si>
  <si>
    <t>Polymer</t>
  </si>
  <si>
    <t>Phosphorus</t>
  </si>
  <si>
    <t>Nickel</t>
  </si>
  <si>
    <t>Lead</t>
  </si>
  <si>
    <t>Iron</t>
  </si>
  <si>
    <t>Gold</t>
  </si>
  <si>
    <t>Beryllium</t>
  </si>
  <si>
    <t>Ethanol</t>
  </si>
  <si>
    <t>Glass</t>
  </si>
  <si>
    <t>Copper</t>
  </si>
  <si>
    <t>Chromium</t>
  </si>
  <si>
    <t>Cobalt</t>
  </si>
  <si>
    <t>Carbon</t>
  </si>
  <si>
    <t>Chlorine</t>
  </si>
  <si>
    <t>Cadmium</t>
  </si>
  <si>
    <t>Arsenic</t>
  </si>
  <si>
    <t>Mass (mg)</t>
  </si>
  <si>
    <t>Resistors</t>
  </si>
  <si>
    <t>Power Supply</t>
  </si>
  <si>
    <t>Integrated circuits</t>
  </si>
  <si>
    <t>NP Capacitors</t>
  </si>
  <si>
    <t>SiC MOSFET Transistor #1</t>
  </si>
  <si>
    <t>SiC MOSFET Transistor #2</t>
  </si>
  <si>
    <t>Fault SiC MOSFET Transistor #1</t>
  </si>
  <si>
    <t>Fault SiC MOSFET Transistor #2</t>
  </si>
  <si>
    <t>Energy - SiC MOSFET Transistor #1</t>
  </si>
  <si>
    <t>Energy - SiC MOSFET Transistor #2</t>
  </si>
  <si>
    <t>Bill of Materials - Cost</t>
  </si>
  <si>
    <t>CAS - Component</t>
  </si>
  <si>
    <t>All Component - Efuse</t>
  </si>
  <si>
    <t>scaling factor</t>
  </si>
  <si>
    <t>quantity</t>
  </si>
  <si>
    <t>Voltage Converter - HV</t>
  </si>
  <si>
    <t>Current Measurement</t>
  </si>
  <si>
    <t>Energy - Current Measurement</t>
  </si>
  <si>
    <t>Fault Voltage Converter - HV</t>
  </si>
  <si>
    <t>Fault Current Measurement</t>
  </si>
  <si>
    <t>Protection Control</t>
  </si>
  <si>
    <t>Protection Command</t>
  </si>
  <si>
    <t>Fault Protection Control</t>
  </si>
  <si>
    <t>Fault Protection Command</t>
  </si>
  <si>
    <t>Voltage Converter – LV</t>
  </si>
  <si>
    <t>Fault Voltage Converter – LV</t>
  </si>
  <si>
    <t>Voltage Converter - LV</t>
  </si>
  <si>
    <t>Communication - Protocol LIN</t>
  </si>
  <si>
    <t>Fault Communication - Protocol LIN</t>
  </si>
  <si>
    <t>Transformer - LV-HV Zone</t>
  </si>
  <si>
    <t>Fault Transformer - LV-HV Zone</t>
  </si>
  <si>
    <t>Energy - Integrated circuits</t>
  </si>
  <si>
    <t>#40 #43-#45 #47-#49</t>
  </si>
  <si>
    <t>eFuse_Microchip</t>
  </si>
  <si>
    <t>market for core board</t>
  </si>
  <si>
    <t>Electricity cost (€/kWh)</t>
  </si>
  <si>
    <t>The tool allows models the diagnosis associated with the system, specifically detailing the replacement scenarios when a fault occurs. This includes identifying what components are replaced within the system, To achieve this, this sheet constructs the Replacement Matrix (RM). The numbers in the matrix represent the probability to replace each RU when a specific RU fails, with values ranging from 0 to 1. Row indices represent faults in a specific RU (e.g., Fault RU1), while column indices represent the RUs to be replaced (e.g., RU1). To clarify, consider an example with 2 RUs, resulting in a 2x2 matrix. In this example, if the value in the first row, first column (Fault RU1 ; RU1) is 1, and the value in the first row, second column (Fault RU1 ; RU2) is 0.6, this means that when a fault occurs in RU1, there is 100% probability of replacing RU1 and 60% probabilitu of replacing RU2 according to the diagnosis.</t>
  </si>
  <si>
    <t>Version</t>
  </si>
  <si>
    <t>V1.4.0</t>
  </si>
  <si>
    <t>User-editable values</t>
  </si>
  <si>
    <t>Must be modified by the user before running the simulation</t>
  </si>
  <si>
    <t>Data ingested by Brightway to calculate the imapcts</t>
  </si>
  <si>
    <t>TEXT</t>
  </si>
  <si>
    <t>LEGEND Excel</t>
  </si>
  <si>
    <t>https://github.com/merce-fra/PELCA</t>
  </si>
  <si>
    <r>
      <rPr>
        <b/>
        <sz val="14"/>
        <color theme="1"/>
        <rFont val="Calibri"/>
        <family val="2"/>
      </rPr>
      <t xml:space="preserve">GNU LESSER GENERAL PUBLIC LICENSE
Version 3, 29 June 2007
</t>
    </r>
    <r>
      <rPr>
        <sz val="11"/>
        <color theme="1"/>
        <rFont val="Calibri"/>
        <family val="2"/>
        <charset val="1"/>
      </rPr>
      <t xml:space="preserve">
 Copyright (C) 2007 Free Software Foundation, Inc. &lt;https://fsf.org/&gt;
 Everyone is permitted to copy and distribute verbatim copies
 of this license document, but changing it is not allowed.
 This version of the GNU Lesser General Public License incorporates
the terms and conditions of version 3 of the GNU General Public
License, supplemented by the additional permissions listed below.
</t>
    </r>
    <r>
      <rPr>
        <b/>
        <sz val="11"/>
        <color theme="1"/>
        <rFont val="Calibri"/>
        <family val="2"/>
      </rPr>
      <t xml:space="preserve"> 0. Additional Definitions.</t>
    </r>
    <r>
      <rPr>
        <sz val="11"/>
        <color theme="1"/>
        <rFont val="Calibri"/>
        <family val="2"/>
        <charset val="1"/>
      </rPr>
      <t xml:space="preserve">
As used herein, "this License" refers to version 3 of the GNU Lesser
General Public License, and the "GNU GPL" refers to version 3 of the GNU
</t>
    </r>
    <r>
      <rPr>
        <i/>
        <sz val="11"/>
        <color theme="1"/>
        <rFont val="Calibri"/>
        <family val="2"/>
      </rPr>
      <t>General Public License.</t>
    </r>
    <r>
      <rPr>
        <sz val="11"/>
        <color theme="1"/>
        <rFont val="Calibri"/>
        <family val="2"/>
        <charset val="1"/>
      </rPr>
      <t xml:space="preserve">
"The Library" refers to a covered work governed by this License,
other than an Application or a Combined Work as defined below.
An "Application" is any work that makes use of an interface provided
by the Library, but which is not otherwise based on the Library.
Defining a subclass of a class defined by the Library is deemed a mode
of using an interface provided by the Library.
A "Combined Work" is a work produced by combining or linking an
Application with the Library.  The particular version of the Library
with which the Combined Work was made is also called the "Linked
Version".
The "Minimal Corresponding Source" for a Combined Work means the
Corresponding Source for the Combined Work, excluding any source code
for portions of the Combined Work that, considered in isolation, are
based on the Application, and not on the Linked Version.
The "Corresponding Application Code" for a Combined Work means the
object code and/or source code for the Application, including any data
and utility programs needed for reproducing the Combined Work from the
Application, but excluding the System Libraries of the Combined Work.
</t>
    </r>
    <r>
      <rPr>
        <b/>
        <sz val="11"/>
        <color theme="1"/>
        <rFont val="Calibri"/>
        <family val="2"/>
      </rPr>
      <t>1. Exception to Section 3 of the GNU GPL.</t>
    </r>
    <r>
      <rPr>
        <sz val="11"/>
        <color theme="1"/>
        <rFont val="Calibri"/>
        <family val="2"/>
        <charset val="1"/>
      </rPr>
      <t xml:space="preserve">
You may convey a covered work under sections 3 and 4 of this License
without being bound by section 3 of the GNU GPL.
</t>
    </r>
    <r>
      <rPr>
        <b/>
        <sz val="11"/>
        <color theme="1"/>
        <rFont val="Calibri"/>
        <family val="2"/>
      </rPr>
      <t>2. Conveying Modified Versions.</t>
    </r>
    <r>
      <rPr>
        <sz val="11"/>
        <color theme="1"/>
        <rFont val="Calibri"/>
        <family val="2"/>
        <charset val="1"/>
      </rPr>
      <t xml:space="preserve">
If you modify a copy of the Library, and, in your modifications, a
facility refers to a function or data to be supplied by an Application
that uses the facility (other than as an argument passed when the
facility is invoked), then you may convey a copy of the modified
version:
   a) under this License, provided that you make a good faith effort to
   ensure that, in the event an Application does not supply the
   function or data, the facility still operates, and performs
   whatever part of its purpose remains meaningful, or
   b) under the GNU GPL, with none of the additional permissions of
   this License applicable to that copy.
</t>
    </r>
    <r>
      <rPr>
        <b/>
        <sz val="11"/>
        <color theme="1"/>
        <rFont val="Calibri"/>
        <family val="2"/>
      </rPr>
      <t>3. Object Code Incorporating Material from Library Header Files.</t>
    </r>
    <r>
      <rPr>
        <sz val="11"/>
        <color theme="1"/>
        <rFont val="Calibri"/>
        <family val="2"/>
        <charset val="1"/>
      </rPr>
      <t xml:space="preserve">
The object code form of an Application may incorporate material from
a header file that is part of the Library.  You may convey such object
code under terms of your choice, provided that, if the incorporated
material is not limited to numerical parameters, data structure
layouts and accessors, or small macros, inline functions and templates
(ten or fewer lines in length), you do both of the following:
   a) Give prominent notice with each copy of the object code that the
   Library is used in it and that the Library and its use are
   covered by this License.
   b) Accompany the object code with a copy of the GNU GPL and this license
   document.
</t>
    </r>
    <r>
      <rPr>
        <b/>
        <sz val="11"/>
        <color theme="1"/>
        <rFont val="Calibri"/>
        <family val="2"/>
      </rPr>
      <t>4. Combined Works.</t>
    </r>
    <r>
      <rPr>
        <sz val="11"/>
        <color theme="1"/>
        <rFont val="Calibri"/>
        <family val="2"/>
        <charset val="1"/>
      </rPr>
      <t xml:space="preserve">
You may convey a Combined Work under terms of your choice that,
taken together, effectively do not restrict modification of the
portions of the Library contained in the Combined Work and reverse
engineering for debugging such modifications, if you also do each of
the following:
   a) Give prominent notice with each copy of the Combined Work that
   the Library is used in it and that the Library and its use are
   covered by this License.
   b) Accompany the Combined Work with a copy of the GNU GPL and this license
   document.
   c) For a Combined Work that displays copyright notices during
   execution, include the copyright notice for the Library among
   these notices, as well as a reference directing the user to the
   copies of the GNU GPL and this license document.
   d) Do one of the following:
       0) Convey the Minimal Corresponding Source under the terms of this
       License, and the Corresponding Application Code in a form
       suitable for, and under terms that permit, the user to
       recombine or relink the Application with a modified version of
       the Linked Version to produce a modified Combined Work, in the
       manner specified by section 6 of the GNU GPL for conveying
       Corresponding Source.
       1) Use a suitable shared library mechanism for linking with the
       Library.  A suitable mechanism is one that (a) uses at run time
       a copy of the Library already present on the user's computer
       system, and (b) will operate properly with a modified version
       of the Library that is interface-compatible with the Linked
       Version.
   e) Provide Installation Information, but only if you would otherwise
   be required to provide such information under section 6 of the
   GNU GPL, and only to the extent that such information is
   necessary to install and execute a modified version of the
   Combined Work produced by recombining or relinking the
   Application with a modified version of the Linked Version. (If
   you use option 4d0, the Installation Information must accompany
   the Minimal Corresponding Source and Corresponding Application
   Code. If you use option 4d1, you must provide the Installation
   Information in the manner specified by section 6 of the GNU GPL
   for conveying Corresponding Source.)
  5. Combined Libraries.
  You may place library facilities that are a work based on the
Library side by side in a single library together with other library
facilities that are not Applications and are not covered by this
License, and convey such a combined library under terms of your
choice, if you do both of the following:
   a) Accompany the combined library with a copy of the same work based
   on the Library, uncombined with any other library facilities,
   conveyed under the terms of this License.
   b) Give prominent notice with the combined library that part of it
   is a work based on the Library, and explaining where to find the
   accompanying uncombined form of the same work.
  6. Revised Versions of the GNU Lesser General Public License.
  The Free Software Foundation may publish revised and/or new versions
of the GNU Lesser General Public License from time to time. Such new
versions will be similar in spirit to the present version, but may
differ in detail to address new problems or concerns.
  Each version is given a distinguishing version number. If the
Library as you received it specifies that a certain numbered version
of the GNU Lesser General Public License "or any later version"
applies to it, you have the option of following the terms and
conditions either of that published version or of any later version
published by the Free Software Foundation. If the Library as you
received it does not specify a version number of the GNU Lesser
General Public License, you may choose any version of the GNU Lesser
General Public License ever published by the Free Software Foundation.
If the Library as you received it specifies that a proxy can decide
whether future versions of the GNU Lesser General Public License shall
apply, that proxy's public statement of acceptance of any version is
permanent authorization for you to choose that version for the
Library.</t>
    </r>
  </si>
  <si>
    <t>/Users/username/Downloads/ecoinvent 3.9.1_cutoff_ecoSpold02/datasets</t>
  </si>
  <si>
    <t>C:\Users\username\filepath</t>
  </si>
  <si>
    <t>A RU (Reference Unit) can include multiple units. For example:
- RU: 4 NP-type capacitors
- Unit: 1 NP-type capacitor
The exchange flows for each RU are defined based on a single unit.
If the RU consists of N units, this is indicated in the 'scaling factor' column of the last row by N. This cell shows that the flows defined for a single unit (in the column 'quantity') represent 1/N of the flows for the total RU. Therefore, the flows for the total RU correspond to N times the flows of a single unit. Example: the RU is a power switch embedding 4 power dice in parallel --&gt; the listed exchanges corresponds to the flows for the manufacturing of 1 power die ; the cell of column D ('scaling factor'), last row indicates 4 ; the cell of column E ('amount'), last row automatically indicates 1/N = 0,25 ; this means that the amounts of all the listed flows will be divided by 0,25 (i.e. multiplied by 4) when computing the manufacturing impacts of this 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</si>
</sst>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quot;€&quot;_ ;_ * \(#,##0.00\)\ &quot;€&quot;_ ;_ * &quot;-&quot;??_)\ &quot;€&quot;_ ;_ @_ "/>
    <numFmt numFmtId="165" formatCode="0.0000"/>
    <numFmt numFmtId="166" formatCode="0\ %"/>
    <numFmt numFmtId="167" formatCode="0.000E+00"/>
    <numFmt numFmtId="168" formatCode="_ * #,##0.0000_)\ &quot;€&quot;_ ;_ * \(#,##0.0000\)\ &quot;€&quot;_ ;_ * &quot;-&quot;??_)\ &quot;€&quot;_ ;_ @_ "/>
    <numFmt numFmtId="169" formatCode="_ * #,##0.000_)\ &quot;€&quot;_ ;_ * \(#,##0.000\)\ &quot;€&quot;_ ;_ * &quot;-&quot;???_)\ &quot;€&quot;_ ;_ @_ "/>
    <numFmt numFmtId="170" formatCode="_ * #,##0.000_)\ &quot;€&quot;_ ;_ * \(#,##0.000\)\ &quot;€&quot;_ ;_ * &quot;-&quot;??_)\ &quot;€&quot;_ ;_ @_ "/>
    <numFmt numFmtId="171" formatCode="0.000"/>
  </numFmts>
  <fonts count="38">
    <font>
      <sz val="11"/>
      <color theme="1"/>
      <name val="Calibri"/>
      <family val="2"/>
      <charset val="1"/>
    </font>
    <font>
      <b/>
      <sz val="12"/>
      <color theme="1"/>
      <name val="Calibri"/>
      <family val="2"/>
      <charset val="1"/>
    </font>
    <font>
      <b/>
      <i/>
      <sz val="11"/>
      <color theme="1" tint="0.49977111117893003"/>
      <name val="Calibri"/>
      <family val="2"/>
      <charset val="1"/>
    </font>
    <font>
      <i/>
      <sz val="11"/>
      <color rgb="FF7F7F7F"/>
      <name val="Calibri"/>
      <family val="2"/>
      <charset val="1"/>
    </font>
    <font>
      <sz val="11"/>
      <color theme="1"/>
      <name val="Calibri"/>
      <family val="2"/>
    </font>
    <font>
      <u/>
      <sz val="11"/>
      <color theme="10"/>
      <name val="Calibri"/>
      <family val="2"/>
      <charset val="1"/>
    </font>
    <font>
      <sz val="11"/>
      <color theme="1"/>
      <name val="Calibri"/>
      <family val="2"/>
      <charset val="1"/>
    </font>
    <font>
      <u/>
      <sz val="11"/>
      <color theme="10"/>
      <name val="Calibri"/>
      <family val="2"/>
      <scheme val="minor"/>
    </font>
    <font>
      <sz val="8"/>
      <name val="Calibri"/>
      <family val="2"/>
      <charset val="1"/>
    </font>
    <font>
      <sz val="11"/>
      <color rgb="FF000000"/>
      <name val="Aptos Narrow"/>
      <family val="2"/>
    </font>
    <font>
      <b/>
      <sz val="12"/>
      <color theme="1"/>
      <name val="Calibri (Corps)"/>
    </font>
    <font>
      <sz val="11"/>
      <color theme="1"/>
      <name val="Calibri (Corps)"/>
    </font>
    <font>
      <sz val="12"/>
      <color theme="1"/>
      <name val="Calibri (Corps)"/>
    </font>
    <font>
      <sz val="11"/>
      <color rgb="FF000000"/>
      <name val="Calibri"/>
      <family val="2"/>
      <charset val="1"/>
    </font>
    <font>
      <sz val="11"/>
      <name val="Calibri"/>
      <family val="2"/>
      <scheme val="minor"/>
    </font>
    <font>
      <b/>
      <sz val="12"/>
      <color theme="1"/>
      <name val="Calibri"/>
      <family val="2"/>
      <scheme val="minor"/>
    </font>
    <font>
      <sz val="11"/>
      <color theme="1"/>
      <name val="Calibri"/>
      <family val="2"/>
      <scheme val="minor"/>
    </font>
    <font>
      <sz val="8"/>
      <color theme="1"/>
      <name val="Calibri"/>
      <family val="2"/>
      <scheme val="minor"/>
    </font>
    <font>
      <i/>
      <sz val="8"/>
      <color theme="1"/>
      <name val="Calibri"/>
      <family val="2"/>
      <scheme val="minor"/>
    </font>
    <font>
      <b/>
      <sz val="11"/>
      <color theme="1"/>
      <name val="Calibri"/>
      <family val="2"/>
      <scheme val="minor"/>
    </font>
    <font>
      <b/>
      <sz val="8"/>
      <color theme="1"/>
      <name val="Calibri"/>
      <family val="2"/>
      <scheme val="minor"/>
    </font>
    <font>
      <sz val="22"/>
      <color theme="1"/>
      <name val="Calibri"/>
      <family val="2"/>
      <scheme val="minor"/>
    </font>
    <font>
      <sz val="14"/>
      <color theme="1"/>
      <name val="Calibri"/>
      <family val="2"/>
      <scheme val="minor"/>
    </font>
    <font>
      <b/>
      <i/>
      <sz val="11"/>
      <color theme="1"/>
      <name val="Calibri"/>
      <family val="2"/>
      <scheme val="minor"/>
    </font>
    <font>
      <sz val="10"/>
      <color rgb="FF242424"/>
      <name val="Arial Unicode MS"/>
      <family val="2"/>
    </font>
    <font>
      <b/>
      <sz val="9"/>
      <color theme="5"/>
      <name val="Calibri"/>
      <family val="2"/>
      <scheme val="minor"/>
    </font>
    <font>
      <sz val="11"/>
      <color rgb="FFC00000"/>
      <name val="Calibri"/>
      <family val="2"/>
      <scheme val="minor"/>
    </font>
    <font>
      <sz val="11"/>
      <color rgb="FFC00000"/>
      <name val="Calibri (Corps)"/>
    </font>
    <font>
      <sz val="11"/>
      <color rgb="FFC00000"/>
      <name val="Calibri"/>
      <family val="2"/>
      <charset val="1"/>
    </font>
    <font>
      <sz val="11"/>
      <name val="Calibri (Corps)"/>
    </font>
    <font>
      <sz val="11"/>
      <name val="Calibri"/>
      <family val="2"/>
      <charset val="1"/>
    </font>
    <font>
      <sz val="12"/>
      <color rgb="FFC00000"/>
      <name val="Calibri (Corps)"/>
    </font>
    <font>
      <sz val="11"/>
      <color rgb="FFC00000"/>
      <name val="Calibri"/>
      <family val="2"/>
    </font>
    <font>
      <i/>
      <sz val="11"/>
      <color rgb="FF808080"/>
      <name val="Calibri"/>
      <family val="2"/>
    </font>
    <font>
      <b/>
      <sz val="14"/>
      <color theme="1"/>
      <name val="Calibri"/>
      <family val="2"/>
    </font>
    <font>
      <i/>
      <sz val="14"/>
      <color theme="1"/>
      <name val="Calibri"/>
      <family val="2"/>
    </font>
    <font>
      <i/>
      <sz val="11"/>
      <color theme="1"/>
      <name val="Calibri"/>
      <family val="2"/>
    </font>
    <font>
      <b/>
      <sz val="11"/>
      <color theme="1"/>
      <name val="Calibri"/>
      <family val="2"/>
    </font>
  </fonts>
  <fills count="30">
    <fill>
      <patternFill patternType="none"/>
    </fill>
    <fill>
      <patternFill patternType="gray125"/>
    </fill>
    <fill>
      <patternFill patternType="solid">
        <fgColor theme="0"/>
        <bgColor rgb="FFF2F2F2"/>
      </patternFill>
    </fill>
    <fill>
      <patternFill patternType="solid">
        <fgColor theme="0" tint="-0.14999847407452621"/>
        <bgColor rgb="FFD0CECE"/>
      </patternFill>
    </fill>
    <fill>
      <patternFill patternType="solid">
        <fgColor rgb="FFFF0000"/>
        <bgColor rgb="FF993300"/>
      </patternFill>
    </fill>
    <fill>
      <patternFill patternType="solid">
        <fgColor rgb="FFFFC000"/>
        <bgColor rgb="FFFF9900"/>
      </patternFill>
    </fill>
    <fill>
      <patternFill patternType="solid">
        <fgColor theme="2" tint="-0.249977111117893"/>
        <bgColor rgb="FFBFBFBF"/>
      </patternFill>
    </fill>
    <fill>
      <patternFill patternType="solid">
        <fgColor theme="2" tint="-9.9978637043366805E-2"/>
        <bgColor rgb="FFD9D9D9"/>
      </patternFill>
    </fill>
    <fill>
      <patternFill patternType="solid">
        <fgColor rgb="FFC0C0C0"/>
        <bgColor rgb="FFBFBFBF"/>
      </patternFill>
    </fill>
    <fill>
      <patternFill patternType="solid">
        <fgColor theme="0" tint="-4.9989318521683403E-2"/>
        <bgColor indexed="64"/>
      </patternFill>
    </fill>
    <fill>
      <patternFill patternType="solid">
        <fgColor theme="0"/>
        <bgColor rgb="FFFFFFCC"/>
      </patternFill>
    </fill>
    <fill>
      <patternFill patternType="solid">
        <fgColor theme="9" tint="0.39997558519241921"/>
        <bgColor rgb="FFFF9900"/>
      </patternFill>
    </fill>
    <fill>
      <patternFill patternType="solid">
        <fgColor theme="9"/>
        <bgColor rgb="FFFF9900"/>
      </patternFill>
    </fill>
    <fill>
      <patternFill patternType="solid">
        <fgColor theme="9" tint="0.39997558519241921"/>
        <bgColor indexed="64"/>
      </patternFill>
    </fill>
    <fill>
      <patternFill patternType="solid">
        <fgColor rgb="FFA9D08E"/>
        <bgColor rgb="FFFF9900"/>
      </patternFill>
    </fill>
    <fill>
      <patternFill patternType="solid">
        <fgColor theme="7"/>
        <bgColor rgb="FFFF9900"/>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70AD47"/>
        <bgColor rgb="FFFF9900"/>
      </patternFill>
    </fill>
    <fill>
      <patternFill patternType="solid">
        <fgColor rgb="FFA9D08E"/>
        <bgColor rgb="FF000000"/>
      </patternFill>
    </fill>
    <fill>
      <patternFill patternType="solid">
        <fgColor theme="7"/>
        <bgColor indexed="64"/>
      </patternFill>
    </fill>
    <fill>
      <patternFill patternType="solid">
        <fgColor theme="7"/>
        <bgColor rgb="FFFFFFCC"/>
      </patternFill>
    </fill>
    <fill>
      <patternFill patternType="solid">
        <fgColor theme="7"/>
        <bgColor rgb="FFF2F2F2"/>
      </patternFill>
    </fill>
    <fill>
      <patternFill patternType="solid">
        <fgColor rgb="FFFF0000"/>
        <bgColor indexed="64"/>
      </patternFill>
    </fill>
  </fills>
  <borders count="5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double">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right/>
      <top style="thin">
        <color auto="1"/>
      </top>
      <bottom/>
      <diagonal/>
    </border>
    <border>
      <left/>
      <right/>
      <top/>
      <bottom style="thin">
        <color auto="1"/>
      </bottom>
      <diagonal/>
    </border>
    <border>
      <left/>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bottom style="thin">
        <color indexed="64"/>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bottom style="thin">
        <color indexed="64"/>
      </bottom>
      <diagonal/>
    </border>
    <border>
      <left style="medium">
        <color indexed="64"/>
      </left>
      <right style="thin">
        <color indexed="64"/>
      </right>
      <top style="double">
        <color indexed="64"/>
      </top>
      <bottom style="thin">
        <color indexed="64"/>
      </bottom>
      <diagonal/>
    </border>
    <border>
      <left style="thin">
        <color auto="1"/>
      </left>
      <right style="thin">
        <color auto="1"/>
      </right>
      <top style="double">
        <color indexed="64"/>
      </top>
      <bottom style="thin">
        <color auto="1"/>
      </bottom>
      <diagonal/>
    </border>
    <border>
      <left style="thin">
        <color indexed="64"/>
      </left>
      <right style="medium">
        <color indexed="64"/>
      </right>
      <top style="double">
        <color indexed="64"/>
      </top>
      <bottom style="thin">
        <color indexed="64"/>
      </bottom>
      <diagonal/>
    </border>
    <border>
      <left style="medium">
        <color indexed="64"/>
      </left>
      <right/>
      <top/>
      <bottom style="double">
        <color indexed="64"/>
      </bottom>
      <diagonal/>
    </border>
    <border>
      <left/>
      <right/>
      <top style="thin">
        <color auto="1"/>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s>
  <cellStyleXfs count="8">
    <xf numFmtId="0" fontId="0" fillId="0" borderId="0"/>
    <xf numFmtId="166" fontId="6" fillId="0" borderId="0" applyBorder="0" applyProtection="0"/>
    <xf numFmtId="0" fontId="5" fillId="0" borderId="0" applyBorder="0" applyProtection="0"/>
    <xf numFmtId="0" fontId="3" fillId="0" borderId="0" applyBorder="0" applyProtection="0"/>
    <xf numFmtId="164" fontId="6" fillId="0" borderId="0" applyFont="0" applyFill="0" applyBorder="0" applyAlignment="0" applyProtection="0"/>
    <xf numFmtId="0" fontId="16" fillId="0" borderId="0"/>
    <xf numFmtId="164" fontId="16" fillId="0" borderId="0" applyFont="0" applyFill="0" applyBorder="0" applyAlignment="0" applyProtection="0"/>
    <xf numFmtId="0" fontId="7" fillId="0" borderId="0" applyNumberFormat="0" applyFill="0" applyBorder="0" applyAlignment="0" applyProtection="0"/>
  </cellStyleXfs>
  <cellXfs count="347">
    <xf numFmtId="0" fontId="0" fillId="0" borderId="0" xfId="0"/>
    <xf numFmtId="0" fontId="1" fillId="0" borderId="0" xfId="0" applyFont="1"/>
    <xf numFmtId="11" fontId="0" fillId="0" borderId="0" xfId="0" applyNumberFormat="1" applyAlignment="1">
      <alignment horizontal="center"/>
    </xf>
    <xf numFmtId="0" fontId="2" fillId="0" borderId="2" xfId="3" applyFont="1" applyBorder="1" applyAlignment="1" applyProtection="1">
      <alignment wrapText="1"/>
    </xf>
    <xf numFmtId="0" fontId="0" fillId="3" borderId="3" xfId="0" applyFill="1" applyBorder="1" applyAlignment="1">
      <alignment horizontal="left"/>
    </xf>
    <xf numFmtId="0" fontId="4" fillId="4" borderId="4" xfId="0" applyFont="1" applyFill="1" applyBorder="1" applyAlignment="1">
      <alignment horizontal="left"/>
    </xf>
    <xf numFmtId="0" fontId="3" fillId="0" borderId="5" xfId="3" applyBorder="1" applyAlignment="1" applyProtection="1">
      <alignment wrapText="1"/>
    </xf>
    <xf numFmtId="0" fontId="3" fillId="0" borderId="3" xfId="3" applyBorder="1" applyAlignment="1" applyProtection="1">
      <alignment wrapText="1"/>
    </xf>
    <xf numFmtId="0" fontId="0" fillId="4" borderId="4" xfId="0" applyFill="1" applyBorder="1" applyAlignment="1">
      <alignment horizontal="left"/>
    </xf>
    <xf numFmtId="0" fontId="0" fillId="5" borderId="4" xfId="0" applyFill="1" applyBorder="1" applyAlignment="1">
      <alignment horizontal="left"/>
    </xf>
    <xf numFmtId="0" fontId="0" fillId="6" borderId="3" xfId="0" applyFill="1" applyBorder="1"/>
    <xf numFmtId="0" fontId="0" fillId="5" borderId="3" xfId="0" applyFill="1" applyBorder="1"/>
    <xf numFmtId="0" fontId="0" fillId="5" borderId="3" xfId="0" applyFill="1" applyBorder="1" applyAlignment="1">
      <alignment wrapText="1"/>
    </xf>
    <xf numFmtId="0" fontId="0" fillId="0" borderId="3" xfId="0" applyBorder="1"/>
    <xf numFmtId="0" fontId="0" fillId="7" borderId="3" xfId="0" applyFill="1" applyBorder="1"/>
    <xf numFmtId="0" fontId="2" fillId="0" borderId="0" xfId="3" applyFont="1" applyBorder="1" applyAlignment="1" applyProtection="1">
      <alignment wrapText="1"/>
    </xf>
    <xf numFmtId="0" fontId="0" fillId="3" borderId="3" xfId="0" applyFill="1" applyBorder="1"/>
    <xf numFmtId="0" fontId="0" fillId="5" borderId="4" xfId="0" applyFill="1" applyBorder="1" applyAlignment="1">
      <alignment horizontal="right"/>
    </xf>
    <xf numFmtId="0" fontId="3" fillId="0" borderId="3" xfId="3" applyBorder="1" applyProtection="1"/>
    <xf numFmtId="0" fontId="0" fillId="0" borderId="0" xfId="0" applyAlignment="1">
      <alignment horizontal="right"/>
    </xf>
    <xf numFmtId="0" fontId="0" fillId="5" borderId="3" xfId="0" applyFill="1" applyBorder="1" applyAlignment="1">
      <alignment horizontal="right"/>
    </xf>
    <xf numFmtId="0" fontId="0" fillId="5" borderId="4" xfId="0" applyFill="1" applyBorder="1"/>
    <xf numFmtId="0" fontId="2" fillId="0" borderId="3" xfId="3" applyFont="1" applyBorder="1" applyAlignment="1" applyProtection="1">
      <alignment wrapText="1"/>
    </xf>
    <xf numFmtId="0" fontId="3" fillId="0" borderId="0" xfId="3" applyBorder="1" applyAlignment="1" applyProtection="1">
      <alignment horizontal="left" wrapText="1"/>
    </xf>
    <xf numFmtId="0" fontId="0" fillId="8" borderId="3" xfId="0" applyFill="1" applyBorder="1"/>
    <xf numFmtId="166" fontId="0" fillId="5" borderId="3" xfId="1" applyFont="1" applyFill="1" applyBorder="1" applyProtection="1"/>
    <xf numFmtId="0" fontId="3" fillId="0" borderId="0" xfId="3" applyBorder="1" applyAlignment="1" applyProtection="1">
      <alignment wrapText="1"/>
    </xf>
    <xf numFmtId="0" fontId="2" fillId="0" borderId="3" xfId="3" applyFont="1" applyBorder="1" applyAlignment="1" applyProtection="1">
      <alignment vertical="center" wrapText="1"/>
    </xf>
    <xf numFmtId="0" fontId="7" fillId="4" borderId="4" xfId="2" applyFont="1" applyFill="1" applyBorder="1" applyAlignment="1" applyProtection="1">
      <alignment horizontal="left"/>
    </xf>
    <xf numFmtId="11" fontId="0" fillId="0" borderId="0" xfId="0" applyNumberFormat="1"/>
    <xf numFmtId="9" fontId="0" fillId="0" borderId="0" xfId="0" applyNumberFormat="1"/>
    <xf numFmtId="166" fontId="0" fillId="0" borderId="0" xfId="1" applyFont="1"/>
    <xf numFmtId="0" fontId="10" fillId="0" borderId="0" xfId="0" applyFont="1"/>
    <xf numFmtId="0" fontId="11" fillId="0" borderId="0" xfId="0" applyFont="1"/>
    <xf numFmtId="0" fontId="10" fillId="0" borderId="11" xfId="0" applyFont="1" applyBorder="1"/>
    <xf numFmtId="0" fontId="10" fillId="0" borderId="12" xfId="0" applyFont="1" applyBorder="1"/>
    <xf numFmtId="0" fontId="12" fillId="0" borderId="12" xfId="0" applyFont="1" applyBorder="1"/>
    <xf numFmtId="0" fontId="11" fillId="0" borderId="12" xfId="0" applyFont="1" applyBorder="1"/>
    <xf numFmtId="0" fontId="10" fillId="0" borderId="13" xfId="0" applyFont="1" applyBorder="1"/>
    <xf numFmtId="0" fontId="12" fillId="0" borderId="14" xfId="0" applyFont="1" applyBorder="1"/>
    <xf numFmtId="0" fontId="12" fillId="10" borderId="1" xfId="0" applyFont="1" applyFill="1" applyBorder="1"/>
    <xf numFmtId="0" fontId="12" fillId="0" borderId="0" xfId="0" applyFont="1"/>
    <xf numFmtId="0" fontId="10" fillId="0" borderId="15" xfId="0" applyFont="1" applyBorder="1"/>
    <xf numFmtId="0" fontId="10" fillId="0" borderId="14" xfId="0" applyFont="1" applyBorder="1"/>
    <xf numFmtId="0" fontId="10" fillId="9" borderId="7" xfId="0" applyFont="1" applyFill="1" applyBorder="1"/>
    <xf numFmtId="0" fontId="10" fillId="9" borderId="3" xfId="0" applyFont="1" applyFill="1" applyBorder="1"/>
    <xf numFmtId="0" fontId="10" fillId="9" borderId="10" xfId="0" applyFont="1" applyFill="1" applyBorder="1"/>
    <xf numFmtId="0" fontId="11" fillId="0" borderId="17" xfId="0" applyFont="1" applyBorder="1"/>
    <xf numFmtId="0" fontId="11" fillId="0" borderId="18" xfId="0" applyFont="1" applyBorder="1"/>
    <xf numFmtId="0" fontId="11" fillId="0" borderId="15" xfId="0" applyFont="1" applyBorder="1"/>
    <xf numFmtId="0" fontId="10" fillId="9" borderId="19" xfId="0" applyFont="1" applyFill="1" applyBorder="1"/>
    <xf numFmtId="0" fontId="10" fillId="9" borderId="8" xfId="0" applyFont="1" applyFill="1" applyBorder="1"/>
    <xf numFmtId="0" fontId="10" fillId="9" borderId="9" xfId="0" applyFont="1" applyFill="1" applyBorder="1"/>
    <xf numFmtId="0" fontId="11" fillId="0" borderId="25" xfId="0" applyFont="1" applyBorder="1"/>
    <xf numFmtId="0" fontId="11" fillId="0" borderId="26" xfId="0" applyFont="1" applyBorder="1"/>
    <xf numFmtId="0" fontId="0" fillId="11" borderId="3" xfId="0" applyFill="1" applyBorder="1"/>
    <xf numFmtId="0" fontId="0" fillId="12" borderId="3" xfId="0" applyFill="1" applyBorder="1"/>
    <xf numFmtId="0" fontId="0" fillId="13" borderId="3" xfId="0" applyFill="1" applyBorder="1"/>
    <xf numFmtId="0" fontId="13" fillId="14" borderId="3" xfId="0" applyFont="1" applyFill="1" applyBorder="1"/>
    <xf numFmtId="0" fontId="13" fillId="14" borderId="5" xfId="0" applyFont="1" applyFill="1" applyBorder="1"/>
    <xf numFmtId="0" fontId="5" fillId="0" borderId="0" xfId="2"/>
    <xf numFmtId="164" fontId="0" fillId="0" borderId="0" xfId="4" applyFont="1"/>
    <xf numFmtId="164" fontId="0" fillId="0" borderId="0" xfId="0" applyNumberFormat="1"/>
    <xf numFmtId="0" fontId="16" fillId="0" borderId="0" xfId="5"/>
    <xf numFmtId="0" fontId="16" fillId="0" borderId="0" xfId="5" applyAlignment="1">
      <alignment horizontal="right" vertical="center"/>
    </xf>
    <xf numFmtId="169" fontId="16" fillId="0" borderId="0" xfId="5" applyNumberFormat="1"/>
    <xf numFmtId="0" fontId="16" fillId="0" borderId="3" xfId="5" applyBorder="1"/>
    <xf numFmtId="0" fontId="16" fillId="0" borderId="3" xfId="5" applyBorder="1" applyAlignment="1">
      <alignment horizontal="right" vertical="center"/>
    </xf>
    <xf numFmtId="0" fontId="17" fillId="0" borderId="3" xfId="5" applyFont="1" applyBorder="1" applyAlignment="1">
      <alignment horizontal="center"/>
    </xf>
    <xf numFmtId="0" fontId="17" fillId="0" borderId="3" xfId="5" applyFont="1" applyBorder="1"/>
    <xf numFmtId="0" fontId="17" fillId="0" borderId="3" xfId="5" applyFont="1" applyBorder="1" applyAlignment="1">
      <alignment wrapText="1"/>
    </xf>
    <xf numFmtId="0" fontId="16" fillId="17" borderId="3" xfId="5" applyFill="1" applyBorder="1" applyAlignment="1">
      <alignment horizontal="center" vertical="center"/>
    </xf>
    <xf numFmtId="0" fontId="19" fillId="0" borderId="3" xfId="5" applyFont="1" applyBorder="1" applyAlignment="1">
      <alignment horizontal="right" vertical="center"/>
    </xf>
    <xf numFmtId="0" fontId="16" fillId="0" borderId="3" xfId="5" applyBorder="1" applyAlignment="1">
      <alignment horizontal="center" vertical="center"/>
    </xf>
    <xf numFmtId="0" fontId="16" fillId="19" borderId="3" xfId="5" applyFill="1" applyBorder="1" applyAlignment="1">
      <alignment horizontal="right" vertical="center"/>
    </xf>
    <xf numFmtId="0" fontId="16" fillId="0" borderId="3" xfId="5" applyBorder="1" applyAlignment="1">
      <alignment horizontal="right"/>
    </xf>
    <xf numFmtId="0" fontId="20" fillId="9" borderId="3" xfId="5" applyFont="1" applyFill="1" applyBorder="1"/>
    <xf numFmtId="0" fontId="20" fillId="20" borderId="3" xfId="5" applyFont="1" applyFill="1" applyBorder="1" applyAlignment="1">
      <alignment horizontal="center" vertical="center"/>
    </xf>
    <xf numFmtId="0" fontId="19" fillId="21" borderId="0" xfId="5" applyFont="1" applyFill="1"/>
    <xf numFmtId="0" fontId="16" fillId="22" borderId="0" xfId="5" applyFill="1" applyAlignment="1">
      <alignment horizontal="right"/>
    </xf>
    <xf numFmtId="0" fontId="19" fillId="0" borderId="0" xfId="5" applyFont="1" applyAlignment="1">
      <alignment horizontal="center" vertical="center"/>
    </xf>
    <xf numFmtId="0" fontId="19" fillId="0" borderId="0" xfId="5" applyFont="1" applyAlignment="1">
      <alignment horizontal="center"/>
    </xf>
    <xf numFmtId="0" fontId="20" fillId="20" borderId="8" xfId="5" applyFont="1" applyFill="1" applyBorder="1" applyAlignment="1">
      <alignment horizontal="center" vertical="center"/>
    </xf>
    <xf numFmtId="0" fontId="20" fillId="9" borderId="8" xfId="5" applyFont="1" applyFill="1" applyBorder="1"/>
    <xf numFmtId="0" fontId="18" fillId="0" borderId="3" xfId="5" applyFont="1" applyBorder="1"/>
    <xf numFmtId="0" fontId="7" fillId="0" borderId="3" xfId="7" applyFill="1" applyBorder="1"/>
    <xf numFmtId="0" fontId="18" fillId="0" borderId="3" xfId="5" applyFont="1" applyBorder="1" applyAlignment="1">
      <alignment wrapText="1"/>
    </xf>
    <xf numFmtId="169" fontId="16" fillId="0" borderId="3" xfId="5" applyNumberFormat="1" applyBorder="1"/>
    <xf numFmtId="170" fontId="0" fillId="9" borderId="3" xfId="6" applyNumberFormat="1" applyFont="1" applyFill="1" applyBorder="1"/>
    <xf numFmtId="169" fontId="16" fillId="0" borderId="5" xfId="5" applyNumberFormat="1" applyBorder="1"/>
    <xf numFmtId="0" fontId="16" fillId="0" borderId="5" xfId="5" applyBorder="1"/>
    <xf numFmtId="170" fontId="0" fillId="9" borderId="5" xfId="6" applyNumberFormat="1" applyFont="1" applyFill="1" applyBorder="1"/>
    <xf numFmtId="0" fontId="17" fillId="0" borderId="5" xfId="5" applyFont="1" applyBorder="1"/>
    <xf numFmtId="0" fontId="16" fillId="17" borderId="5" xfId="5" applyFill="1" applyBorder="1" applyAlignment="1">
      <alignment horizontal="center" vertical="center"/>
    </xf>
    <xf numFmtId="0" fontId="16" fillId="0" borderId="30" xfId="5" applyBorder="1"/>
    <xf numFmtId="0" fontId="19" fillId="0" borderId="30" xfId="5" applyFont="1" applyBorder="1"/>
    <xf numFmtId="169" fontId="16" fillId="0" borderId="30" xfId="5" applyNumberFormat="1" applyBorder="1"/>
    <xf numFmtId="169" fontId="16" fillId="0" borderId="18" xfId="5" applyNumberFormat="1" applyBorder="1"/>
    <xf numFmtId="0" fontId="16" fillId="0" borderId="17" xfId="5" applyBorder="1"/>
    <xf numFmtId="170" fontId="0" fillId="9" borderId="17" xfId="6" applyNumberFormat="1" applyFont="1" applyFill="1" applyBorder="1"/>
    <xf numFmtId="0" fontId="17" fillId="0" borderId="17" xfId="5" applyFont="1" applyBorder="1"/>
    <xf numFmtId="0" fontId="16" fillId="17" borderId="16" xfId="5" applyFill="1" applyBorder="1" applyAlignment="1">
      <alignment horizontal="center" vertical="center"/>
    </xf>
    <xf numFmtId="169" fontId="16" fillId="0" borderId="10" xfId="5" applyNumberFormat="1" applyBorder="1"/>
    <xf numFmtId="0" fontId="16" fillId="17" borderId="7" xfId="5" applyFill="1" applyBorder="1" applyAlignment="1">
      <alignment horizontal="center" vertical="center"/>
    </xf>
    <xf numFmtId="169" fontId="16" fillId="0" borderId="9" xfId="5" applyNumberFormat="1" applyBorder="1"/>
    <xf numFmtId="0" fontId="16" fillId="0" borderId="8" xfId="5" applyBorder="1"/>
    <xf numFmtId="170" fontId="0" fillId="9" borderId="8" xfId="6" applyNumberFormat="1" applyFont="1" applyFill="1" applyBorder="1"/>
    <xf numFmtId="0" fontId="17" fillId="0" borderId="8" xfId="5" applyFont="1" applyBorder="1"/>
    <xf numFmtId="0" fontId="16" fillId="17" borderId="19" xfId="5" applyFill="1" applyBorder="1" applyAlignment="1">
      <alignment horizontal="center" vertical="center"/>
    </xf>
    <xf numFmtId="0" fontId="16" fillId="0" borderId="12" xfId="5" applyBorder="1"/>
    <xf numFmtId="169" fontId="16" fillId="0" borderId="22" xfId="5" applyNumberFormat="1" applyBorder="1"/>
    <xf numFmtId="0" fontId="16" fillId="0" borderId="21" xfId="5" applyBorder="1"/>
    <xf numFmtId="170" fontId="0" fillId="9" borderId="21" xfId="6" applyNumberFormat="1" applyFont="1" applyFill="1" applyBorder="1"/>
    <xf numFmtId="0" fontId="17" fillId="0" borderId="21" xfId="5" applyFont="1" applyBorder="1"/>
    <xf numFmtId="0" fontId="14" fillId="17" borderId="20" xfId="5" applyFont="1" applyFill="1" applyBorder="1" applyAlignment="1">
      <alignment horizontal="center" vertical="center"/>
    </xf>
    <xf numFmtId="0" fontId="16" fillId="17" borderId="20" xfId="5" applyFill="1" applyBorder="1" applyAlignment="1">
      <alignment horizontal="center" vertical="center"/>
    </xf>
    <xf numFmtId="0" fontId="17" fillId="0" borderId="21" xfId="5" applyFont="1" applyBorder="1" applyAlignment="1">
      <alignment wrapText="1"/>
    </xf>
    <xf numFmtId="169" fontId="16" fillId="0" borderId="26" xfId="5" applyNumberFormat="1" applyBorder="1"/>
    <xf numFmtId="0" fontId="16" fillId="0" borderId="25" xfId="5" applyBorder="1"/>
    <xf numFmtId="170" fontId="0" fillId="9" borderId="25" xfId="6" applyNumberFormat="1" applyFont="1" applyFill="1" applyBorder="1"/>
    <xf numFmtId="0" fontId="17" fillId="23" borderId="25" xfId="5" applyFont="1" applyFill="1" applyBorder="1"/>
    <xf numFmtId="0" fontId="17" fillId="0" borderId="25" xfId="5" applyFont="1" applyBorder="1"/>
    <xf numFmtId="0" fontId="16" fillId="17" borderId="24" xfId="5" applyFill="1" applyBorder="1" applyAlignment="1">
      <alignment horizontal="center" vertical="center"/>
    </xf>
    <xf numFmtId="0" fontId="17" fillId="23" borderId="3" xfId="5" applyFont="1" applyFill="1" applyBorder="1"/>
    <xf numFmtId="169" fontId="16" fillId="0" borderId="31" xfId="5" applyNumberFormat="1" applyBorder="1"/>
    <xf numFmtId="0" fontId="16" fillId="0" borderId="23" xfId="5" applyBorder="1"/>
    <xf numFmtId="170" fontId="0" fillId="9" borderId="23" xfId="6" applyNumberFormat="1" applyFont="1" applyFill="1" applyBorder="1"/>
    <xf numFmtId="0" fontId="17" fillId="23" borderId="23" xfId="5" applyFont="1" applyFill="1" applyBorder="1"/>
    <xf numFmtId="0" fontId="17" fillId="0" borderId="23" xfId="5" applyFont="1" applyBorder="1"/>
    <xf numFmtId="0" fontId="16" fillId="17" borderId="32" xfId="5" applyFill="1" applyBorder="1" applyAlignment="1">
      <alignment horizontal="center" vertical="center"/>
    </xf>
    <xf numFmtId="164" fontId="22" fillId="23" borderId="0" xfId="6" applyFont="1" applyFill="1"/>
    <xf numFmtId="170" fontId="0" fillId="0" borderId="3" xfId="6" applyNumberFormat="1" applyFont="1" applyBorder="1"/>
    <xf numFmtId="0" fontId="14" fillId="0" borderId="3" xfId="5" applyFont="1" applyBorder="1" applyAlignment="1">
      <alignment horizontal="right" vertical="center"/>
    </xf>
    <xf numFmtId="0" fontId="5" fillId="0" borderId="3" xfId="2" applyBorder="1"/>
    <xf numFmtId="49" fontId="16" fillId="0" borderId="0" xfId="5" applyNumberFormat="1"/>
    <xf numFmtId="49" fontId="16" fillId="0" borderId="0" xfId="5" applyNumberFormat="1" applyAlignment="1">
      <alignment horizontal="left" vertical="top"/>
    </xf>
    <xf numFmtId="0" fontId="19" fillId="0" borderId="0" xfId="5" applyFont="1"/>
    <xf numFmtId="49" fontId="19" fillId="0" borderId="0" xfId="5" applyNumberFormat="1" applyFont="1"/>
    <xf numFmtId="0" fontId="16" fillId="20" borderId="3" xfId="5" applyFill="1" applyBorder="1"/>
    <xf numFmtId="171" fontId="16" fillId="0" borderId="3" xfId="5" applyNumberFormat="1" applyBorder="1"/>
    <xf numFmtId="171" fontId="16" fillId="20" borderId="3" xfId="5" applyNumberFormat="1" applyFill="1" applyBorder="1"/>
    <xf numFmtId="171" fontId="17" fillId="0" borderId="3" xfId="5" applyNumberFormat="1" applyFont="1" applyBorder="1" applyAlignment="1">
      <alignment horizontal="center"/>
    </xf>
    <xf numFmtId="171" fontId="16" fillId="23" borderId="3" xfId="5" applyNumberFormat="1" applyFill="1" applyBorder="1" applyAlignment="1">
      <alignment horizontal="center"/>
    </xf>
    <xf numFmtId="0" fontId="17" fillId="0" borderId="0" xfId="5" applyFont="1"/>
    <xf numFmtId="2" fontId="16" fillId="20" borderId="3" xfId="5" applyNumberFormat="1" applyFill="1" applyBorder="1"/>
    <xf numFmtId="2" fontId="17" fillId="0" borderId="3" xfId="5" applyNumberFormat="1" applyFont="1" applyBorder="1" applyAlignment="1">
      <alignment horizontal="center"/>
    </xf>
    <xf numFmtId="171" fontId="16" fillId="16" borderId="3" xfId="5" applyNumberFormat="1" applyFill="1" applyBorder="1" applyAlignment="1">
      <alignment horizontal="center"/>
    </xf>
    <xf numFmtId="171" fontId="16" fillId="0" borderId="3" xfId="5" applyNumberFormat="1" applyBorder="1" applyAlignment="1">
      <alignment horizontal="center"/>
    </xf>
    <xf numFmtId="49" fontId="19" fillId="20" borderId="3" xfId="5" applyNumberFormat="1" applyFont="1" applyFill="1" applyBorder="1"/>
    <xf numFmtId="49" fontId="19" fillId="0" borderId="3" xfId="5" applyNumberFormat="1" applyFont="1" applyBorder="1" applyAlignment="1">
      <alignment horizontal="center" vertical="center"/>
    </xf>
    <xf numFmtId="49" fontId="19" fillId="20" borderId="3" xfId="5" applyNumberFormat="1" applyFont="1" applyFill="1" applyBorder="1" applyAlignment="1">
      <alignment horizontal="center" vertical="center"/>
    </xf>
    <xf numFmtId="49" fontId="19" fillId="0" borderId="3" xfId="5" applyNumberFormat="1" applyFont="1" applyBorder="1"/>
    <xf numFmtId="0" fontId="19" fillId="0" borderId="3" xfId="5" applyFont="1" applyBorder="1" applyAlignment="1">
      <alignment horizontal="center" vertical="center"/>
    </xf>
    <xf numFmtId="0" fontId="19" fillId="20" borderId="3" xfId="5" applyFont="1" applyFill="1" applyBorder="1" applyAlignment="1">
      <alignment horizontal="center" vertical="center"/>
    </xf>
    <xf numFmtId="0" fontId="19" fillId="20" borderId="3" xfId="5" applyFont="1" applyFill="1" applyBorder="1"/>
    <xf numFmtId="0" fontId="19" fillId="0" borderId="3" xfId="5" applyFont="1" applyBorder="1"/>
    <xf numFmtId="0" fontId="20" fillId="0" borderId="0" xfId="5" applyFont="1"/>
    <xf numFmtId="171" fontId="16" fillId="0" borderId="0" xfId="5" applyNumberFormat="1"/>
    <xf numFmtId="0" fontId="21" fillId="0" borderId="0" xfId="5" applyFont="1"/>
    <xf numFmtId="171" fontId="16" fillId="9" borderId="3" xfId="5" applyNumberFormat="1" applyFill="1" applyBorder="1" applyAlignment="1">
      <alignment horizontal="center"/>
    </xf>
    <xf numFmtId="49" fontId="19" fillId="9" borderId="3" xfId="5" applyNumberFormat="1" applyFont="1" applyFill="1" applyBorder="1"/>
    <xf numFmtId="49" fontId="19" fillId="0" borderId="5" xfId="5" applyNumberFormat="1" applyFont="1" applyBorder="1" applyAlignment="1">
      <alignment horizontal="center" vertical="center"/>
    </xf>
    <xf numFmtId="49" fontId="19" fillId="9" borderId="5" xfId="5" applyNumberFormat="1" applyFont="1" applyFill="1" applyBorder="1" applyAlignment="1">
      <alignment horizontal="center" vertical="center"/>
    </xf>
    <xf numFmtId="49" fontId="19" fillId="0" borderId="5" xfId="5" applyNumberFormat="1" applyFont="1" applyBorder="1"/>
    <xf numFmtId="49" fontId="19" fillId="9" borderId="5" xfId="5" applyNumberFormat="1" applyFont="1" applyFill="1" applyBorder="1"/>
    <xf numFmtId="0" fontId="19" fillId="0" borderId="5" xfId="5" applyFont="1" applyBorder="1" applyAlignment="1">
      <alignment horizontal="center" vertical="center"/>
    </xf>
    <xf numFmtId="0" fontId="19" fillId="9" borderId="5" xfId="5" applyFont="1" applyFill="1" applyBorder="1" applyAlignment="1">
      <alignment horizontal="center" vertical="center"/>
    </xf>
    <xf numFmtId="0" fontId="19" fillId="9" borderId="5" xfId="5" applyFont="1" applyFill="1" applyBorder="1"/>
    <xf numFmtId="0" fontId="19" fillId="0" borderId="5" xfId="5" applyFont="1" applyBorder="1"/>
    <xf numFmtId="0" fontId="20" fillId="9" borderId="5" xfId="5" applyFont="1" applyFill="1" applyBorder="1"/>
    <xf numFmtId="171" fontId="23" fillId="18" borderId="3" xfId="5" applyNumberFormat="1" applyFont="1" applyFill="1" applyBorder="1" applyAlignment="1">
      <alignment horizontal="center"/>
    </xf>
    <xf numFmtId="0" fontId="16" fillId="0" borderId="18" xfId="5" applyBorder="1"/>
    <xf numFmtId="0" fontId="24" fillId="0" borderId="17" xfId="5" applyFont="1" applyBorder="1" applyAlignment="1">
      <alignment horizontal="left" vertical="center" indent="1"/>
    </xf>
    <xf numFmtId="0" fontId="16" fillId="0" borderId="16" xfId="5" applyBorder="1"/>
    <xf numFmtId="0" fontId="23" fillId="0" borderId="0" xfId="5" applyFont="1"/>
    <xf numFmtId="0" fontId="16" fillId="0" borderId="10" xfId="5" applyBorder="1"/>
    <xf numFmtId="0" fontId="24" fillId="0" borderId="3" xfId="5" applyFont="1" applyBorder="1" applyAlignment="1">
      <alignment horizontal="left" vertical="center" indent="1"/>
    </xf>
    <xf numFmtId="0" fontId="16" fillId="0" borderId="7" xfId="5" applyBorder="1"/>
    <xf numFmtId="0" fontId="23" fillId="0" borderId="15" xfId="5" applyFont="1" applyBorder="1"/>
    <xf numFmtId="0" fontId="23" fillId="0" borderId="14" xfId="5" applyFont="1" applyBorder="1"/>
    <xf numFmtId="0" fontId="16" fillId="0" borderId="13" xfId="5" applyBorder="1"/>
    <xf numFmtId="0" fontId="15" fillId="0" borderId="11" xfId="5" applyFont="1" applyBorder="1"/>
    <xf numFmtId="0" fontId="19" fillId="0" borderId="11" xfId="5" applyFont="1" applyBorder="1"/>
    <xf numFmtId="0" fontId="18" fillId="0" borderId="0" xfId="5" applyFont="1"/>
    <xf numFmtId="0" fontId="25" fillId="0" borderId="0" xfId="7" applyFont="1" applyAlignment="1">
      <alignment horizontal="center" vertical="center"/>
    </xf>
    <xf numFmtId="14" fontId="16" fillId="0" borderId="0" xfId="5" applyNumberFormat="1"/>
    <xf numFmtId="164" fontId="0" fillId="5" borderId="3" xfId="4" applyFont="1" applyFill="1" applyBorder="1" applyAlignment="1">
      <alignment horizontal="left" vertical="top"/>
    </xf>
    <xf numFmtId="164" fontId="0" fillId="5" borderId="3" xfId="0" applyNumberFormat="1" applyFill="1" applyBorder="1" applyAlignment="1">
      <alignment horizontal="left" vertical="top"/>
    </xf>
    <xf numFmtId="168" fontId="0" fillId="5" borderId="3" xfId="0" applyNumberFormat="1" applyFill="1" applyBorder="1" applyAlignment="1">
      <alignment horizontal="left" vertical="top"/>
    </xf>
    <xf numFmtId="164" fontId="0" fillId="15" borderId="3" xfId="4" applyFont="1" applyFill="1" applyBorder="1" applyAlignment="1">
      <alignment horizontal="left" vertical="top"/>
    </xf>
    <xf numFmtId="0" fontId="15" fillId="9" borderId="3" xfId="0" applyFont="1" applyFill="1" applyBorder="1"/>
    <xf numFmtId="168" fontId="0" fillId="5" borderId="3" xfId="4" applyNumberFormat="1" applyFont="1" applyFill="1" applyBorder="1" applyAlignment="1">
      <alignment horizontal="left" vertical="top"/>
    </xf>
    <xf numFmtId="0" fontId="1" fillId="0" borderId="11" xfId="0" applyFont="1" applyBorder="1"/>
    <xf numFmtId="0" fontId="1" fillId="0" borderId="12" xfId="0" applyFont="1" applyBorder="1"/>
    <xf numFmtId="0" fontId="0" fillId="0" borderId="12" xfId="0" applyBorder="1"/>
    <xf numFmtId="0" fontId="0" fillId="0" borderId="13" xfId="0" applyBorder="1"/>
    <xf numFmtId="0" fontId="0" fillId="0" borderId="14" xfId="0" applyBorder="1"/>
    <xf numFmtId="0" fontId="0" fillId="0" borderId="15" xfId="0" applyBorder="1"/>
    <xf numFmtId="0" fontId="1" fillId="0" borderId="14" xfId="0" applyFont="1" applyBorder="1"/>
    <xf numFmtId="165" fontId="0" fillId="2" borderId="17" xfId="0" applyNumberFormat="1" applyFill="1" applyBorder="1" applyAlignment="1">
      <alignment horizontal="center"/>
    </xf>
    <xf numFmtId="0" fontId="0" fillId="0" borderId="17" xfId="0" applyBorder="1"/>
    <xf numFmtId="0" fontId="0" fillId="0" borderId="18" xfId="0" applyBorder="1" applyAlignment="1">
      <alignment horizontal="center"/>
    </xf>
    <xf numFmtId="0" fontId="13" fillId="8" borderId="3" xfId="0" applyFont="1" applyFill="1" applyBorder="1"/>
    <xf numFmtId="0" fontId="13" fillId="24" borderId="6" xfId="0" applyFont="1" applyFill="1" applyBorder="1"/>
    <xf numFmtId="0" fontId="13" fillId="14" borderId="6" xfId="0" applyFont="1" applyFill="1" applyBorder="1"/>
    <xf numFmtId="0" fontId="13" fillId="25" borderId="6" xfId="0" applyFont="1" applyFill="1" applyBorder="1"/>
    <xf numFmtId="0" fontId="0" fillId="8" borderId="38" xfId="0" applyFill="1" applyBorder="1"/>
    <xf numFmtId="0" fontId="0" fillId="0" borderId="18" xfId="0" applyBorder="1"/>
    <xf numFmtId="0" fontId="11" fillId="26" borderId="3" xfId="0" applyFont="1" applyFill="1" applyBorder="1"/>
    <xf numFmtId="0" fontId="0" fillId="26" borderId="3" xfId="0" applyFill="1" applyBorder="1" applyAlignment="1">
      <alignment horizontal="right"/>
    </xf>
    <xf numFmtId="0" fontId="0" fillId="26" borderId="3" xfId="0" applyFill="1" applyBorder="1"/>
    <xf numFmtId="0" fontId="11" fillId="26" borderId="17" xfId="0" applyFont="1" applyFill="1" applyBorder="1"/>
    <xf numFmtId="0" fontId="11" fillId="26" borderId="10" xfId="0" applyFont="1" applyFill="1" applyBorder="1"/>
    <xf numFmtId="0" fontId="0" fillId="26" borderId="3" xfId="0" applyFill="1" applyBorder="1" applyAlignment="1">
      <alignment horizontal="left"/>
    </xf>
    <xf numFmtId="0" fontId="11" fillId="26" borderId="18" xfId="0" applyFont="1" applyFill="1" applyBorder="1"/>
    <xf numFmtId="167" fontId="11" fillId="26" borderId="3" xfId="0" applyNumberFormat="1" applyFont="1" applyFill="1" applyBorder="1"/>
    <xf numFmtId="0" fontId="11" fillId="27" borderId="3" xfId="0" applyFont="1" applyFill="1" applyBorder="1"/>
    <xf numFmtId="0" fontId="11" fillId="27" borderId="8" xfId="0" applyFont="1" applyFill="1" applyBorder="1"/>
    <xf numFmtId="0" fontId="11" fillId="26" borderId="8" xfId="0" applyFont="1" applyFill="1" applyBorder="1"/>
    <xf numFmtId="0" fontId="11" fillId="26" borderId="9" xfId="0" applyFont="1" applyFill="1" applyBorder="1"/>
    <xf numFmtId="0" fontId="11" fillId="26" borderId="25" xfId="0" applyFont="1" applyFill="1" applyBorder="1"/>
    <xf numFmtId="167" fontId="11" fillId="26" borderId="8" xfId="0" applyNumberFormat="1" applyFont="1" applyFill="1" applyBorder="1"/>
    <xf numFmtId="167" fontId="11" fillId="26" borderId="0" xfId="0" applyNumberFormat="1" applyFont="1" applyFill="1"/>
    <xf numFmtId="167" fontId="11" fillId="26" borderId="34" xfId="0" applyNumberFormat="1" applyFont="1" applyFill="1" applyBorder="1"/>
    <xf numFmtId="0" fontId="11" fillId="27" borderId="34" xfId="0" applyFont="1" applyFill="1" applyBorder="1"/>
    <xf numFmtId="0" fontId="11" fillId="26" borderId="34" xfId="0" applyFont="1" applyFill="1" applyBorder="1"/>
    <xf numFmtId="0" fontId="11" fillId="26" borderId="35" xfId="0" applyFont="1" applyFill="1" applyBorder="1"/>
    <xf numFmtId="0" fontId="11" fillId="27" borderId="37" xfId="0" applyFont="1" applyFill="1" applyBorder="1"/>
    <xf numFmtId="0" fontId="11" fillId="27" borderId="5" xfId="0" applyFont="1" applyFill="1" applyBorder="1"/>
    <xf numFmtId="0" fontId="11" fillId="26" borderId="5" xfId="0" applyFont="1" applyFill="1" applyBorder="1"/>
    <xf numFmtId="0" fontId="11" fillId="26" borderId="39" xfId="0" applyFont="1" applyFill="1" applyBorder="1"/>
    <xf numFmtId="0" fontId="11" fillId="27" borderId="6" xfId="0" applyFont="1" applyFill="1" applyBorder="1"/>
    <xf numFmtId="167" fontId="11" fillId="27" borderId="6" xfId="0" applyNumberFormat="1" applyFont="1" applyFill="1" applyBorder="1"/>
    <xf numFmtId="167" fontId="11" fillId="26" borderId="5" xfId="0" applyNumberFormat="1" applyFont="1" applyFill="1" applyBorder="1"/>
    <xf numFmtId="0" fontId="11" fillId="26" borderId="41" xfId="0" applyFont="1" applyFill="1" applyBorder="1"/>
    <xf numFmtId="167" fontId="11" fillId="26" borderId="21" xfId="0" applyNumberFormat="1" applyFont="1" applyFill="1" applyBorder="1"/>
    <xf numFmtId="0" fontId="11" fillId="27" borderId="21" xfId="0" applyFont="1" applyFill="1" applyBorder="1"/>
    <xf numFmtId="0" fontId="11" fillId="26" borderId="21" xfId="0" applyFont="1" applyFill="1" applyBorder="1"/>
    <xf numFmtId="0" fontId="11" fillId="26" borderId="22" xfId="0" applyFont="1" applyFill="1" applyBorder="1"/>
    <xf numFmtId="167" fontId="11" fillId="26" borderId="43" xfId="0" applyNumberFormat="1" applyFont="1" applyFill="1" applyBorder="1"/>
    <xf numFmtId="0" fontId="11" fillId="27" borderId="43" xfId="0" applyFont="1" applyFill="1" applyBorder="1"/>
    <xf numFmtId="0" fontId="11" fillId="26" borderId="43" xfId="0" applyFont="1" applyFill="1" applyBorder="1"/>
    <xf numFmtId="0" fontId="11" fillId="26" borderId="44" xfId="0" applyFont="1" applyFill="1" applyBorder="1"/>
    <xf numFmtId="167" fontId="11" fillId="26" borderId="38" xfId="0" applyNumberFormat="1" applyFont="1" applyFill="1" applyBorder="1"/>
    <xf numFmtId="0" fontId="26" fillId="26" borderId="7" xfId="0" applyFont="1" applyFill="1" applyBorder="1"/>
    <xf numFmtId="0" fontId="27" fillId="26" borderId="7" xfId="0" applyFont="1" applyFill="1" applyBorder="1"/>
    <xf numFmtId="0" fontId="26" fillId="26" borderId="7" xfId="0" applyFont="1" applyFill="1" applyBorder="1" applyAlignment="1">
      <alignment vertical="center"/>
    </xf>
    <xf numFmtId="0" fontId="27" fillId="27" borderId="16" xfId="0" applyFont="1" applyFill="1" applyBorder="1"/>
    <xf numFmtId="0" fontId="27" fillId="26" borderId="3" xfId="0" applyFont="1" applyFill="1" applyBorder="1"/>
    <xf numFmtId="0" fontId="27" fillId="0" borderId="3" xfId="0" applyFont="1" applyBorder="1"/>
    <xf numFmtId="0" fontId="28" fillId="26" borderId="3" xfId="0" applyFont="1" applyFill="1" applyBorder="1"/>
    <xf numFmtId="0" fontId="27" fillId="10" borderId="17" xfId="0" applyFont="1" applyFill="1" applyBorder="1"/>
    <xf numFmtId="0" fontId="27" fillId="0" borderId="17" xfId="0" applyFont="1" applyBorder="1"/>
    <xf numFmtId="0" fontId="14" fillId="26" borderId="3" xfId="0" applyFont="1" applyFill="1" applyBorder="1"/>
    <xf numFmtId="0" fontId="14" fillId="26" borderId="17" xfId="0" applyFont="1" applyFill="1" applyBorder="1"/>
    <xf numFmtId="0" fontId="29" fillId="26" borderId="3" xfId="0" applyFont="1" applyFill="1" applyBorder="1"/>
    <xf numFmtId="0" fontId="30" fillId="26" borderId="3" xfId="0" applyFont="1" applyFill="1" applyBorder="1"/>
    <xf numFmtId="0" fontId="29" fillId="0" borderId="17" xfId="0" applyFont="1" applyBorder="1"/>
    <xf numFmtId="0" fontId="31" fillId="26" borderId="7" xfId="0" applyFont="1" applyFill="1" applyBorder="1" applyAlignment="1">
      <alignment vertical="center"/>
    </xf>
    <xf numFmtId="0" fontId="31" fillId="26" borderId="3" xfId="0" applyFont="1" applyFill="1" applyBorder="1" applyAlignment="1">
      <alignment vertical="center"/>
    </xf>
    <xf numFmtId="0" fontId="31" fillId="26" borderId="3" xfId="0" applyFont="1" applyFill="1" applyBorder="1"/>
    <xf numFmtId="0" fontId="27" fillId="26" borderId="7" xfId="0" applyFont="1" applyFill="1" applyBorder="1" applyAlignment="1">
      <alignment vertical="center"/>
    </xf>
    <xf numFmtId="0" fontId="27" fillId="27" borderId="24" xfId="0" applyFont="1" applyFill="1" applyBorder="1"/>
    <xf numFmtId="0" fontId="27" fillId="26" borderId="19" xfId="0" applyFont="1" applyFill="1" applyBorder="1" applyAlignment="1">
      <alignment vertical="center"/>
    </xf>
    <xf numFmtId="0" fontId="31" fillId="26" borderId="33" xfId="0" applyFont="1" applyFill="1" applyBorder="1"/>
    <xf numFmtId="0" fontId="31" fillId="26" borderId="36" xfId="0" applyFont="1" applyFill="1" applyBorder="1"/>
    <xf numFmtId="0" fontId="31" fillId="26" borderId="7" xfId="0" applyFont="1" applyFill="1" applyBorder="1"/>
    <xf numFmtId="0" fontId="31" fillId="26" borderId="40" xfId="0" applyFont="1" applyFill="1" applyBorder="1"/>
    <xf numFmtId="0" fontId="27" fillId="26" borderId="36" xfId="0" applyFont="1" applyFill="1" applyBorder="1" applyAlignment="1">
      <alignment vertical="center"/>
    </xf>
    <xf numFmtId="0" fontId="27" fillId="26" borderId="20" xfId="0" applyFont="1" applyFill="1" applyBorder="1" applyAlignment="1">
      <alignment vertical="center"/>
    </xf>
    <xf numFmtId="0" fontId="27" fillId="26" borderId="40" xfId="0" applyFont="1" applyFill="1" applyBorder="1" applyAlignment="1">
      <alignment vertical="center"/>
    </xf>
    <xf numFmtId="0" fontId="27" fillId="26" borderId="42" xfId="0" applyFont="1" applyFill="1" applyBorder="1" applyAlignment="1">
      <alignment vertical="center"/>
    </xf>
    <xf numFmtId="0" fontId="31" fillId="26" borderId="45" xfId="0" applyFont="1" applyFill="1" applyBorder="1"/>
    <xf numFmtId="0" fontId="31" fillId="26" borderId="27" xfId="0" applyFont="1" applyFill="1" applyBorder="1" applyAlignment="1">
      <alignment vertical="center"/>
    </xf>
    <xf numFmtId="0" fontId="27" fillId="27" borderId="3" xfId="0" applyFont="1" applyFill="1" applyBorder="1"/>
    <xf numFmtId="0" fontId="27" fillId="10" borderId="25" xfId="0" applyFont="1" applyFill="1" applyBorder="1"/>
    <xf numFmtId="0" fontId="27" fillId="27" borderId="21" xfId="0" applyFont="1" applyFill="1" applyBorder="1"/>
    <xf numFmtId="0" fontId="27" fillId="27" borderId="34" xfId="0" applyFont="1" applyFill="1" applyBorder="1"/>
    <xf numFmtId="0" fontId="27" fillId="27" borderId="43" xfId="0" applyFont="1" applyFill="1" applyBorder="1"/>
    <xf numFmtId="0" fontId="27" fillId="27" borderId="5" xfId="0" applyFont="1" applyFill="1" applyBorder="1"/>
    <xf numFmtId="0" fontId="27" fillId="27" borderId="8" xfId="0" applyFont="1" applyFill="1" applyBorder="1"/>
    <xf numFmtId="167" fontId="27" fillId="27" borderId="3" xfId="0" applyNumberFormat="1" applyFont="1" applyFill="1" applyBorder="1"/>
    <xf numFmtId="0" fontId="27" fillId="26" borderId="8" xfId="0" applyFont="1" applyFill="1" applyBorder="1"/>
    <xf numFmtId="0" fontId="27" fillId="0" borderId="25" xfId="0" applyFont="1" applyBorder="1"/>
    <xf numFmtId="167" fontId="27" fillId="26" borderId="3" xfId="0" applyNumberFormat="1" applyFont="1" applyFill="1" applyBorder="1"/>
    <xf numFmtId="167" fontId="27" fillId="26" borderId="8" xfId="0" applyNumberFormat="1" applyFont="1" applyFill="1" applyBorder="1"/>
    <xf numFmtId="167" fontId="27" fillId="27" borderId="34" xfId="0" applyNumberFormat="1" applyFont="1" applyFill="1" applyBorder="1"/>
    <xf numFmtId="0" fontId="27" fillId="26" borderId="34" xfId="0" applyFont="1" applyFill="1" applyBorder="1"/>
    <xf numFmtId="167" fontId="27" fillId="27" borderId="5" xfId="0" applyNumberFormat="1" applyFont="1" applyFill="1" applyBorder="1"/>
    <xf numFmtId="0" fontId="27" fillId="26" borderId="5" xfId="0" applyFont="1" applyFill="1" applyBorder="1"/>
    <xf numFmtId="0" fontId="27" fillId="26" borderId="38" xfId="0" applyFont="1" applyFill="1" applyBorder="1"/>
    <xf numFmtId="0" fontId="32" fillId="0" borderId="17" xfId="0" applyFont="1" applyBorder="1"/>
    <xf numFmtId="167" fontId="27" fillId="27" borderId="21" xfId="0" applyNumberFormat="1" applyFont="1" applyFill="1" applyBorder="1"/>
    <xf numFmtId="0" fontId="27" fillId="26" borderId="21" xfId="0" applyFont="1" applyFill="1" applyBorder="1"/>
    <xf numFmtId="167" fontId="27" fillId="27" borderId="43" xfId="0" applyNumberFormat="1" applyFont="1" applyFill="1" applyBorder="1"/>
    <xf numFmtId="0" fontId="27" fillId="26" borderId="43" xfId="0" applyFont="1" applyFill="1" applyBorder="1"/>
    <xf numFmtId="0" fontId="9" fillId="26" borderId="3" xfId="0" applyFont="1" applyFill="1" applyBorder="1"/>
    <xf numFmtId="0" fontId="0" fillId="26" borderId="10" xfId="0" applyFill="1" applyBorder="1"/>
    <xf numFmtId="0" fontId="0" fillId="28" borderId="17" xfId="0" applyFill="1" applyBorder="1"/>
    <xf numFmtId="11" fontId="0" fillId="26" borderId="3" xfId="0" applyNumberFormat="1" applyFill="1" applyBorder="1" applyAlignment="1">
      <alignment horizontal="center"/>
    </xf>
    <xf numFmtId="0" fontId="28" fillId="26" borderId="7" xfId="0" applyFont="1" applyFill="1" applyBorder="1"/>
    <xf numFmtId="0" fontId="28" fillId="28" borderId="16" xfId="0" applyFont="1" applyFill="1" applyBorder="1"/>
    <xf numFmtId="0" fontId="28" fillId="28" borderId="3" xfId="0" applyFont="1" applyFill="1" applyBorder="1"/>
    <xf numFmtId="0" fontId="28" fillId="2" borderId="17" xfId="0" applyFont="1" applyFill="1" applyBorder="1"/>
    <xf numFmtId="0" fontId="28" fillId="0" borderId="3" xfId="0" applyFont="1" applyBorder="1"/>
    <xf numFmtId="11" fontId="28" fillId="0" borderId="3" xfId="0" applyNumberFormat="1" applyFont="1" applyBorder="1"/>
    <xf numFmtId="0" fontId="5" fillId="0" borderId="0" xfId="2" applyAlignment="1">
      <alignment horizontal="right" vertical="center"/>
    </xf>
    <xf numFmtId="0" fontId="0" fillId="0" borderId="30" xfId="0" applyBorder="1"/>
    <xf numFmtId="0" fontId="0" fillId="0" borderId="48" xfId="0" applyBorder="1"/>
    <xf numFmtId="0" fontId="0" fillId="19" borderId="11" xfId="0" applyFill="1" applyBorder="1"/>
    <xf numFmtId="0" fontId="0" fillId="19" borderId="12" xfId="0" applyFill="1" applyBorder="1"/>
    <xf numFmtId="0" fontId="0" fillId="19" borderId="13" xfId="0" applyFill="1" applyBorder="1"/>
    <xf numFmtId="0" fontId="0" fillId="19" borderId="14" xfId="0" applyFill="1" applyBorder="1"/>
    <xf numFmtId="0" fontId="0" fillId="19" borderId="0" xfId="0" applyFill="1"/>
    <xf numFmtId="0" fontId="0" fillId="19" borderId="15" xfId="0" applyFill="1" applyBorder="1"/>
    <xf numFmtId="0" fontId="0" fillId="19" borderId="47" xfId="0" applyFill="1" applyBorder="1"/>
    <xf numFmtId="0" fontId="0" fillId="19" borderId="30" xfId="0" applyFill="1" applyBorder="1"/>
    <xf numFmtId="0" fontId="34" fillId="19" borderId="30" xfId="0" applyFont="1" applyFill="1" applyBorder="1"/>
    <xf numFmtId="0" fontId="35" fillId="19" borderId="48" xfId="0" applyFont="1" applyFill="1" applyBorder="1"/>
    <xf numFmtId="0" fontId="0" fillId="26" borderId="14" xfId="0" applyFill="1" applyBorder="1"/>
    <xf numFmtId="0" fontId="36" fillId="0" borderId="0" xfId="0" applyFont="1"/>
    <xf numFmtId="0" fontId="0" fillId="29" borderId="14" xfId="0" applyFill="1" applyBorder="1"/>
    <xf numFmtId="0" fontId="28" fillId="0" borderId="47" xfId="0" applyFont="1" applyBorder="1" applyAlignment="1">
      <alignment horizontal="center"/>
    </xf>
    <xf numFmtId="0" fontId="36" fillId="0" borderId="30" xfId="0" applyFont="1" applyBorder="1"/>
    <xf numFmtId="0" fontId="5" fillId="0" borderId="49" xfId="2" applyBorder="1"/>
    <xf numFmtId="0" fontId="0" fillId="0" borderId="49" xfId="0" applyBorder="1"/>
    <xf numFmtId="0" fontId="37" fillId="9" borderId="11" xfId="0" applyFont="1" applyFill="1" applyBorder="1" applyAlignment="1">
      <alignment horizontal="center"/>
    </xf>
    <xf numFmtId="0" fontId="37" fillId="9" borderId="12" xfId="0" applyFont="1" applyFill="1" applyBorder="1" applyAlignment="1">
      <alignment horizontal="center"/>
    </xf>
    <xf numFmtId="0" fontId="37" fillId="9" borderId="13" xfId="0" applyFont="1" applyFill="1" applyBorder="1" applyAlignment="1">
      <alignment horizontal="center"/>
    </xf>
    <xf numFmtId="0" fontId="4" fillId="0" borderId="11" xfId="0" applyFont="1" applyBorder="1" applyAlignment="1">
      <alignment horizontal="center" vertical="top" wrapText="1"/>
    </xf>
    <xf numFmtId="0" fontId="4" fillId="0" borderId="12" xfId="0" applyFont="1" applyBorder="1" applyAlignment="1">
      <alignment horizontal="center" vertical="top" wrapText="1"/>
    </xf>
    <xf numFmtId="0" fontId="4" fillId="0" borderId="13" xfId="0" applyFont="1" applyBorder="1" applyAlignment="1">
      <alignment horizontal="center" vertical="top" wrapText="1"/>
    </xf>
    <xf numFmtId="0" fontId="4" fillId="0" borderId="14" xfId="0" applyFont="1" applyBorder="1" applyAlignment="1">
      <alignment horizontal="center" vertical="top" wrapText="1"/>
    </xf>
    <xf numFmtId="0" fontId="4" fillId="0" borderId="0" xfId="0" applyFont="1" applyAlignment="1">
      <alignment horizontal="center" vertical="top" wrapText="1"/>
    </xf>
    <xf numFmtId="0" fontId="4" fillId="0" borderId="15" xfId="0" applyFont="1" applyBorder="1" applyAlignment="1">
      <alignment horizontal="center" vertical="top" wrapText="1"/>
    </xf>
    <xf numFmtId="0" fontId="4" fillId="0" borderId="47" xfId="0" applyFont="1" applyBorder="1" applyAlignment="1">
      <alignment horizontal="center" vertical="top" wrapText="1"/>
    </xf>
    <xf numFmtId="0" fontId="4" fillId="0" borderId="30" xfId="0" applyFont="1" applyBorder="1" applyAlignment="1">
      <alignment horizontal="center" vertical="top" wrapText="1"/>
    </xf>
    <xf numFmtId="0" fontId="4" fillId="0" borderId="48" xfId="0" applyFont="1" applyBorder="1" applyAlignment="1">
      <alignment horizontal="center" vertical="top" wrapText="1"/>
    </xf>
    <xf numFmtId="0" fontId="33" fillId="0" borderId="3" xfId="3" applyFont="1" applyBorder="1" applyAlignment="1" applyProtection="1">
      <alignment horizontal="left" vertical="top" wrapText="1"/>
    </xf>
    <xf numFmtId="0" fontId="5" fillId="0" borderId="28" xfId="2" applyBorder="1" applyAlignment="1">
      <alignment horizontal="right" vertical="center"/>
    </xf>
    <xf numFmtId="164" fontId="0" fillId="0" borderId="29" xfId="4" applyFont="1" applyBorder="1" applyAlignment="1">
      <alignment horizontal="center"/>
    </xf>
    <xf numFmtId="0" fontId="33" fillId="0" borderId="4" xfId="3" applyFont="1" applyBorder="1" applyAlignment="1" applyProtection="1">
      <alignment horizontal="left" vertical="top" wrapText="1"/>
    </xf>
    <xf numFmtId="0" fontId="33" fillId="0" borderId="46" xfId="3" applyFont="1" applyBorder="1" applyAlignment="1" applyProtection="1">
      <alignment horizontal="left" vertical="top" wrapText="1"/>
    </xf>
    <xf numFmtId="0" fontId="33" fillId="0" borderId="6" xfId="3" applyFont="1" applyBorder="1" applyAlignment="1" applyProtection="1">
      <alignment horizontal="left" vertical="top" wrapText="1"/>
    </xf>
    <xf numFmtId="0" fontId="3" fillId="0" borderId="3" xfId="3" applyBorder="1" applyAlignment="1" applyProtection="1">
      <alignment horizontal="left" vertical="center" wrapText="1"/>
    </xf>
    <xf numFmtId="0" fontId="3" fillId="0" borderId="6" xfId="3" applyBorder="1" applyAlignment="1" applyProtection="1">
      <alignment horizontal="left" vertical="center" wrapText="1"/>
    </xf>
    <xf numFmtId="0" fontId="21" fillId="22" borderId="0" xfId="5" applyFont="1" applyFill="1" applyAlignment="1">
      <alignment horizontal="center"/>
    </xf>
  </cellXfs>
  <cellStyles count="8">
    <cellStyle name="Excel Built-in Explanatory Text" xfId="3" xr:uid="{00000000-0005-0000-0000-000006000000}"/>
    <cellStyle name="Lien hypertexte" xfId="2" builtinId="8"/>
    <cellStyle name="Lien hypertexte 2" xfId="7" xr:uid="{4A980C4D-BCC8-F74D-B761-092AE6CE62E9}"/>
    <cellStyle name="Monétaire" xfId="4" builtinId="4"/>
    <cellStyle name="Monétaire 2" xfId="6" xr:uid="{8754497B-41E1-1849-9ED5-217EDA649D37}"/>
    <cellStyle name="Normal" xfId="0" builtinId="0"/>
    <cellStyle name="Normal 2" xfId="5" xr:uid="{74FE859B-ACA8-B94C-898A-C4B75FA44A04}"/>
    <cellStyle name="Pourcentage" xfId="1" builtinId="5"/>
  </cellStyles>
  <dxfs count="2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2F2F2"/>
      <rgbColor rgb="FFCCFFFF"/>
      <rgbColor rgb="FF660066"/>
      <rgbColor rgb="FFFF8080"/>
      <rgbColor rgb="FF0563C1"/>
      <rgbColor rgb="FFD0CECE"/>
      <rgbColor rgb="FF000080"/>
      <rgbColor rgb="FFFF00FF"/>
      <rgbColor rgb="FFFFFF00"/>
      <rgbColor rgb="FF00FFFF"/>
      <rgbColor rgb="FF800080"/>
      <rgbColor rgb="FF800000"/>
      <rgbColor rgb="FF008080"/>
      <rgbColor rgb="FF0000FF"/>
      <rgbColor rgb="FF00CCFF"/>
      <rgbColor rgb="FFCCFFFF"/>
      <rgbColor rgb="FFD9D9D9"/>
      <rgbColor rgb="FFFFFF99"/>
      <rgbColor rgb="FFBFBFBF"/>
      <rgbColor rgb="FFFF99CC"/>
      <rgbColor rgb="FFCC99FF"/>
      <rgbColor rgb="FFFFCC99"/>
      <rgbColor rgb="FF3366FF"/>
      <rgbColor rgb="FF33CCCC"/>
      <rgbColor rgb="FF99CC00"/>
      <rgbColor rgb="FFFFC000"/>
      <rgbColor rgb="FFFF9900"/>
      <rgbColor rgb="FFFF6600"/>
      <rgbColor rgb="FF666699"/>
      <rgbColor rgb="FFAFABAB"/>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fr-FR" sz="2400"/>
              <a:t>Materials Resources - EFuse</a:t>
            </a:r>
          </a:p>
        </c:rich>
      </c:tx>
      <c:layout>
        <c:manualLayout>
          <c:xMode val="edge"/>
          <c:yMode val="edge"/>
          <c:x val="0.47365497847325361"/>
          <c:y val="0"/>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3.9626601509883161E-2"/>
          <c:y val="3.8996127700257996E-2"/>
          <c:w val="0.41402807096651645"/>
          <c:h val="0.91489855404797626"/>
        </c:manualLayout>
      </c:layout>
      <c:doughnutChart>
        <c:varyColors val="1"/>
        <c:ser>
          <c:idx val="0"/>
          <c:order val="0"/>
          <c:tx>
            <c:strRef>
              <c:f>CAS_EFuse!$E$5:$CB$5</c:f>
              <c:strCache>
                <c:ptCount val="76"/>
                <c:pt idx="0">
                  <c:v>Other</c:v>
                </c:pt>
                <c:pt idx="1">
                  <c:v>60676-86-0</c:v>
                </c:pt>
                <c:pt idx="2">
                  <c:v>68475-94-5</c:v>
                </c:pt>
                <c:pt idx="3">
                  <c:v>1# Trade Secret </c:v>
                </c:pt>
                <c:pt idx="4">
                  <c:v>1333-86-4 </c:v>
                </c:pt>
                <c:pt idx="5">
                  <c:v>7439-89-6</c:v>
                </c:pt>
                <c:pt idx="6">
                  <c:v>7723-14-0</c:v>
                </c:pt>
                <c:pt idx="7">
                  <c:v>7440-66-6</c:v>
                </c:pt>
                <c:pt idx="8">
                  <c:v>7440-22-4 </c:v>
                </c:pt>
                <c:pt idx="9">
                  <c:v>1317-38-0</c:v>
                </c:pt>
                <c:pt idx="10">
                  <c:v>7440-21-3 </c:v>
                </c:pt>
                <c:pt idx="11">
                  <c:v>7440-50-8</c:v>
                </c:pt>
                <c:pt idx="12">
                  <c:v>7440-57-5</c:v>
                </c:pt>
                <c:pt idx="13">
                  <c:v>7440-02-0</c:v>
                </c:pt>
                <c:pt idx="14">
                  <c:v>7440-05-3 </c:v>
                </c:pt>
                <c:pt idx="15">
                  <c:v>12047-27-7</c:v>
                </c:pt>
                <c:pt idx="16">
                  <c:v>7440-31-5</c:v>
                </c:pt>
                <c:pt idx="17">
                  <c:v>2# Trade Secret </c:v>
                </c:pt>
                <c:pt idx="18">
                  <c:v>7787-45-3</c:v>
                </c:pt>
                <c:pt idx="19">
                  <c:v> 12048-51-0</c:v>
                </c:pt>
                <c:pt idx="20">
                  <c:v>1313-97-9</c:v>
                </c:pt>
                <c:pt idx="21">
                  <c:v>12013-47-7</c:v>
                </c:pt>
                <c:pt idx="22">
                  <c:v>1317-36-8</c:v>
                </c:pt>
                <c:pt idx="23">
                  <c:v>7439-92-1</c:v>
                </c:pt>
                <c:pt idx="24">
                  <c:v>21645-51-2</c:v>
                </c:pt>
                <c:pt idx="25">
                  <c:v>7631-86-9</c:v>
                </c:pt>
                <c:pt idx="26">
                  <c:v>7440-55-3</c:v>
                </c:pt>
                <c:pt idx="27">
                  <c:v>25068-38-6</c:v>
                </c:pt>
                <c:pt idx="28">
                  <c:v>4# Trade Secret </c:v>
                </c:pt>
                <c:pt idx="29">
                  <c:v>7429-90-5</c:v>
                </c:pt>
                <c:pt idx="30">
                  <c:v>7439-96-5</c:v>
                </c:pt>
                <c:pt idx="31">
                  <c:v>29690-82-2</c:v>
                </c:pt>
                <c:pt idx="32">
                  <c:v>9003-35-4</c:v>
                </c:pt>
                <c:pt idx="33">
                  <c:v>7440-36-0</c:v>
                </c:pt>
                <c:pt idx="34">
                  <c:v>7440-69-9</c:v>
                </c:pt>
                <c:pt idx="35">
                  <c:v>7440-48-4</c:v>
                </c:pt>
                <c:pt idx="36">
                  <c:v>14808-60-7</c:v>
                </c:pt>
                <c:pt idx="37">
                  <c:v>1309-64-4</c:v>
                </c:pt>
                <c:pt idx="38">
                  <c:v>68928-70-1</c:v>
                </c:pt>
                <c:pt idx="39">
                  <c:v>7440-44-0</c:v>
                </c:pt>
                <c:pt idx="40">
                  <c:v>7440-47-3</c:v>
                </c:pt>
                <c:pt idx="41">
                  <c:v>7704-34-9</c:v>
                </c:pt>
                <c:pt idx="42">
                  <c:v>5# Trade Secret </c:v>
                </c:pt>
                <c:pt idx="43">
                  <c:v>603-35-0</c:v>
                </c:pt>
                <c:pt idx="44">
                  <c:v>129915-35-1</c:v>
                </c:pt>
                <c:pt idx="45">
                  <c:v>1344-28-1</c:v>
                </c:pt>
                <c:pt idx="46">
                  <c:v>1305-78-8</c:v>
                </c:pt>
                <c:pt idx="47">
                  <c:v>12036-10-1</c:v>
                </c:pt>
                <c:pt idx="48">
                  <c:v>1303-86-2</c:v>
                </c:pt>
                <c:pt idx="49">
                  <c:v>1314-13-2</c:v>
                </c:pt>
                <c:pt idx="50">
                  <c:v>1308-38-9</c:v>
                </c:pt>
                <c:pt idx="51">
                  <c:v>13463-67-7</c:v>
                </c:pt>
                <c:pt idx="52">
                  <c:v>12056-51-8</c:v>
                </c:pt>
                <c:pt idx="53">
                  <c:v>65997-18-4</c:v>
                </c:pt>
                <c:pt idx="54">
                  <c:v>65997-17-3</c:v>
                </c:pt>
                <c:pt idx="55">
                  <c:v>10099-76-0</c:v>
                </c:pt>
                <c:pt idx="56">
                  <c:v>6# Trade Secret </c:v>
                </c:pt>
                <c:pt idx="57">
                  <c:v>112-34-5</c:v>
                </c:pt>
                <c:pt idx="58">
                  <c:v>1309-60-0</c:v>
                </c:pt>
                <c:pt idx="59">
                  <c:v>25035-78-3</c:v>
                </c:pt>
                <c:pt idx="60">
                  <c:v>1309-37-1</c:v>
                </c:pt>
                <c:pt idx="61">
                  <c:v>9009-54-5</c:v>
                </c:pt>
                <c:pt idx="62">
                  <c:v>68952-93-2</c:v>
                </c:pt>
                <c:pt idx="63">
                  <c:v>28262-63-7</c:v>
                </c:pt>
                <c:pt idx="64">
                  <c:v>1633-22-3</c:v>
                </c:pt>
                <c:pt idx="65">
                  <c:v>7# Trade Secret </c:v>
                </c:pt>
                <c:pt idx="66">
                  <c:v>8# Trade Secret </c:v>
                </c:pt>
                <c:pt idx="67">
                  <c:v>9# Trade Secret </c:v>
                </c:pt>
                <c:pt idx="68">
                  <c:v>10# Trade Secret </c:v>
                </c:pt>
                <c:pt idx="69">
                  <c:v>11# Trade Secret </c:v>
                </c:pt>
                <c:pt idx="70">
                  <c:v>7439-95-4</c:v>
                </c:pt>
                <c:pt idx="71">
                  <c:v>54208-63-8</c:v>
                </c:pt>
                <c:pt idx="72">
                  <c:v>827-43-0</c:v>
                </c:pt>
                <c:pt idx="73">
                  <c:v>26100-51-6</c:v>
                </c:pt>
                <c:pt idx="74">
                  <c:v>7440-70-2</c:v>
                </c:pt>
                <c:pt idx="75">
                  <c:v>409-21-2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8F-F34F-9D92-0FB22EBF6E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8F-F34F-9D92-0FB22EBF6E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8F-F34F-9D92-0FB22EBF6E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A8F-F34F-9D92-0FB22EBF6E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A8F-F34F-9D92-0FB22EBF6E4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A8F-F34F-9D92-0FB22EBF6E4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A8F-F34F-9D92-0FB22EBF6E4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A8F-F34F-9D92-0FB22EBF6E4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A8F-F34F-9D92-0FB22EBF6E4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A8F-F34F-9D92-0FB22EBF6E4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A8F-F34F-9D92-0FB22EBF6E4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A8F-F34F-9D92-0FB22EBF6E4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A8F-F34F-9D92-0FB22EBF6E4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A8F-F34F-9D92-0FB22EBF6E4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A8F-F34F-9D92-0FB22EBF6E4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A8F-F34F-9D92-0FB22EBF6E4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A8F-F34F-9D92-0FB22EBF6E4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A8F-F34F-9D92-0FB22EBF6E4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A8F-F34F-9D92-0FB22EBF6E4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AA8F-F34F-9D92-0FB22EBF6E4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AA8F-F34F-9D92-0FB22EBF6E4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AA8F-F34F-9D92-0FB22EBF6E4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AA8F-F34F-9D92-0FB22EBF6E4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AA8F-F34F-9D92-0FB22EBF6E4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AA8F-F34F-9D92-0FB22EBF6E4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AA8F-F34F-9D92-0FB22EBF6E4D}"/>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AA8F-F34F-9D92-0FB22EBF6E4D}"/>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AA8F-F34F-9D92-0FB22EBF6E4D}"/>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AA8F-F34F-9D92-0FB22EBF6E4D}"/>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AA8F-F34F-9D92-0FB22EBF6E4D}"/>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AA8F-F34F-9D92-0FB22EBF6E4D}"/>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AA8F-F34F-9D92-0FB22EBF6E4D}"/>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AA8F-F34F-9D92-0FB22EBF6E4D}"/>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AA8F-F34F-9D92-0FB22EBF6E4D}"/>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AA8F-F34F-9D92-0FB22EBF6E4D}"/>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AA8F-F34F-9D92-0FB22EBF6E4D}"/>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AA8F-F34F-9D92-0FB22EBF6E4D}"/>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AA8F-F34F-9D92-0FB22EBF6E4D}"/>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AA8F-F34F-9D92-0FB22EBF6E4D}"/>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AA8F-F34F-9D92-0FB22EBF6E4D}"/>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AA8F-F34F-9D92-0FB22EBF6E4D}"/>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AA8F-F34F-9D92-0FB22EBF6E4D}"/>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AA8F-F34F-9D92-0FB22EBF6E4D}"/>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AA8F-F34F-9D92-0FB22EBF6E4D}"/>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AA8F-F34F-9D92-0FB22EBF6E4D}"/>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AA8F-F34F-9D92-0FB22EBF6E4D}"/>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AA8F-F34F-9D92-0FB22EBF6E4D}"/>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AA8F-F34F-9D92-0FB22EBF6E4D}"/>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AA8F-F34F-9D92-0FB22EBF6E4D}"/>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AA8F-F34F-9D92-0FB22EBF6E4D}"/>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AA8F-F34F-9D92-0FB22EBF6E4D}"/>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AA8F-F34F-9D92-0FB22EBF6E4D}"/>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AA8F-F34F-9D92-0FB22EBF6E4D}"/>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AA8F-F34F-9D92-0FB22EBF6E4D}"/>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AA8F-F34F-9D92-0FB22EBF6E4D}"/>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AA8F-F34F-9D92-0FB22EBF6E4D}"/>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AA8F-F34F-9D92-0FB22EBF6E4D}"/>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AA8F-F34F-9D92-0FB22EBF6E4D}"/>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AA8F-F34F-9D92-0FB22EBF6E4D}"/>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AA8F-F34F-9D92-0FB22EBF6E4D}"/>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AA8F-F34F-9D92-0FB22EBF6E4D}"/>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AA8F-F34F-9D92-0FB22EBF6E4D}"/>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AA8F-F34F-9D92-0FB22EBF6E4D}"/>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AA8F-F34F-9D92-0FB22EBF6E4D}"/>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AA8F-F34F-9D92-0FB22EBF6E4D}"/>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AA8F-F34F-9D92-0FB22EBF6E4D}"/>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AA8F-F34F-9D92-0FB22EBF6E4D}"/>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AA8F-F34F-9D92-0FB22EBF6E4D}"/>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AA8F-F34F-9D92-0FB22EBF6E4D}"/>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AA8F-F34F-9D92-0FB22EBF6E4D}"/>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AA8F-F34F-9D92-0FB22EBF6E4D}"/>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AA8F-F34F-9D92-0FB22EBF6E4D}"/>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AA8F-F34F-9D92-0FB22EBF6E4D}"/>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AA8F-F34F-9D92-0FB22EBF6E4D}"/>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AA8F-F34F-9D92-0FB22EBF6E4D}"/>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AA8F-F34F-9D92-0FB22EBF6E4D}"/>
              </c:ext>
            </c:extLst>
          </c:dPt>
          <c:dLbls>
            <c:dLbl>
              <c:idx val="1"/>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A8F-F34F-9D92-0FB22EBF6E4D}"/>
                </c:ext>
              </c:extLst>
            </c:dLbl>
            <c:dLbl>
              <c:idx val="7"/>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AA8F-F34F-9D92-0FB22EBF6E4D}"/>
                </c:ext>
              </c:extLst>
            </c:dLbl>
            <c:dLbl>
              <c:idx val="1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7-AA8F-F34F-9D92-0FB22EBF6E4D}"/>
                </c:ext>
              </c:extLst>
            </c:dLbl>
            <c:dLbl>
              <c:idx val="13"/>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B-AA8F-F34F-9D92-0FB22EBF6E4D}"/>
                </c:ext>
              </c:extLst>
            </c:dLbl>
            <c:dLbl>
              <c:idx val="15"/>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F-AA8F-F34F-9D92-0FB22EBF6E4D}"/>
                </c:ext>
              </c:extLst>
            </c:dLbl>
            <c:dLbl>
              <c:idx val="16"/>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1-AA8F-F34F-9D92-0FB22EBF6E4D}"/>
                </c:ext>
              </c:extLst>
            </c:dLbl>
            <c:dLbl>
              <c:idx val="18"/>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5-AA8F-F34F-9D92-0FB22EBF6E4D}"/>
                </c:ext>
              </c:extLst>
            </c:dLbl>
            <c:dLbl>
              <c:idx val="29"/>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3B-AA8F-F34F-9D92-0FB22EBF6E4D}"/>
                </c:ext>
              </c:extLst>
            </c:dLbl>
            <c:dLbl>
              <c:idx val="45"/>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5B-AA8F-F34F-9D92-0FB22EBF6E4D}"/>
                </c:ext>
              </c:extLst>
            </c:dLbl>
            <c:dLbl>
              <c:idx val="59"/>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77-AA8F-F34F-9D92-0FB22EBF6E4D}"/>
                </c:ext>
              </c:extLst>
            </c:dLbl>
            <c:dLbl>
              <c:idx val="6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79-AA8F-F34F-9D92-0FB22EBF6E4D}"/>
                </c:ext>
              </c:extLst>
            </c:dLbl>
            <c:dLbl>
              <c:idx val="73"/>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dk1">
                          <a:lumMod val="65000"/>
                          <a:lumOff val="3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93-AA8F-F34F-9D92-0FB22EBF6E4D}"/>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s>
          <c:cat>
            <c:strRef>
              <c:f>CAS_EFuse!$E$5:$CH$5</c:f>
              <c:strCache>
                <c:ptCount val="76"/>
                <c:pt idx="0">
                  <c:v>Other</c:v>
                </c:pt>
                <c:pt idx="1">
                  <c:v>60676-86-0</c:v>
                </c:pt>
                <c:pt idx="2">
                  <c:v>68475-94-5</c:v>
                </c:pt>
                <c:pt idx="3">
                  <c:v>1# Trade Secret </c:v>
                </c:pt>
                <c:pt idx="4">
                  <c:v>1333-86-4 </c:v>
                </c:pt>
                <c:pt idx="5">
                  <c:v>7439-89-6</c:v>
                </c:pt>
                <c:pt idx="6">
                  <c:v>7723-14-0</c:v>
                </c:pt>
                <c:pt idx="7">
                  <c:v>7440-66-6</c:v>
                </c:pt>
                <c:pt idx="8">
                  <c:v>7440-22-4 </c:v>
                </c:pt>
                <c:pt idx="9">
                  <c:v>1317-38-0</c:v>
                </c:pt>
                <c:pt idx="10">
                  <c:v>7440-21-3 </c:v>
                </c:pt>
                <c:pt idx="11">
                  <c:v>7440-50-8</c:v>
                </c:pt>
                <c:pt idx="12">
                  <c:v>7440-57-5</c:v>
                </c:pt>
                <c:pt idx="13">
                  <c:v>7440-02-0</c:v>
                </c:pt>
                <c:pt idx="14">
                  <c:v>7440-05-3 </c:v>
                </c:pt>
                <c:pt idx="15">
                  <c:v>12047-27-7</c:v>
                </c:pt>
                <c:pt idx="16">
                  <c:v>7440-31-5</c:v>
                </c:pt>
                <c:pt idx="17">
                  <c:v>2# Trade Secret </c:v>
                </c:pt>
                <c:pt idx="18">
                  <c:v>7787-45-3</c:v>
                </c:pt>
                <c:pt idx="19">
                  <c:v> 12048-51-0</c:v>
                </c:pt>
                <c:pt idx="20">
                  <c:v>1313-97-9</c:v>
                </c:pt>
                <c:pt idx="21">
                  <c:v>12013-47-7</c:v>
                </c:pt>
                <c:pt idx="22">
                  <c:v>1317-36-8</c:v>
                </c:pt>
                <c:pt idx="23">
                  <c:v>7439-92-1</c:v>
                </c:pt>
                <c:pt idx="24">
                  <c:v>21645-51-2</c:v>
                </c:pt>
                <c:pt idx="25">
                  <c:v>7631-86-9</c:v>
                </c:pt>
                <c:pt idx="26">
                  <c:v>7440-55-3</c:v>
                </c:pt>
                <c:pt idx="27">
                  <c:v>25068-38-6</c:v>
                </c:pt>
                <c:pt idx="28">
                  <c:v>4# Trade Secret </c:v>
                </c:pt>
                <c:pt idx="29">
                  <c:v>7429-90-5</c:v>
                </c:pt>
                <c:pt idx="30">
                  <c:v>7439-96-5</c:v>
                </c:pt>
                <c:pt idx="31">
                  <c:v>29690-82-2</c:v>
                </c:pt>
                <c:pt idx="32">
                  <c:v>9003-35-4</c:v>
                </c:pt>
                <c:pt idx="33">
                  <c:v>7440-36-0</c:v>
                </c:pt>
                <c:pt idx="34">
                  <c:v>7440-69-9</c:v>
                </c:pt>
                <c:pt idx="35">
                  <c:v>7440-48-4</c:v>
                </c:pt>
                <c:pt idx="36">
                  <c:v>14808-60-7</c:v>
                </c:pt>
                <c:pt idx="37">
                  <c:v>1309-64-4</c:v>
                </c:pt>
                <c:pt idx="38">
                  <c:v>68928-70-1</c:v>
                </c:pt>
                <c:pt idx="39">
                  <c:v>7440-44-0</c:v>
                </c:pt>
                <c:pt idx="40">
                  <c:v>7440-47-3</c:v>
                </c:pt>
                <c:pt idx="41">
                  <c:v>7704-34-9</c:v>
                </c:pt>
                <c:pt idx="42">
                  <c:v>5# Trade Secret </c:v>
                </c:pt>
                <c:pt idx="43">
                  <c:v>603-35-0</c:v>
                </c:pt>
                <c:pt idx="44">
                  <c:v>129915-35-1</c:v>
                </c:pt>
                <c:pt idx="45">
                  <c:v>1344-28-1</c:v>
                </c:pt>
                <c:pt idx="46">
                  <c:v>1305-78-8</c:v>
                </c:pt>
                <c:pt idx="47">
                  <c:v>12036-10-1</c:v>
                </c:pt>
                <c:pt idx="48">
                  <c:v>1303-86-2</c:v>
                </c:pt>
                <c:pt idx="49">
                  <c:v>1314-13-2</c:v>
                </c:pt>
                <c:pt idx="50">
                  <c:v>1308-38-9</c:v>
                </c:pt>
                <c:pt idx="51">
                  <c:v>13463-67-7</c:v>
                </c:pt>
                <c:pt idx="52">
                  <c:v>12056-51-8</c:v>
                </c:pt>
                <c:pt idx="53">
                  <c:v>65997-18-4</c:v>
                </c:pt>
                <c:pt idx="54">
                  <c:v>65997-17-3</c:v>
                </c:pt>
                <c:pt idx="55">
                  <c:v>10099-76-0</c:v>
                </c:pt>
                <c:pt idx="56">
                  <c:v>6# Trade Secret </c:v>
                </c:pt>
                <c:pt idx="57">
                  <c:v>112-34-5</c:v>
                </c:pt>
                <c:pt idx="58">
                  <c:v>1309-60-0</c:v>
                </c:pt>
                <c:pt idx="59">
                  <c:v>25035-78-3</c:v>
                </c:pt>
                <c:pt idx="60">
                  <c:v>1309-37-1</c:v>
                </c:pt>
                <c:pt idx="61">
                  <c:v>9009-54-5</c:v>
                </c:pt>
                <c:pt idx="62">
                  <c:v>68952-93-2</c:v>
                </c:pt>
                <c:pt idx="63">
                  <c:v>28262-63-7</c:v>
                </c:pt>
                <c:pt idx="64">
                  <c:v>1633-22-3</c:v>
                </c:pt>
                <c:pt idx="65">
                  <c:v>7# Trade Secret </c:v>
                </c:pt>
                <c:pt idx="66">
                  <c:v>8# Trade Secret </c:v>
                </c:pt>
                <c:pt idx="67">
                  <c:v>9# Trade Secret </c:v>
                </c:pt>
                <c:pt idx="68">
                  <c:v>10# Trade Secret </c:v>
                </c:pt>
                <c:pt idx="69">
                  <c:v>11# Trade Secret </c:v>
                </c:pt>
                <c:pt idx="70">
                  <c:v>7439-95-4</c:v>
                </c:pt>
                <c:pt idx="71">
                  <c:v>54208-63-8</c:v>
                </c:pt>
                <c:pt idx="72">
                  <c:v>827-43-0</c:v>
                </c:pt>
                <c:pt idx="73">
                  <c:v>26100-51-6</c:v>
                </c:pt>
                <c:pt idx="74">
                  <c:v>7440-70-2</c:v>
                </c:pt>
                <c:pt idx="75">
                  <c:v>409-21-2</c:v>
                </c:pt>
              </c:strCache>
            </c:strRef>
          </c:cat>
          <c:val>
            <c:numRef>
              <c:f>CAS_EFuse!$E$4:$CB$4</c:f>
              <c:numCache>
                <c:formatCode>0.000</c:formatCode>
                <c:ptCount val="76"/>
                <c:pt idx="0">
                  <c:v>22.935120000000001</c:v>
                </c:pt>
                <c:pt idx="1">
                  <c:v>4239.1726674967376</c:v>
                </c:pt>
                <c:pt idx="2">
                  <c:v>209.08512270687649</c:v>
                </c:pt>
                <c:pt idx="3">
                  <c:v>86.491441564793234</c:v>
                </c:pt>
                <c:pt idx="4">
                  <c:v>26.198304537297521</c:v>
                </c:pt>
                <c:pt idx="5">
                  <c:v>25.530531993321496</c:v>
                </c:pt>
                <c:pt idx="6">
                  <c:v>3.270184692032208</c:v>
                </c:pt>
                <c:pt idx="7">
                  <c:v>1986.3735445302159</c:v>
                </c:pt>
                <c:pt idx="8">
                  <c:v>18.163711680044415</c:v>
                </c:pt>
                <c:pt idx="9">
                  <c:v>19.933890236331148</c:v>
                </c:pt>
                <c:pt idx="10">
                  <c:v>38.956965565128002</c:v>
                </c:pt>
                <c:pt idx="11">
                  <c:v>10755.440157541283</c:v>
                </c:pt>
                <c:pt idx="12">
                  <c:v>2.478385723758</c:v>
                </c:pt>
                <c:pt idx="13">
                  <c:v>2341.7058605592397</c:v>
                </c:pt>
                <c:pt idx="14">
                  <c:v>0.22988606128877401</c:v>
                </c:pt>
                <c:pt idx="15">
                  <c:v>154.26699999999997</c:v>
                </c:pt>
                <c:pt idx="16">
                  <c:v>1312.3024735911702</c:v>
                </c:pt>
                <c:pt idx="17">
                  <c:v>5.2248760000000001</c:v>
                </c:pt>
                <c:pt idx="18">
                  <c:v>151.65</c:v>
                </c:pt>
                <c:pt idx="19">
                  <c:v>2.8879999999999999</c:v>
                </c:pt>
                <c:pt idx="20">
                  <c:v>15.685850444151715</c:v>
                </c:pt>
                <c:pt idx="21">
                  <c:v>9.18</c:v>
                </c:pt>
                <c:pt idx="22">
                  <c:v>1.7212074926552321</c:v>
                </c:pt>
                <c:pt idx="23">
                  <c:v>19.278774572256502</c:v>
                </c:pt>
                <c:pt idx="24">
                  <c:v>34.263816875000003</c:v>
                </c:pt>
                <c:pt idx="25">
                  <c:v>752.81035971926315</c:v>
                </c:pt>
                <c:pt idx="26">
                  <c:v>0.05</c:v>
                </c:pt>
                <c:pt idx="27">
                  <c:v>7.1553612962632061</c:v>
                </c:pt>
                <c:pt idx="28">
                  <c:v>1.55652396</c:v>
                </c:pt>
                <c:pt idx="29">
                  <c:v>58780.9496764496</c:v>
                </c:pt>
                <c:pt idx="30">
                  <c:v>0.15579070255499999</c:v>
                </c:pt>
                <c:pt idx="31">
                  <c:v>7.8505647531434448</c:v>
                </c:pt>
                <c:pt idx="32">
                  <c:v>4.9435121095329997</c:v>
                </c:pt>
                <c:pt idx="33">
                  <c:v>2.0705287501900385E-2</c:v>
                </c:pt>
                <c:pt idx="34">
                  <c:v>1.67869262E-4</c:v>
                </c:pt>
                <c:pt idx="35">
                  <c:v>2.6313447530477894</c:v>
                </c:pt>
                <c:pt idx="36">
                  <c:v>7.1164000000000005</c:v>
                </c:pt>
                <c:pt idx="37">
                  <c:v>0.05</c:v>
                </c:pt>
                <c:pt idx="38">
                  <c:v>0.12</c:v>
                </c:pt>
                <c:pt idx="39">
                  <c:v>2.9395619370000004E-3</c:v>
                </c:pt>
                <c:pt idx="40">
                  <c:v>2.8421964290000001E-2</c:v>
                </c:pt>
                <c:pt idx="41">
                  <c:v>1.4709055140000003E-3</c:v>
                </c:pt>
                <c:pt idx="42">
                  <c:v>0.41585917499099995</c:v>
                </c:pt>
                <c:pt idx="43">
                  <c:v>7.1701021079999998E-3</c:v>
                </c:pt>
                <c:pt idx="44">
                  <c:v>0.25214582959999998</c:v>
                </c:pt>
                <c:pt idx="45">
                  <c:v>526.37666336986672</c:v>
                </c:pt>
                <c:pt idx="46">
                  <c:v>1.2111335501096001</c:v>
                </c:pt>
                <c:pt idx="47">
                  <c:v>2.692579222815529</c:v>
                </c:pt>
                <c:pt idx="48">
                  <c:v>0.40095498011822273</c:v>
                </c:pt>
                <c:pt idx="49">
                  <c:v>23.314686526315793</c:v>
                </c:pt>
                <c:pt idx="50">
                  <c:v>6.9839401797234552E-2</c:v>
                </c:pt>
                <c:pt idx="51">
                  <c:v>8.5893567057625797E-2</c:v>
                </c:pt>
                <c:pt idx="52">
                  <c:v>0.42273891589357876</c:v>
                </c:pt>
                <c:pt idx="53">
                  <c:v>0.29472999999999999</c:v>
                </c:pt>
                <c:pt idx="54">
                  <c:v>0.48514000000000002</c:v>
                </c:pt>
                <c:pt idx="55">
                  <c:v>1.7049999999999999E-2</c:v>
                </c:pt>
                <c:pt idx="56">
                  <c:v>0.34501999999999999</c:v>
                </c:pt>
                <c:pt idx="57">
                  <c:v>0.14860000000000001</c:v>
                </c:pt>
                <c:pt idx="58">
                  <c:v>1.5729E-2</c:v>
                </c:pt>
                <c:pt idx="59">
                  <c:v>47.04419200000001</c:v>
                </c:pt>
                <c:pt idx="60">
                  <c:v>125.44532</c:v>
                </c:pt>
                <c:pt idx="61">
                  <c:v>0.2136836</c:v>
                </c:pt>
                <c:pt idx="62">
                  <c:v>23.719487999999998</c:v>
                </c:pt>
                <c:pt idx="63">
                  <c:v>0.12607400000000002</c:v>
                </c:pt>
                <c:pt idx="64">
                  <c:v>3.38</c:v>
                </c:pt>
                <c:pt idx="65">
                  <c:v>0.126</c:v>
                </c:pt>
                <c:pt idx="66">
                  <c:v>3.4000000000000002E-2</c:v>
                </c:pt>
                <c:pt idx="67">
                  <c:v>0.01</c:v>
                </c:pt>
                <c:pt idx="68">
                  <c:v>0.01</c:v>
                </c:pt>
                <c:pt idx="69">
                  <c:v>1</c:v>
                </c:pt>
                <c:pt idx="70">
                  <c:v>0.01</c:v>
                </c:pt>
                <c:pt idx="71">
                  <c:v>9.1999999999999998E-2</c:v>
                </c:pt>
                <c:pt idx="72">
                  <c:v>4.2999999999999997E-2</c:v>
                </c:pt>
                <c:pt idx="73">
                  <c:v>1200</c:v>
                </c:pt>
                <c:pt idx="74">
                  <c:v>0</c:v>
                </c:pt>
                <c:pt idx="75">
                  <c:v>10.284132152885455</c:v>
                </c:pt>
              </c:numCache>
            </c:numRef>
          </c:val>
          <c:extLst>
            <c:ext xmlns:c16="http://schemas.microsoft.com/office/drawing/2014/chart" uri="{C3380CC4-5D6E-409C-BE32-E72D297353CC}">
              <c16:uniqueId val="{00000098-AA8F-F34F-9D92-0FB22EBF6E4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7050983698620336"/>
          <c:y val="0.10779331432080586"/>
          <c:w val="0.46046443155186106"/>
          <c:h val="0.88785639108220171"/>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48982076582963E-2"/>
          <c:y val="0.12666365872472965"/>
          <c:w val="0.45684966137192951"/>
          <c:h val="0.87333634127527038"/>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FE-5E4D-8D60-CF780EB4D0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FE-5E4D-8D60-CF780EB4D0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FE-5E4D-8D60-CF780EB4D0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AFE-5E4D-8D60-CF780EB4D06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AFE-5E4D-8D60-CF780EB4D06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AFE-5E4D-8D60-CF780EB4D06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AFE-5E4D-8D60-CF780EB4D06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AFE-5E4D-8D60-CF780EB4D06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AFE-5E4D-8D60-CF780EB4D06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AFE-5E4D-8D60-CF780EB4D06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AFE-5E4D-8D60-CF780EB4D06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AFE-5E4D-8D60-CF780EB4D06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AFE-5E4D-8D60-CF780EB4D06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AFE-5E4D-8D60-CF780EB4D06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AFE-5E4D-8D60-CF780EB4D06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AFE-5E4D-8D60-CF780EB4D06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AFE-5E4D-8D60-CF780EB4D06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AFE-5E4D-8D60-CF780EB4D06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AFE-5E4D-8D60-CF780EB4D06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AFE-5E4D-8D60-CF780EB4D06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AFE-5E4D-8D60-CF780EB4D067}"/>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AFE-5E4D-8D60-CF780EB4D067}"/>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6AFE-5E4D-8D60-CF780EB4D067}"/>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6AFE-5E4D-8D60-CF780EB4D067}"/>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6AFE-5E4D-8D60-CF780EB4D067}"/>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6AFE-5E4D-8D60-CF780EB4D067}"/>
              </c:ext>
            </c:extLst>
          </c:dPt>
          <c:dLbls>
            <c:dLbl>
              <c:idx val="0"/>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6AFE-5E4D-8D60-CF780EB4D067}"/>
                </c:ext>
              </c:extLst>
            </c:dLbl>
            <c:dLbl>
              <c:idx val="1"/>
              <c:spPr>
                <a:solidFill>
                  <a:schemeClr val="bg1"/>
                </a:solid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6AFE-5E4D-8D60-CF780EB4D067}"/>
                </c:ext>
              </c:extLst>
            </c:dLbl>
            <c:dLbl>
              <c:idx val="2"/>
              <c:layout>
                <c:manualLayout>
                  <c:x val="-8.9500130749060172E-2"/>
                  <c:y val="-0.13308687615526801"/>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6AFE-5E4D-8D60-CF780EB4D067}"/>
                </c:ext>
              </c:extLst>
            </c:dLbl>
            <c:dLbl>
              <c:idx val="3"/>
              <c:layout>
                <c:manualLayout>
                  <c:x val="2.29093077029691E-2"/>
                  <c:y val="0.1291893800226186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6AFE-5E4D-8D60-CF780EB4D067}"/>
                </c:ext>
              </c:extLst>
            </c:dLbl>
            <c:dLbl>
              <c:idx val="4"/>
              <c:layout>
                <c:manualLayout>
                  <c:x val="-2.6727525653463952E-2"/>
                  <c:y val="-0.12538969237489458"/>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6AFE-5E4D-8D60-CF780EB4D067}"/>
                </c:ext>
              </c:extLst>
            </c:dLbl>
            <c:dLbl>
              <c:idx val="5"/>
              <c:layout>
                <c:manualLayout>
                  <c:x val="2.8636634628711376E-2"/>
                  <c:y val="9.4992191193101885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6AFE-5E4D-8D60-CF780EB4D067}"/>
                </c:ext>
              </c:extLst>
            </c:dLbl>
            <c:dLbl>
              <c:idx val="6"/>
              <c:layout>
                <c:manualLayout>
                  <c:x val="4.9636833356433083E-2"/>
                  <c:y val="-0.10259156648855007"/>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6AFE-5E4D-8D60-CF780EB4D0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separator>, </c:separator>
            <c:extLst>
              <c:ext xmlns:c15="http://schemas.microsoft.com/office/drawing/2012/chart" uri="{CE6537A1-D6FC-4f65-9D91-7224C49458BB}"/>
            </c:extLst>
          </c:dLbls>
          <c:cat>
            <c:strRef>
              <c:f>'Periodic Table VS CAS Code'!$A$3:$A$28</c:f>
              <c:strCache>
                <c:ptCount val="26"/>
                <c:pt idx="0">
                  <c:v>Aluminum</c:v>
                </c:pt>
                <c:pt idx="1">
                  <c:v>Nickel</c:v>
                </c:pt>
                <c:pt idx="2">
                  <c:v>Arsenic</c:v>
                </c:pt>
                <c:pt idx="3">
                  <c:v>Copper</c:v>
                </c:pt>
                <c:pt idx="4">
                  <c:v>Gallium</c:v>
                </c:pt>
                <c:pt idx="5">
                  <c:v>Silicon</c:v>
                </c:pt>
                <c:pt idx="6">
                  <c:v>Magnesium</c:v>
                </c:pt>
                <c:pt idx="7">
                  <c:v>Zinc</c:v>
                </c:pt>
                <c:pt idx="8">
                  <c:v>Cadmium</c:v>
                </c:pt>
                <c:pt idx="9">
                  <c:v>Chlorine</c:v>
                </c:pt>
                <c:pt idx="10">
                  <c:v>Iron</c:v>
                </c:pt>
                <c:pt idx="11">
                  <c:v>Lead</c:v>
                </c:pt>
                <c:pt idx="12">
                  <c:v>Cobalt</c:v>
                </c:pt>
                <c:pt idx="13">
                  <c:v>Carbon</c:v>
                </c:pt>
                <c:pt idx="14">
                  <c:v>Chromium</c:v>
                </c:pt>
                <c:pt idx="15">
                  <c:v>Titanium</c:v>
                </c:pt>
                <c:pt idx="16">
                  <c:v>Polymer</c:v>
                </c:pt>
                <c:pt idx="17">
                  <c:v>Phosphorus</c:v>
                </c:pt>
                <c:pt idx="18">
                  <c:v>Silica</c:v>
                </c:pt>
                <c:pt idx="19">
                  <c:v>Manganese</c:v>
                </c:pt>
                <c:pt idx="20">
                  <c:v>Calcium</c:v>
                </c:pt>
                <c:pt idx="21">
                  <c:v>Glass</c:v>
                </c:pt>
                <c:pt idx="22">
                  <c:v>Ethanol</c:v>
                </c:pt>
                <c:pt idx="23">
                  <c:v>Beryllium</c:v>
                </c:pt>
                <c:pt idx="24">
                  <c:v>Gold</c:v>
                </c:pt>
                <c:pt idx="25">
                  <c:v>Sulfur</c:v>
                </c:pt>
              </c:strCache>
            </c:strRef>
          </c:cat>
          <c:val>
            <c:numRef>
              <c:f>'Periodic Table VS CAS Code'!$B$3:$B$28</c:f>
              <c:numCache>
                <c:formatCode>General</c:formatCode>
                <c:ptCount val="26"/>
                <c:pt idx="0">
                  <c:v>61125.286881761887</c:v>
                </c:pt>
                <c:pt idx="1">
                  <c:v>10755.440157541283</c:v>
                </c:pt>
                <c:pt idx="2">
                  <c:v>4239.1726674967376</c:v>
                </c:pt>
                <c:pt idx="3">
                  <c:v>2004.6638546981258</c:v>
                </c:pt>
                <c:pt idx="4">
                  <c:v>1312.3024735911702</c:v>
                </c:pt>
                <c:pt idx="5">
                  <c:v>1303.3292500050236</c:v>
                </c:pt>
                <c:pt idx="6">
                  <c:v>1249.7869390920775</c:v>
                </c:pt>
                <c:pt idx="7">
                  <c:v>334.81580073245527</c:v>
                </c:pt>
                <c:pt idx="8">
                  <c:v>154.26699999999997</c:v>
                </c:pt>
                <c:pt idx="9">
                  <c:v>151.65</c:v>
                </c:pt>
                <c:pt idx="10">
                  <c:v>45.105513255302178</c:v>
                </c:pt>
                <c:pt idx="11">
                  <c:v>44.809306565577998</c:v>
                </c:pt>
                <c:pt idx="12">
                  <c:v>38.956965565128002</c:v>
                </c:pt>
                <c:pt idx="13">
                  <c:v>36.482436690182979</c:v>
                </c:pt>
                <c:pt idx="14">
                  <c:v>34.383656276797232</c:v>
                </c:pt>
                <c:pt idx="15">
                  <c:v>22.037730329328259</c:v>
                </c:pt>
                <c:pt idx="16">
                  <c:v>20.507267588539648</c:v>
                </c:pt>
                <c:pt idx="17">
                  <c:v>12.450184692032208</c:v>
                </c:pt>
                <c:pt idx="18">
                  <c:v>7.1164000000000005</c:v>
                </c:pt>
                <c:pt idx="19">
                  <c:v>2.8879999999999999</c:v>
                </c:pt>
                <c:pt idx="20">
                  <c:v>1.2541335501096</c:v>
                </c:pt>
                <c:pt idx="21">
                  <c:v>0.77987000000000006</c:v>
                </c:pt>
                <c:pt idx="22">
                  <c:v>0.14860000000000001</c:v>
                </c:pt>
                <c:pt idx="23">
                  <c:v>2.0705287501900385E-2</c:v>
                </c:pt>
                <c:pt idx="24">
                  <c:v>2.9395619370000004E-3</c:v>
                </c:pt>
                <c:pt idx="25">
                  <c:v>1.4709055140000003E-3</c:v>
                </c:pt>
              </c:numCache>
            </c:numRef>
          </c:val>
          <c:extLst>
            <c:ext xmlns:c16="http://schemas.microsoft.com/office/drawing/2014/chart" uri="{C3380CC4-5D6E-409C-BE32-E72D297353CC}">
              <c16:uniqueId val="{00000034-6AFE-5E4D-8D60-CF780EB4D06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3162981702328769"/>
          <c:y val="0.35184966462525513"/>
          <c:w val="0.3670497973989334"/>
          <c:h val="0.305557742782152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418352</xdr:colOff>
      <xdr:row>1</xdr:row>
      <xdr:rowOff>18573</xdr:rowOff>
    </xdr:from>
    <xdr:to>
      <xdr:col>7</xdr:col>
      <xdr:colOff>532840</xdr:colOff>
      <xdr:row>9</xdr:row>
      <xdr:rowOff>82178</xdr:rowOff>
    </xdr:to>
    <xdr:pic>
      <xdr:nvPicPr>
        <xdr:cNvPr id="2" name="Image 1" descr="Staircase Curve">
          <a:extLst>
            <a:ext uri="{FF2B5EF4-FFF2-40B4-BE49-F238E27FC236}">
              <a16:creationId xmlns:a16="http://schemas.microsoft.com/office/drawing/2014/main" id="{7DF4C4A0-3CB0-9C9C-3EBB-EACA8F41E546}"/>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7403"/>
        <a:stretch>
          <a:fillRect/>
        </a:stretch>
      </xdr:blipFill>
      <xdr:spPr bwMode="auto">
        <a:xfrm>
          <a:off x="1247587" y="220279"/>
          <a:ext cx="5089900" cy="16174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0</xdr:colOff>
      <xdr:row>1</xdr:row>
      <xdr:rowOff>0</xdr:rowOff>
    </xdr:from>
    <xdr:ext cx="304800" cy="307561"/>
    <xdr:sp macro="" textlink="">
      <xdr:nvSpPr>
        <xdr:cNvPr id="2" name="AutoShape 1" descr="Mitsubishi Electric R&amp;D Centre Europe">
          <a:extLst>
            <a:ext uri="{FF2B5EF4-FFF2-40B4-BE49-F238E27FC236}">
              <a16:creationId xmlns:a16="http://schemas.microsoft.com/office/drawing/2014/main" id="{1B98BAAE-66C4-AC4B-BC8C-56256A4928CD}"/>
            </a:ext>
          </a:extLst>
        </xdr:cNvPr>
        <xdr:cNvSpPr>
          <a:spLocks noChangeAspect="1" noChangeArrowheads="1"/>
        </xdr:cNvSpPr>
      </xdr:nvSpPr>
      <xdr:spPr bwMode="auto">
        <a:xfrm>
          <a:off x="3302000" y="190500"/>
          <a:ext cx="304800" cy="3075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2</xdr:row>
      <xdr:rowOff>0</xdr:rowOff>
    </xdr:from>
    <xdr:ext cx="304800" cy="307561"/>
    <xdr:sp macro="" textlink="">
      <xdr:nvSpPr>
        <xdr:cNvPr id="3" name="AutoShape 4" descr="Organisation – JRES 2024">
          <a:extLst>
            <a:ext uri="{FF2B5EF4-FFF2-40B4-BE49-F238E27FC236}">
              <a16:creationId xmlns:a16="http://schemas.microsoft.com/office/drawing/2014/main" id="{5262F8C1-F964-FB46-84DA-C9364B1513BE}"/>
            </a:ext>
          </a:extLst>
        </xdr:cNvPr>
        <xdr:cNvSpPr>
          <a:spLocks noChangeAspect="1" noChangeArrowheads="1"/>
        </xdr:cNvSpPr>
      </xdr:nvSpPr>
      <xdr:spPr bwMode="auto">
        <a:xfrm>
          <a:off x="7429500" y="381000"/>
          <a:ext cx="304800" cy="30756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15</xdr:row>
      <xdr:rowOff>0</xdr:rowOff>
    </xdr:from>
    <xdr:ext cx="304800" cy="307562"/>
    <xdr:sp macro="" textlink="">
      <xdr:nvSpPr>
        <xdr:cNvPr id="4" name="AutoShape 5" descr="Organisation – JRES 2024">
          <a:extLst>
            <a:ext uri="{FF2B5EF4-FFF2-40B4-BE49-F238E27FC236}">
              <a16:creationId xmlns:a16="http://schemas.microsoft.com/office/drawing/2014/main" id="{385EA296-BE7D-FB4D-915C-F16DE0F62688}"/>
            </a:ext>
          </a:extLst>
        </xdr:cNvPr>
        <xdr:cNvSpPr>
          <a:spLocks noChangeAspect="1" noChangeArrowheads="1"/>
        </xdr:cNvSpPr>
      </xdr:nvSpPr>
      <xdr:spPr bwMode="auto">
        <a:xfrm>
          <a:off x="8255000" y="3429000"/>
          <a:ext cx="304800" cy="3075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1</xdr:row>
      <xdr:rowOff>0</xdr:rowOff>
    </xdr:from>
    <xdr:ext cx="304800" cy="309034"/>
    <xdr:sp macro="" textlink="">
      <xdr:nvSpPr>
        <xdr:cNvPr id="2" name="AutoShape 1" descr="Mitsubishi Electric R&amp;D Centre Europe">
          <a:extLst>
            <a:ext uri="{FF2B5EF4-FFF2-40B4-BE49-F238E27FC236}">
              <a16:creationId xmlns:a16="http://schemas.microsoft.com/office/drawing/2014/main" id="{E1CC2852-AAB4-8648-8E25-5B278C993FBC}"/>
            </a:ext>
          </a:extLst>
        </xdr:cNvPr>
        <xdr:cNvSpPr>
          <a:spLocks noChangeAspect="1" noChangeArrowheads="1"/>
        </xdr:cNvSpPr>
      </xdr:nvSpPr>
      <xdr:spPr bwMode="auto">
        <a:xfrm>
          <a:off x="3302000" y="190500"/>
          <a:ext cx="304800" cy="3090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xdr:row>
      <xdr:rowOff>0</xdr:rowOff>
    </xdr:from>
    <xdr:ext cx="304800" cy="309033"/>
    <xdr:sp macro="" textlink="">
      <xdr:nvSpPr>
        <xdr:cNvPr id="3" name="AutoShape 4" descr="Organisation – JRES 2024">
          <a:extLst>
            <a:ext uri="{FF2B5EF4-FFF2-40B4-BE49-F238E27FC236}">
              <a16:creationId xmlns:a16="http://schemas.microsoft.com/office/drawing/2014/main" id="{5297D72A-976C-EE42-9331-22E9B56DE309}"/>
            </a:ext>
          </a:extLst>
        </xdr:cNvPr>
        <xdr:cNvSpPr>
          <a:spLocks noChangeAspect="1" noChangeArrowheads="1"/>
        </xdr:cNvSpPr>
      </xdr:nvSpPr>
      <xdr:spPr bwMode="auto">
        <a:xfrm>
          <a:off x="3302000" y="381000"/>
          <a:ext cx="304800" cy="3090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xdr:row>
      <xdr:rowOff>0</xdr:rowOff>
    </xdr:from>
    <xdr:ext cx="304800" cy="309034"/>
    <xdr:sp macro="" textlink="">
      <xdr:nvSpPr>
        <xdr:cNvPr id="4" name="AutoShape 5" descr="Organisation – JRES 2024">
          <a:extLst>
            <a:ext uri="{FF2B5EF4-FFF2-40B4-BE49-F238E27FC236}">
              <a16:creationId xmlns:a16="http://schemas.microsoft.com/office/drawing/2014/main" id="{B7478A6F-9410-AA4E-B8C3-884691F3208B}"/>
            </a:ext>
          </a:extLst>
        </xdr:cNvPr>
        <xdr:cNvSpPr>
          <a:spLocks noChangeAspect="1" noChangeArrowheads="1"/>
        </xdr:cNvSpPr>
      </xdr:nvSpPr>
      <xdr:spPr bwMode="auto">
        <a:xfrm>
          <a:off x="3302000" y="6286500"/>
          <a:ext cx="304800" cy="3090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twoCellAnchor>
    <xdr:from>
      <xdr:col>6</xdr:col>
      <xdr:colOff>147276</xdr:colOff>
      <xdr:row>1</xdr:row>
      <xdr:rowOff>184749</xdr:rowOff>
    </xdr:from>
    <xdr:to>
      <xdr:col>21</xdr:col>
      <xdr:colOff>263525</xdr:colOff>
      <xdr:row>29</xdr:row>
      <xdr:rowOff>85725</xdr:rowOff>
    </xdr:to>
    <xdr:graphicFrame macro="">
      <xdr:nvGraphicFramePr>
        <xdr:cNvPr id="2" name="Graphique 1">
          <a:extLst>
            <a:ext uri="{FF2B5EF4-FFF2-40B4-BE49-F238E27FC236}">
              <a16:creationId xmlns:a16="http://schemas.microsoft.com/office/drawing/2014/main" id="{18E7E3ED-AE6D-3445-96FA-722164F23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761913</xdr:colOff>
      <xdr:row>2</xdr:row>
      <xdr:rowOff>84331</xdr:rowOff>
    </xdr:from>
    <xdr:to>
      <xdr:col>10</xdr:col>
      <xdr:colOff>628927</xdr:colOff>
      <xdr:row>20</xdr:row>
      <xdr:rowOff>33832</xdr:rowOff>
    </xdr:to>
    <xdr:graphicFrame macro="">
      <xdr:nvGraphicFramePr>
        <xdr:cNvPr id="2" name="Graphique 1">
          <a:extLst>
            <a:ext uri="{FF2B5EF4-FFF2-40B4-BE49-F238E27FC236}">
              <a16:creationId xmlns:a16="http://schemas.microsoft.com/office/drawing/2014/main" id="{59CC44D9-4752-0D44-A23A-F1D05015F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github.com/merce-fra/PELCA"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www.insee.fr/fr/outil-interactif/5369554/salaires-par-profession-dans-le-secteur-prive" TargetMode="External"/><Relationship Id="rId1" Type="http://schemas.openxmlformats.org/officeDocument/2006/relationships/hyperlink" Target="https://particulier.edf.fr/fr/accueil/guide-energie/electricite/prix-kwh-electricite.html"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4donline.ihs.com/images/VipMasterIC/IC/KOAS/KOASE00031/KOASE00031-1.pdf?hkey=6D0214268300F1406B835FE51CB13195" TargetMode="External"/><Relationship Id="rId18" Type="http://schemas.openxmlformats.org/officeDocument/2006/relationships/hyperlink" Target="https://4donline.ihs.com/images/VipMasterIC/IC/RECT/RECTE00121/RECTE00121-1.pdf?hkey=6D0214268300F1406B835FE51CB13195" TargetMode="External"/><Relationship Id="rId26" Type="http://schemas.openxmlformats.org/officeDocument/2006/relationships/hyperlink" Target="https://4donline.ihs.com/images/VipMasterIC/IC/KOAS/KOAS-E-A0002571303/KOAS-E-A0002571303-1.pdf?hkey=6D0214268300F1406B835FE51CB13195" TargetMode="External"/><Relationship Id="rId39" Type="http://schemas.openxmlformats.org/officeDocument/2006/relationships/hyperlink" Target="https://4donline.ihs.com/images/VipMasterIC/IC/MCHP/MCHP-E-A0014888762/MCHP-E-A0014888762-1.pdf?hkey=6D0214268300F1406B835FE51CB13195" TargetMode="External"/><Relationship Id="rId21" Type="http://schemas.openxmlformats.org/officeDocument/2006/relationships/hyperlink" Target="https://4donline.ihs.com/images/VipMasterIC/IC/VISH/VISH-E-A0001817585/VISH-E-A0001817609-1.pdf?hkey=6D0214268300F1406B835FE51CB13195" TargetMode="External"/><Relationship Id="rId34" Type="http://schemas.openxmlformats.org/officeDocument/2006/relationships/hyperlink" Target="https://4donline.ihs.com/images/VipMasterIC/IC/SEIE/SEIE-E-A0011298520/SEIE-E-A0011298520-1.pdf?hkey=6D0214268300F1406B835FE51CB13195" TargetMode="External"/><Relationship Id="rId42" Type="http://schemas.openxmlformats.org/officeDocument/2006/relationships/hyperlink" Target="https://www.mouser.fr/ProductDetail/Vishay-General-Semiconductor/SM6T39CAHE3_A-I?qs=wnTfsH77Xs4WnCm%252BGW997Q%3D%3D&amp;utm_source=octopart&amp;utm_medium=aggregator&amp;utm_campaign=78-SM6T39CAHE3_A%2FI&amp;utm_content=Vishayabout:blank" TargetMode="External"/><Relationship Id="rId47" Type="http://schemas.openxmlformats.org/officeDocument/2006/relationships/hyperlink" Target="https://www.vishay.com/docs/30179/wslp2726.pdf" TargetMode="External"/><Relationship Id="rId50" Type="http://schemas.openxmlformats.org/officeDocument/2006/relationships/drawing" Target="../drawings/drawing2.xml"/><Relationship Id="rId7" Type="http://schemas.openxmlformats.org/officeDocument/2006/relationships/hyperlink" Target="https://4donline.ihs.com/images/VipMasterIC/IC/AVXC/AVXCE00537/AVXCE00537-1.pdf?hkey=6D0214268300F1406B835FE51CB13195" TargetMode="External"/><Relationship Id="rId2" Type="http://schemas.openxmlformats.org/officeDocument/2006/relationships/hyperlink" Target="https://www.ti.com/quality-reliability-packaging-download/report?opn=ISO7342FCQDWRQ1" TargetMode="External"/><Relationship Id="rId16" Type="http://schemas.openxmlformats.org/officeDocument/2006/relationships/hyperlink" Target="https://4donline.ihs.com/images/VipMasterIC/IC/KEME/KEME-E-A0001262239/KEME-E-A0001262239-1.pdf?hkey=6D0214268300F1406B835FE51CB13195" TargetMode="External"/><Relationship Id="rId29" Type="http://schemas.openxmlformats.org/officeDocument/2006/relationships/hyperlink" Target="https://4donline.ihs.com/images/VipMasterIC/IC/PANA/PANAE01161/PANAE01161-1.pdf?hkey=6D0214268300F1406B835FE51CB13195" TargetMode="External"/><Relationship Id="rId11" Type="http://schemas.openxmlformats.org/officeDocument/2006/relationships/hyperlink" Target="https://4donline.ihs.com/images/VipMasterIC/IC/DIOD/DIOD-E-A0002837426/DIOD-E-A0002837398-1.pdf?hkey=6D0214268300F1406B835FE51CB13195" TargetMode="External"/><Relationship Id="rId24" Type="http://schemas.openxmlformats.org/officeDocument/2006/relationships/hyperlink" Target="https://4donline.ihs.com/images/VipMasterIC/IC/PANA/PANAE00764/PANAE00764-1.pdf?hkey=6D0214268300F1406B835FE51CB13195" TargetMode="External"/><Relationship Id="rId32" Type="http://schemas.openxmlformats.org/officeDocument/2006/relationships/hyperlink" Target="https://4donline.ihs.com/images/VipMasterIC/IC/YAGO/YAGO-E-A0011552245/YAGO-E-A0011552245-1.pdf?hkey=6D0214268300F1406B835FE51CB13195" TargetMode="External"/><Relationship Id="rId37" Type="http://schemas.openxmlformats.org/officeDocument/2006/relationships/hyperlink" Target="https://4donline.ihs.com/images/VipMasterIC/IC/MCHP/MCHP-E-A0013503669/MCHP-E-A0013503669-1.pdf?hkey=6D0214268300F1406B835FE51CB13195" TargetMode="External"/><Relationship Id="rId40" Type="http://schemas.openxmlformats.org/officeDocument/2006/relationships/hyperlink" Target="https://4donline.ihs.com/images/VipMasterIC/IC/MCHP/MCHP-E-A0014735376/MCHP-E-A0014735376-1.pdf?hkey=6D0214268300F1406B835FE51CB13195" TargetMode="External"/><Relationship Id="rId45" Type="http://schemas.openxmlformats.org/officeDocument/2006/relationships/hyperlink" Target="https://www.mouser.fr/ProductDetail/Microchip-Technology/TC2030-MCP-NL?qs=vpV3rcoeaPNaPItFBtR60A%3D%3D&amp;srsltid=AfmBOoroeVT1BBBs631UaUdvalHDSBcG58fy9TAXk0H4vcDK1ADUpEG9" TargetMode="External"/><Relationship Id="rId5" Type="http://schemas.openxmlformats.org/officeDocument/2006/relationships/hyperlink" Target="https://4donline.ihs.com/images/VipMasterIC/IC/KEME/KEME-E-A0001615328/KEME-E-A0001615328-1.pdf?hkey=6D0214268300F1406B835FE51CB13195" TargetMode="External"/><Relationship Id="rId15" Type="http://schemas.openxmlformats.org/officeDocument/2006/relationships/hyperlink" Target="https://www.mouser.fr/ProductDetail/Knowles-Syfer/1812YA250472KSTUYX?qs=Li%252BoUPsLEnsBdpS5E0JL2Q%3D%3D" TargetMode="External"/><Relationship Id="rId23" Type="http://schemas.openxmlformats.org/officeDocument/2006/relationships/hyperlink" Target="https://4donline.ihs.com/images/VipMasterIC/IC/YAGO/YAGO-E-A0011552245/YAGO-E-A0011552245-1.pdf?hkey=6D0214268300F1406B835FE51CB13195" TargetMode="External"/><Relationship Id="rId28" Type="http://schemas.openxmlformats.org/officeDocument/2006/relationships/hyperlink" Target="https://4donline.ihs.com/images/VipMasterIC/IC/MIDC/MIDC-E-A0009162688/MIDC-E-A0009162712-1.pdf?hkey=6D0214268300F1406B835FE51CB13195" TargetMode="External"/><Relationship Id="rId36" Type="http://schemas.openxmlformats.org/officeDocument/2006/relationships/hyperlink" Target="https://4donline.ihs.com/images/VipMasterIC/IC/MCHP/MCHP-E-A0002923693/MCHP-E-A0001975748-1.pdf?hkey=6D0214268300F1406B835FE51CB13195" TargetMode="External"/><Relationship Id="rId49" Type="http://schemas.openxmlformats.org/officeDocument/2006/relationships/printerSettings" Target="../printerSettings/printerSettings1.bin"/><Relationship Id="rId10" Type="http://schemas.openxmlformats.org/officeDocument/2006/relationships/hyperlink" Target="https://4donline.ihs.com/images/VipMasterIC/IC/KBEC/KBEC-E-A0011842624/KBEC-E-A0011842563-1.pdf?hkey=6D0214268300F1406B835FE51CB13195" TargetMode="External"/><Relationship Id="rId19" Type="http://schemas.openxmlformats.org/officeDocument/2006/relationships/hyperlink" Target="https://4donline.ihs.com/images/VipMasterIC/IC/NEXP/NEXP-E-A0014748077/NEXP-E-A0014748684-1.pdf?hkey=6D0214268300F1406B835FE51CB13195" TargetMode="External"/><Relationship Id="rId31" Type="http://schemas.openxmlformats.org/officeDocument/2006/relationships/hyperlink" Target="https://4donline.ihs.com/images/VipMasterIC/IC/YAGO/YAGO-E-A0011552245/YAGO-E-A0011552245-1.pdf?hkey=6D0214268300F1406B835FE51CB13195" TargetMode="External"/><Relationship Id="rId44" Type="http://schemas.openxmlformats.org/officeDocument/2006/relationships/hyperlink" Target="https://www.mouser.fr/ProductDetail/Wakefield-Thermal/OMNI-UNI-27-50?qs=xZ%2FP%252Ba9zWqZGyF0DfCC%2F2w%3D%3D&amp;srsltid=AfmBOoosH-MPEaeqKhyxzEXeEBCD44GtEgCRShIJj3kx7Je6LSn5QHzW" TargetMode="External"/><Relationship Id="rId4" Type="http://schemas.openxmlformats.org/officeDocument/2006/relationships/hyperlink" Target="https://4donline.ihs.com/images/VipMasterIC/IC/TDKC/TDKC-E-A0011842620/TDKC-E-A0011842620-1.pdf?hkey=6D0214268300F1406B835FE51CB13195" TargetMode="External"/><Relationship Id="rId9" Type="http://schemas.openxmlformats.org/officeDocument/2006/relationships/hyperlink" Target="https://4donline.ihs.com/images/VipMasterIC/IC/DIOD/DIODE01223/DIODE01223-1.pdf?hkey=6D0214268300F1406B835FE51CB13195" TargetMode="External"/><Relationship Id="rId14" Type="http://schemas.openxmlformats.org/officeDocument/2006/relationships/hyperlink" Target="https://4donline.ihs.com/images/VipMasterIC/IC/MCHP/MCHP-E-A0013883766/MCHP-E-A0013883766-1.pdf?hkey=6D0214268300F1406B835FE51CB13195" TargetMode="External"/><Relationship Id="rId22" Type="http://schemas.openxmlformats.org/officeDocument/2006/relationships/hyperlink" Target="https://www.mouser.fr/datasheet/2/268/MSC035SMA070B_SiC_MOSFET_Datasheet-3444372.pdf" TargetMode="External"/><Relationship Id="rId27" Type="http://schemas.openxmlformats.org/officeDocument/2006/relationships/hyperlink" Target="https://www.mouser.fr/datasheet/2/281/NCU18XH103F6SRB-1108705.pdf" TargetMode="External"/><Relationship Id="rId30" Type="http://schemas.openxmlformats.org/officeDocument/2006/relationships/hyperlink" Target="https://4donline.ihs.com/images/VipMasterIC/IC/PANA/PANAE01161/PANAE01161-1.pdf?hkey=6D0214268300F1406B835FE51CB13195" TargetMode="External"/><Relationship Id="rId35" Type="http://schemas.openxmlformats.org/officeDocument/2006/relationships/hyperlink" Target="https://4donline.ihs.com/images/VipMasterIC/IC/YAGO/YAGO-E-A0012006210/YAGO-E-A0012006210-1.pdf?hkey=6D0214268300F1406B835FE51CB13195" TargetMode="External"/><Relationship Id="rId43" Type="http://schemas.openxmlformats.org/officeDocument/2006/relationships/hyperlink" Target="https://www.on-shore.com/wp-content/uploads/OSTVIXX0152-1.pdf" TargetMode="External"/><Relationship Id="rId48" Type="http://schemas.openxmlformats.org/officeDocument/2006/relationships/hyperlink" Target="https://www.mouser.fr/ProductDetail/Panasonic/ERJ-3EKF4701V?qs=MVjVSMjNRMouVvwnqrpO2w%3D%3D&amp;utm_source=octopart&amp;utm_medium=aggregator&amp;utm_campaign=667-ERJ-3EKF4701V&amp;utm_content=Panasonic&amp;_gl=1*18jj3c0*_ga*dW5kZWZpbmVk*_ga_15W4STQT4T*dW5kZWZpbmVk*_ga_1KQLCYKRX3*dW5kZWZpbmVk" TargetMode="External"/><Relationship Id="rId8" Type="http://schemas.openxmlformats.org/officeDocument/2006/relationships/hyperlink" Target="https://4donline.ihs.com/images/VipMasterIC/IC/KEME/KEME-E-A0001615328/KEME-E-A0001615328-1.pdf?hkey=6D0214268300F1406B835FE51CB13195" TargetMode="External"/><Relationship Id="rId3" Type="http://schemas.openxmlformats.org/officeDocument/2006/relationships/hyperlink" Target="https://4donline.ihs.com/images/VipMasterIC/IC/KEME/KEME-E-A0001615328/KEME-E-A0001615328-1.pdf?hkey=6D0214268300F1406B835FE51CB13195" TargetMode="External"/><Relationship Id="rId12" Type="http://schemas.openxmlformats.org/officeDocument/2006/relationships/hyperlink" Target="https://4donline.ihs.com/images/VipMasterIC/IC/TDKC/TDKC-E-A0011842620/TDKC-E-A0011842517-1.pdf?hkey=6D0214268300F1406B835FE51CB13195" TargetMode="External"/><Relationship Id="rId17" Type="http://schemas.openxmlformats.org/officeDocument/2006/relationships/hyperlink" Target="https://4donline.ihs.com/images/VipMasterIC/IC/NEXP/NEXP-E-A0014748077/NEXP-E-A0014750653-1.pdf?hkey=6D0214268300F1406B835FE51CB13195" TargetMode="External"/><Relationship Id="rId25" Type="http://schemas.openxmlformats.org/officeDocument/2006/relationships/hyperlink" Target="https://4donline.ihs.com/images/VipMasterIC/IC/VISH/VISH-E-A0015667156/VISH-E-A0015667087-1.pdf?hkey=6D0214268300F1406B835FE51CB13195" TargetMode="External"/><Relationship Id="rId33" Type="http://schemas.openxmlformats.org/officeDocument/2006/relationships/hyperlink" Target="https://4donline.ihs.com/images/VipMasterIC/IC/PANA/PANAE00775/PANAE00775-1.pdf?hkey=6D0214268300F1406B835FE51CB13195" TargetMode="External"/><Relationship Id="rId38" Type="http://schemas.openxmlformats.org/officeDocument/2006/relationships/hyperlink" Target="https://4donline.ihs.com/images/VipMasterIC/IC/MCHP/MCHP-E-A0020515312/MCHP-E-A0020515312-1.pdf?hkey=6D0214268300F1406B835FE51CB13195" TargetMode="External"/><Relationship Id="rId46" Type="http://schemas.openxmlformats.org/officeDocument/2006/relationships/hyperlink" Target="https://www.mouser.fr/ProductDetail/Keystone-Electronics/8197?qs=lQmX4aIt5iCLtZsmTLO7fw%3D%3D&amp;utm_source=octopart&amp;utm_medium=aggregator&amp;utm_campaign=534-8197&amp;utm_content=Keystone%20Electronics" TargetMode="External"/><Relationship Id="rId20" Type="http://schemas.openxmlformats.org/officeDocument/2006/relationships/hyperlink" Target="https://4donline.ihs.com/images/VipMasterIC/IC/NEXP/NEXP-E-A0014738174/NEXP-E-A0014737527-1.pdf?hkey=6D0214268300F1406B835FE51CB13195" TargetMode="External"/><Relationship Id="rId41" Type="http://schemas.openxmlformats.org/officeDocument/2006/relationships/hyperlink" Target="https://www.mouser.fr/ProductDetail/KOA-Speer/RK73H1JTTD1002F?qs=%252BHd4ebZ%252Bq6V15kIYdKv25A%3D%3D&amp;utm_source=octopart&amp;utm_medium=aggregator&amp;utm_campaign=660-RK73H1JTTD1002F&amp;utm_content=KOA%20Speer" TargetMode="External"/><Relationship Id="rId1" Type="http://schemas.openxmlformats.org/officeDocument/2006/relationships/hyperlink" Target="https://4donline.ihs.com/images/VipMasterIC/IC/MCHP/MCHP-E-A0013181284/MCHP-E-A0013181284-1.pdf?hkey=6D0214268300F1406B835FE51CB13195" TargetMode="External"/><Relationship Id="rId6" Type="http://schemas.openxmlformats.org/officeDocument/2006/relationships/hyperlink" Target="https://4donline.ihs.com/images/VipMasterIC/IC/KEME/KEME-E-A0001615328/KEME-E-A0001615328-1.pdf?hkey=6D0214268300F1406B835FE51CB13195"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mouser.fr/ProductDetail/onsemi/NTH4L022N120M3S?qs=7D1LtPJG0i3AbEjjEp3mXA%3D%3D"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97D45-EDBA-ED4D-A14F-ED557B3F8DF5}">
  <dimension ref="A1:H187"/>
  <sheetViews>
    <sheetView topLeftCell="A3" zoomScale="162" workbookViewId="0">
      <selection activeCell="D13" sqref="D13"/>
    </sheetView>
  </sheetViews>
  <sheetFormatPr baseColWidth="10" defaultRowHeight="14.4"/>
  <sheetData>
    <row r="1" spans="1:8" ht="15" thickBot="1">
      <c r="A1" t="s">
        <v>29</v>
      </c>
    </row>
    <row r="2" spans="1:8">
      <c r="B2" s="309"/>
      <c r="C2" s="310"/>
      <c r="D2" s="310"/>
      <c r="E2" s="310"/>
      <c r="F2" s="310"/>
      <c r="G2" s="310"/>
      <c r="H2" s="311"/>
    </row>
    <row r="3" spans="1:8">
      <c r="B3" s="312"/>
      <c r="C3" s="313"/>
      <c r="D3" s="313"/>
      <c r="E3" s="313"/>
      <c r="F3" s="313"/>
      <c r="G3" s="313"/>
      <c r="H3" s="314"/>
    </row>
    <row r="4" spans="1:8">
      <c r="B4" s="312"/>
      <c r="C4" s="313"/>
      <c r="D4" s="313"/>
      <c r="E4" s="313"/>
      <c r="F4" s="313"/>
      <c r="G4" s="313"/>
      <c r="H4" s="314"/>
    </row>
    <row r="5" spans="1:8">
      <c r="B5" s="312"/>
      <c r="C5" s="313"/>
      <c r="D5" s="313"/>
      <c r="E5" s="313"/>
      <c r="F5" s="313"/>
      <c r="G5" s="313"/>
      <c r="H5" s="314"/>
    </row>
    <row r="6" spans="1:8">
      <c r="B6" s="312"/>
      <c r="C6" s="313"/>
      <c r="D6" s="313"/>
      <c r="E6" s="313"/>
      <c r="F6" s="313"/>
      <c r="G6" s="313"/>
      <c r="H6" s="314"/>
    </row>
    <row r="7" spans="1:8">
      <c r="B7" s="312"/>
      <c r="C7" s="313"/>
      <c r="D7" s="313"/>
      <c r="E7" s="313"/>
      <c r="F7" s="313"/>
      <c r="G7" s="313"/>
      <c r="H7" s="314"/>
    </row>
    <row r="8" spans="1:8">
      <c r="B8" s="312"/>
      <c r="C8" s="313"/>
      <c r="D8" s="313"/>
      <c r="E8" s="313"/>
      <c r="F8" s="313"/>
      <c r="G8" s="313"/>
      <c r="H8" s="314"/>
    </row>
    <row r="9" spans="1:8">
      <c r="B9" s="312"/>
      <c r="C9" s="313"/>
      <c r="D9" s="313"/>
      <c r="E9" s="313"/>
      <c r="F9" s="313"/>
      <c r="G9" s="313"/>
      <c r="H9" s="314"/>
    </row>
    <row r="10" spans="1:8" ht="18.600000000000001" thickBot="1">
      <c r="B10" s="315"/>
      <c r="C10" s="316"/>
      <c r="D10" s="316"/>
      <c r="E10" s="316"/>
      <c r="F10" s="316"/>
      <c r="G10" s="317" t="s">
        <v>778</v>
      </c>
      <c r="H10" s="318" t="s">
        <v>779</v>
      </c>
    </row>
    <row r="11" spans="1:8" ht="15" thickBot="1">
      <c r="F11" s="324" t="s">
        <v>785</v>
      </c>
      <c r="G11" s="325"/>
      <c r="H11" s="325"/>
    </row>
    <row r="12" spans="1:8">
      <c r="B12" s="326" t="s">
        <v>784</v>
      </c>
      <c r="C12" s="327"/>
      <c r="D12" s="327"/>
      <c r="E12" s="327"/>
      <c r="F12" s="327"/>
      <c r="G12" s="327"/>
      <c r="H12" s="328"/>
    </row>
    <row r="13" spans="1:8">
      <c r="B13" s="196"/>
      <c r="H13" s="197"/>
    </row>
    <row r="14" spans="1:8">
      <c r="B14" s="319"/>
      <c r="C14" s="320" t="s">
        <v>780</v>
      </c>
      <c r="H14" s="197"/>
    </row>
    <row r="15" spans="1:8">
      <c r="B15" s="196"/>
      <c r="H15" s="197"/>
    </row>
    <row r="16" spans="1:8">
      <c r="B16" s="321"/>
      <c r="C16" s="320" t="s">
        <v>781</v>
      </c>
      <c r="H16" s="197"/>
    </row>
    <row r="17" spans="2:8">
      <c r="B17" s="196"/>
      <c r="H17" s="197"/>
    </row>
    <row r="18" spans="2:8" ht="15" thickBot="1">
      <c r="B18" s="322" t="s">
        <v>783</v>
      </c>
      <c r="C18" s="323" t="s">
        <v>782</v>
      </c>
      <c r="D18" s="307"/>
      <c r="E18" s="307"/>
      <c r="F18" s="307"/>
      <c r="G18" s="307"/>
      <c r="H18" s="308"/>
    </row>
    <row r="19" spans="2:8" ht="15" thickBot="1"/>
    <row r="20" spans="2:8" ht="15" customHeight="1">
      <c r="B20" s="329" t="s">
        <v>786</v>
      </c>
      <c r="C20" s="330"/>
      <c r="D20" s="330"/>
      <c r="E20" s="330"/>
      <c r="F20" s="330"/>
      <c r="G20" s="330"/>
      <c r="H20" s="331"/>
    </row>
    <row r="21" spans="2:8">
      <c r="B21" s="332"/>
      <c r="C21" s="333"/>
      <c r="D21" s="333"/>
      <c r="E21" s="333"/>
      <c r="F21" s="333"/>
      <c r="G21" s="333"/>
      <c r="H21" s="334"/>
    </row>
    <row r="22" spans="2:8">
      <c r="B22" s="332"/>
      <c r="C22" s="333"/>
      <c r="D22" s="333"/>
      <c r="E22" s="333"/>
      <c r="F22" s="333"/>
      <c r="G22" s="333"/>
      <c r="H22" s="334"/>
    </row>
    <row r="23" spans="2:8">
      <c r="B23" s="332"/>
      <c r="C23" s="333"/>
      <c r="D23" s="333"/>
      <c r="E23" s="333"/>
      <c r="F23" s="333"/>
      <c r="G23" s="333"/>
      <c r="H23" s="334"/>
    </row>
    <row r="24" spans="2:8">
      <c r="B24" s="332"/>
      <c r="C24" s="333"/>
      <c r="D24" s="333"/>
      <c r="E24" s="333"/>
      <c r="F24" s="333"/>
      <c r="G24" s="333"/>
      <c r="H24" s="334"/>
    </row>
    <row r="25" spans="2:8">
      <c r="B25" s="332"/>
      <c r="C25" s="333"/>
      <c r="D25" s="333"/>
      <c r="E25" s="333"/>
      <c r="F25" s="333"/>
      <c r="G25" s="333"/>
      <c r="H25" s="334"/>
    </row>
    <row r="26" spans="2:8">
      <c r="B26" s="332"/>
      <c r="C26" s="333"/>
      <c r="D26" s="333"/>
      <c r="E26" s="333"/>
      <c r="F26" s="333"/>
      <c r="G26" s="333"/>
      <c r="H26" s="334"/>
    </row>
    <row r="27" spans="2:8">
      <c r="B27" s="332"/>
      <c r="C27" s="333"/>
      <c r="D27" s="333"/>
      <c r="E27" s="333"/>
      <c r="F27" s="333"/>
      <c r="G27" s="333"/>
      <c r="H27" s="334"/>
    </row>
    <row r="28" spans="2:8">
      <c r="B28" s="332"/>
      <c r="C28" s="333"/>
      <c r="D28" s="333"/>
      <c r="E28" s="333"/>
      <c r="F28" s="333"/>
      <c r="G28" s="333"/>
      <c r="H28" s="334"/>
    </row>
    <row r="29" spans="2:8">
      <c r="B29" s="332"/>
      <c r="C29" s="333"/>
      <c r="D29" s="333"/>
      <c r="E29" s="333"/>
      <c r="F29" s="333"/>
      <c r="G29" s="333"/>
      <c r="H29" s="334"/>
    </row>
    <row r="30" spans="2:8">
      <c r="B30" s="332"/>
      <c r="C30" s="333"/>
      <c r="D30" s="333"/>
      <c r="E30" s="333"/>
      <c r="F30" s="333"/>
      <c r="G30" s="333"/>
      <c r="H30" s="334"/>
    </row>
    <row r="31" spans="2:8">
      <c r="B31" s="332"/>
      <c r="C31" s="333"/>
      <c r="D31" s="333"/>
      <c r="E31" s="333"/>
      <c r="F31" s="333"/>
      <c r="G31" s="333"/>
      <c r="H31" s="334"/>
    </row>
    <row r="32" spans="2:8">
      <c r="B32" s="332"/>
      <c r="C32" s="333"/>
      <c r="D32" s="333"/>
      <c r="E32" s="333"/>
      <c r="F32" s="333"/>
      <c r="G32" s="333"/>
      <c r="H32" s="334"/>
    </row>
    <row r="33" spans="2:8">
      <c r="B33" s="332"/>
      <c r="C33" s="333"/>
      <c r="D33" s="333"/>
      <c r="E33" s="333"/>
      <c r="F33" s="333"/>
      <c r="G33" s="333"/>
      <c r="H33" s="334"/>
    </row>
    <row r="34" spans="2:8">
      <c r="B34" s="332"/>
      <c r="C34" s="333"/>
      <c r="D34" s="333"/>
      <c r="E34" s="333"/>
      <c r="F34" s="333"/>
      <c r="G34" s="333"/>
      <c r="H34" s="334"/>
    </row>
    <row r="35" spans="2:8">
      <c r="B35" s="332"/>
      <c r="C35" s="333"/>
      <c r="D35" s="333"/>
      <c r="E35" s="333"/>
      <c r="F35" s="333"/>
      <c r="G35" s="333"/>
      <c r="H35" s="334"/>
    </row>
    <row r="36" spans="2:8">
      <c r="B36" s="332"/>
      <c r="C36" s="333"/>
      <c r="D36" s="333"/>
      <c r="E36" s="333"/>
      <c r="F36" s="333"/>
      <c r="G36" s="333"/>
      <c r="H36" s="334"/>
    </row>
    <row r="37" spans="2:8">
      <c r="B37" s="332"/>
      <c r="C37" s="333"/>
      <c r="D37" s="333"/>
      <c r="E37" s="333"/>
      <c r="F37" s="333"/>
      <c r="G37" s="333"/>
      <c r="H37" s="334"/>
    </row>
    <row r="38" spans="2:8">
      <c r="B38" s="332"/>
      <c r="C38" s="333"/>
      <c r="D38" s="333"/>
      <c r="E38" s="333"/>
      <c r="F38" s="333"/>
      <c r="G38" s="333"/>
      <c r="H38" s="334"/>
    </row>
    <row r="39" spans="2:8">
      <c r="B39" s="332"/>
      <c r="C39" s="333"/>
      <c r="D39" s="333"/>
      <c r="E39" s="333"/>
      <c r="F39" s="333"/>
      <c r="G39" s="333"/>
      <c r="H39" s="334"/>
    </row>
    <row r="40" spans="2:8">
      <c r="B40" s="332"/>
      <c r="C40" s="333"/>
      <c r="D40" s="333"/>
      <c r="E40" s="333"/>
      <c r="F40" s="333"/>
      <c r="G40" s="333"/>
      <c r="H40" s="334"/>
    </row>
    <row r="41" spans="2:8">
      <c r="B41" s="332"/>
      <c r="C41" s="333"/>
      <c r="D41" s="333"/>
      <c r="E41" s="333"/>
      <c r="F41" s="333"/>
      <c r="G41" s="333"/>
      <c r="H41" s="334"/>
    </row>
    <row r="42" spans="2:8">
      <c r="B42" s="332"/>
      <c r="C42" s="333"/>
      <c r="D42" s="333"/>
      <c r="E42" s="333"/>
      <c r="F42" s="333"/>
      <c r="G42" s="333"/>
      <c r="H42" s="334"/>
    </row>
    <row r="43" spans="2:8">
      <c r="B43" s="332"/>
      <c r="C43" s="333"/>
      <c r="D43" s="333"/>
      <c r="E43" s="333"/>
      <c r="F43" s="333"/>
      <c r="G43" s="333"/>
      <c r="H43" s="334"/>
    </row>
    <row r="44" spans="2:8">
      <c r="B44" s="332"/>
      <c r="C44" s="333"/>
      <c r="D44" s="333"/>
      <c r="E44" s="333"/>
      <c r="F44" s="333"/>
      <c r="G44" s="333"/>
      <c r="H44" s="334"/>
    </row>
    <row r="45" spans="2:8">
      <c r="B45" s="332"/>
      <c r="C45" s="333"/>
      <c r="D45" s="333"/>
      <c r="E45" s="333"/>
      <c r="F45" s="333"/>
      <c r="G45" s="333"/>
      <c r="H45" s="334"/>
    </row>
    <row r="46" spans="2:8">
      <c r="B46" s="332"/>
      <c r="C46" s="333"/>
      <c r="D46" s="333"/>
      <c r="E46" s="333"/>
      <c r="F46" s="333"/>
      <c r="G46" s="333"/>
      <c r="H46" s="334"/>
    </row>
    <row r="47" spans="2:8">
      <c r="B47" s="332"/>
      <c r="C47" s="333"/>
      <c r="D47" s="333"/>
      <c r="E47" s="333"/>
      <c r="F47" s="333"/>
      <c r="G47" s="333"/>
      <c r="H47" s="334"/>
    </row>
    <row r="48" spans="2:8">
      <c r="B48" s="332"/>
      <c r="C48" s="333"/>
      <c r="D48" s="333"/>
      <c r="E48" s="333"/>
      <c r="F48" s="333"/>
      <c r="G48" s="333"/>
      <c r="H48" s="334"/>
    </row>
    <row r="49" spans="2:8">
      <c r="B49" s="332"/>
      <c r="C49" s="333"/>
      <c r="D49" s="333"/>
      <c r="E49" s="333"/>
      <c r="F49" s="333"/>
      <c r="G49" s="333"/>
      <c r="H49" s="334"/>
    </row>
    <row r="50" spans="2:8">
      <c r="B50" s="332"/>
      <c r="C50" s="333"/>
      <c r="D50" s="333"/>
      <c r="E50" s="333"/>
      <c r="F50" s="333"/>
      <c r="G50" s="333"/>
      <c r="H50" s="334"/>
    </row>
    <row r="51" spans="2:8">
      <c r="B51" s="332"/>
      <c r="C51" s="333"/>
      <c r="D51" s="333"/>
      <c r="E51" s="333"/>
      <c r="F51" s="333"/>
      <c r="G51" s="333"/>
      <c r="H51" s="334"/>
    </row>
    <row r="52" spans="2:8">
      <c r="B52" s="332"/>
      <c r="C52" s="333"/>
      <c r="D52" s="333"/>
      <c r="E52" s="333"/>
      <c r="F52" s="333"/>
      <c r="G52" s="333"/>
      <c r="H52" s="334"/>
    </row>
    <row r="53" spans="2:8">
      <c r="B53" s="332"/>
      <c r="C53" s="333"/>
      <c r="D53" s="333"/>
      <c r="E53" s="333"/>
      <c r="F53" s="333"/>
      <c r="G53" s="333"/>
      <c r="H53" s="334"/>
    </row>
    <row r="54" spans="2:8">
      <c r="B54" s="332"/>
      <c r="C54" s="333"/>
      <c r="D54" s="333"/>
      <c r="E54" s="333"/>
      <c r="F54" s="333"/>
      <c r="G54" s="333"/>
      <c r="H54" s="334"/>
    </row>
    <row r="55" spans="2:8">
      <c r="B55" s="332"/>
      <c r="C55" s="333"/>
      <c r="D55" s="333"/>
      <c r="E55" s="333"/>
      <c r="F55" s="333"/>
      <c r="G55" s="333"/>
      <c r="H55" s="334"/>
    </row>
    <row r="56" spans="2:8">
      <c r="B56" s="332"/>
      <c r="C56" s="333"/>
      <c r="D56" s="333"/>
      <c r="E56" s="333"/>
      <c r="F56" s="333"/>
      <c r="G56" s="333"/>
      <c r="H56" s="334"/>
    </row>
    <row r="57" spans="2:8">
      <c r="B57" s="332"/>
      <c r="C57" s="333"/>
      <c r="D57" s="333"/>
      <c r="E57" s="333"/>
      <c r="F57" s="333"/>
      <c r="G57" s="333"/>
      <c r="H57" s="334"/>
    </row>
    <row r="58" spans="2:8">
      <c r="B58" s="332"/>
      <c r="C58" s="333"/>
      <c r="D58" s="333"/>
      <c r="E58" s="333"/>
      <c r="F58" s="333"/>
      <c r="G58" s="333"/>
      <c r="H58" s="334"/>
    </row>
    <row r="59" spans="2:8">
      <c r="B59" s="332"/>
      <c r="C59" s="333"/>
      <c r="D59" s="333"/>
      <c r="E59" s="333"/>
      <c r="F59" s="333"/>
      <c r="G59" s="333"/>
      <c r="H59" s="334"/>
    </row>
    <row r="60" spans="2:8">
      <c r="B60" s="332"/>
      <c r="C60" s="333"/>
      <c r="D60" s="333"/>
      <c r="E60" s="333"/>
      <c r="F60" s="333"/>
      <c r="G60" s="333"/>
      <c r="H60" s="334"/>
    </row>
    <row r="61" spans="2:8">
      <c r="B61" s="332"/>
      <c r="C61" s="333"/>
      <c r="D61" s="333"/>
      <c r="E61" s="333"/>
      <c r="F61" s="333"/>
      <c r="G61" s="333"/>
      <c r="H61" s="334"/>
    </row>
    <row r="62" spans="2:8">
      <c r="B62" s="332"/>
      <c r="C62" s="333"/>
      <c r="D62" s="333"/>
      <c r="E62" s="333"/>
      <c r="F62" s="333"/>
      <c r="G62" s="333"/>
      <c r="H62" s="334"/>
    </row>
    <row r="63" spans="2:8">
      <c r="B63" s="332"/>
      <c r="C63" s="333"/>
      <c r="D63" s="333"/>
      <c r="E63" s="333"/>
      <c r="F63" s="333"/>
      <c r="G63" s="333"/>
      <c r="H63" s="334"/>
    </row>
    <row r="64" spans="2:8">
      <c r="B64" s="332"/>
      <c r="C64" s="333"/>
      <c r="D64" s="333"/>
      <c r="E64" s="333"/>
      <c r="F64" s="333"/>
      <c r="G64" s="333"/>
      <c r="H64" s="334"/>
    </row>
    <row r="65" spans="2:8">
      <c r="B65" s="332"/>
      <c r="C65" s="333"/>
      <c r="D65" s="333"/>
      <c r="E65" s="333"/>
      <c r="F65" s="333"/>
      <c r="G65" s="333"/>
      <c r="H65" s="334"/>
    </row>
    <row r="66" spans="2:8">
      <c r="B66" s="332"/>
      <c r="C66" s="333"/>
      <c r="D66" s="333"/>
      <c r="E66" s="333"/>
      <c r="F66" s="333"/>
      <c r="G66" s="333"/>
      <c r="H66" s="334"/>
    </row>
    <row r="67" spans="2:8">
      <c r="B67" s="332"/>
      <c r="C67" s="333"/>
      <c r="D67" s="333"/>
      <c r="E67" s="333"/>
      <c r="F67" s="333"/>
      <c r="G67" s="333"/>
      <c r="H67" s="334"/>
    </row>
    <row r="68" spans="2:8">
      <c r="B68" s="332"/>
      <c r="C68" s="333"/>
      <c r="D68" s="333"/>
      <c r="E68" s="333"/>
      <c r="F68" s="333"/>
      <c r="G68" s="333"/>
      <c r="H68" s="334"/>
    </row>
    <row r="69" spans="2:8">
      <c r="B69" s="332"/>
      <c r="C69" s="333"/>
      <c r="D69" s="333"/>
      <c r="E69" s="333"/>
      <c r="F69" s="333"/>
      <c r="G69" s="333"/>
      <c r="H69" s="334"/>
    </row>
    <row r="70" spans="2:8">
      <c r="B70" s="332"/>
      <c r="C70" s="333"/>
      <c r="D70" s="333"/>
      <c r="E70" s="333"/>
      <c r="F70" s="333"/>
      <c r="G70" s="333"/>
      <c r="H70" s="334"/>
    </row>
    <row r="71" spans="2:8">
      <c r="B71" s="332"/>
      <c r="C71" s="333"/>
      <c r="D71" s="333"/>
      <c r="E71" s="333"/>
      <c r="F71" s="333"/>
      <c r="G71" s="333"/>
      <c r="H71" s="334"/>
    </row>
    <row r="72" spans="2:8">
      <c r="B72" s="332"/>
      <c r="C72" s="333"/>
      <c r="D72" s="333"/>
      <c r="E72" s="333"/>
      <c r="F72" s="333"/>
      <c r="G72" s="333"/>
      <c r="H72" s="334"/>
    </row>
    <row r="73" spans="2:8">
      <c r="B73" s="332"/>
      <c r="C73" s="333"/>
      <c r="D73" s="333"/>
      <c r="E73" s="333"/>
      <c r="F73" s="333"/>
      <c r="G73" s="333"/>
      <c r="H73" s="334"/>
    </row>
    <row r="74" spans="2:8">
      <c r="B74" s="332"/>
      <c r="C74" s="333"/>
      <c r="D74" s="333"/>
      <c r="E74" s="333"/>
      <c r="F74" s="333"/>
      <c r="G74" s="333"/>
      <c r="H74" s="334"/>
    </row>
    <row r="75" spans="2:8">
      <c r="B75" s="332"/>
      <c r="C75" s="333"/>
      <c r="D75" s="333"/>
      <c r="E75" s="333"/>
      <c r="F75" s="333"/>
      <c r="G75" s="333"/>
      <c r="H75" s="334"/>
    </row>
    <row r="76" spans="2:8">
      <c r="B76" s="332"/>
      <c r="C76" s="333"/>
      <c r="D76" s="333"/>
      <c r="E76" s="333"/>
      <c r="F76" s="333"/>
      <c r="G76" s="333"/>
      <c r="H76" s="334"/>
    </row>
    <row r="77" spans="2:8">
      <c r="B77" s="332"/>
      <c r="C77" s="333"/>
      <c r="D77" s="333"/>
      <c r="E77" s="333"/>
      <c r="F77" s="333"/>
      <c r="G77" s="333"/>
      <c r="H77" s="334"/>
    </row>
    <row r="78" spans="2:8">
      <c r="B78" s="332"/>
      <c r="C78" s="333"/>
      <c r="D78" s="333"/>
      <c r="E78" s="333"/>
      <c r="F78" s="333"/>
      <c r="G78" s="333"/>
      <c r="H78" s="334"/>
    </row>
    <row r="79" spans="2:8">
      <c r="B79" s="332"/>
      <c r="C79" s="333"/>
      <c r="D79" s="333"/>
      <c r="E79" s="333"/>
      <c r="F79" s="333"/>
      <c r="G79" s="333"/>
      <c r="H79" s="334"/>
    </row>
    <row r="80" spans="2:8">
      <c r="B80" s="332"/>
      <c r="C80" s="333"/>
      <c r="D80" s="333"/>
      <c r="E80" s="333"/>
      <c r="F80" s="333"/>
      <c r="G80" s="333"/>
      <c r="H80" s="334"/>
    </row>
    <row r="81" spans="2:8">
      <c r="B81" s="332"/>
      <c r="C81" s="333"/>
      <c r="D81" s="333"/>
      <c r="E81" s="333"/>
      <c r="F81" s="333"/>
      <c r="G81" s="333"/>
      <c r="H81" s="334"/>
    </row>
    <row r="82" spans="2:8">
      <c r="B82" s="332"/>
      <c r="C82" s="333"/>
      <c r="D82" s="333"/>
      <c r="E82" s="333"/>
      <c r="F82" s="333"/>
      <c r="G82" s="333"/>
      <c r="H82" s="334"/>
    </row>
    <row r="83" spans="2:8">
      <c r="B83" s="332"/>
      <c r="C83" s="333"/>
      <c r="D83" s="333"/>
      <c r="E83" s="333"/>
      <c r="F83" s="333"/>
      <c r="G83" s="333"/>
      <c r="H83" s="334"/>
    </row>
    <row r="84" spans="2:8">
      <c r="B84" s="332"/>
      <c r="C84" s="333"/>
      <c r="D84" s="333"/>
      <c r="E84" s="333"/>
      <c r="F84" s="333"/>
      <c r="G84" s="333"/>
      <c r="H84" s="334"/>
    </row>
    <row r="85" spans="2:8">
      <c r="B85" s="332"/>
      <c r="C85" s="333"/>
      <c r="D85" s="333"/>
      <c r="E85" s="333"/>
      <c r="F85" s="333"/>
      <c r="G85" s="333"/>
      <c r="H85" s="334"/>
    </row>
    <row r="86" spans="2:8">
      <c r="B86" s="332"/>
      <c r="C86" s="333"/>
      <c r="D86" s="333"/>
      <c r="E86" s="333"/>
      <c r="F86" s="333"/>
      <c r="G86" s="333"/>
      <c r="H86" s="334"/>
    </row>
    <row r="87" spans="2:8">
      <c r="B87" s="332"/>
      <c r="C87" s="333"/>
      <c r="D87" s="333"/>
      <c r="E87" s="333"/>
      <c r="F87" s="333"/>
      <c r="G87" s="333"/>
      <c r="H87" s="334"/>
    </row>
    <row r="88" spans="2:8">
      <c r="B88" s="332"/>
      <c r="C88" s="333"/>
      <c r="D88" s="333"/>
      <c r="E88" s="333"/>
      <c r="F88" s="333"/>
      <c r="G88" s="333"/>
      <c r="H88" s="334"/>
    </row>
    <row r="89" spans="2:8">
      <c r="B89" s="332"/>
      <c r="C89" s="333"/>
      <c r="D89" s="333"/>
      <c r="E89" s="333"/>
      <c r="F89" s="333"/>
      <c r="G89" s="333"/>
      <c r="H89" s="334"/>
    </row>
    <row r="90" spans="2:8">
      <c r="B90" s="332"/>
      <c r="C90" s="333"/>
      <c r="D90" s="333"/>
      <c r="E90" s="333"/>
      <c r="F90" s="333"/>
      <c r="G90" s="333"/>
      <c r="H90" s="334"/>
    </row>
    <row r="91" spans="2:8">
      <c r="B91" s="332"/>
      <c r="C91" s="333"/>
      <c r="D91" s="333"/>
      <c r="E91" s="333"/>
      <c r="F91" s="333"/>
      <c r="G91" s="333"/>
      <c r="H91" s="334"/>
    </row>
    <row r="92" spans="2:8">
      <c r="B92" s="332"/>
      <c r="C92" s="333"/>
      <c r="D92" s="333"/>
      <c r="E92" s="333"/>
      <c r="F92" s="333"/>
      <c r="G92" s="333"/>
      <c r="H92" s="334"/>
    </row>
    <row r="93" spans="2:8">
      <c r="B93" s="332"/>
      <c r="C93" s="333"/>
      <c r="D93" s="333"/>
      <c r="E93" s="333"/>
      <c r="F93" s="333"/>
      <c r="G93" s="333"/>
      <c r="H93" s="334"/>
    </row>
    <row r="94" spans="2:8">
      <c r="B94" s="332"/>
      <c r="C94" s="333"/>
      <c r="D94" s="333"/>
      <c r="E94" s="333"/>
      <c r="F94" s="333"/>
      <c r="G94" s="333"/>
      <c r="H94" s="334"/>
    </row>
    <row r="95" spans="2:8">
      <c r="B95" s="332"/>
      <c r="C95" s="333"/>
      <c r="D95" s="333"/>
      <c r="E95" s="333"/>
      <c r="F95" s="333"/>
      <c r="G95" s="333"/>
      <c r="H95" s="334"/>
    </row>
    <row r="96" spans="2:8">
      <c r="B96" s="332"/>
      <c r="C96" s="333"/>
      <c r="D96" s="333"/>
      <c r="E96" s="333"/>
      <c r="F96" s="333"/>
      <c r="G96" s="333"/>
      <c r="H96" s="334"/>
    </row>
    <row r="97" spans="2:8">
      <c r="B97" s="332"/>
      <c r="C97" s="333"/>
      <c r="D97" s="333"/>
      <c r="E97" s="333"/>
      <c r="F97" s="333"/>
      <c r="G97" s="333"/>
      <c r="H97" s="334"/>
    </row>
    <row r="98" spans="2:8">
      <c r="B98" s="332"/>
      <c r="C98" s="333"/>
      <c r="D98" s="333"/>
      <c r="E98" s="333"/>
      <c r="F98" s="333"/>
      <c r="G98" s="333"/>
      <c r="H98" s="334"/>
    </row>
    <row r="99" spans="2:8">
      <c r="B99" s="332"/>
      <c r="C99" s="333"/>
      <c r="D99" s="333"/>
      <c r="E99" s="333"/>
      <c r="F99" s="333"/>
      <c r="G99" s="333"/>
      <c r="H99" s="334"/>
    </row>
    <row r="100" spans="2:8">
      <c r="B100" s="332"/>
      <c r="C100" s="333"/>
      <c r="D100" s="333"/>
      <c r="E100" s="333"/>
      <c r="F100" s="333"/>
      <c r="G100" s="333"/>
      <c r="H100" s="334"/>
    </row>
    <row r="101" spans="2:8">
      <c r="B101" s="332"/>
      <c r="C101" s="333"/>
      <c r="D101" s="333"/>
      <c r="E101" s="333"/>
      <c r="F101" s="333"/>
      <c r="G101" s="333"/>
      <c r="H101" s="334"/>
    </row>
    <row r="102" spans="2:8">
      <c r="B102" s="332"/>
      <c r="C102" s="333"/>
      <c r="D102" s="333"/>
      <c r="E102" s="333"/>
      <c r="F102" s="333"/>
      <c r="G102" s="333"/>
      <c r="H102" s="334"/>
    </row>
    <row r="103" spans="2:8">
      <c r="B103" s="332"/>
      <c r="C103" s="333"/>
      <c r="D103" s="333"/>
      <c r="E103" s="333"/>
      <c r="F103" s="333"/>
      <c r="G103" s="333"/>
      <c r="H103" s="334"/>
    </row>
    <row r="104" spans="2:8">
      <c r="B104" s="332"/>
      <c r="C104" s="333"/>
      <c r="D104" s="333"/>
      <c r="E104" s="333"/>
      <c r="F104" s="333"/>
      <c r="G104" s="333"/>
      <c r="H104" s="334"/>
    </row>
    <row r="105" spans="2:8">
      <c r="B105" s="332"/>
      <c r="C105" s="333"/>
      <c r="D105" s="333"/>
      <c r="E105" s="333"/>
      <c r="F105" s="333"/>
      <c r="G105" s="333"/>
      <c r="H105" s="334"/>
    </row>
    <row r="106" spans="2:8">
      <c r="B106" s="332"/>
      <c r="C106" s="333"/>
      <c r="D106" s="333"/>
      <c r="E106" s="333"/>
      <c r="F106" s="333"/>
      <c r="G106" s="333"/>
      <c r="H106" s="334"/>
    </row>
    <row r="107" spans="2:8">
      <c r="B107" s="332"/>
      <c r="C107" s="333"/>
      <c r="D107" s="333"/>
      <c r="E107" s="333"/>
      <c r="F107" s="333"/>
      <c r="G107" s="333"/>
      <c r="H107" s="334"/>
    </row>
    <row r="108" spans="2:8">
      <c r="B108" s="332"/>
      <c r="C108" s="333"/>
      <c r="D108" s="333"/>
      <c r="E108" s="333"/>
      <c r="F108" s="333"/>
      <c r="G108" s="333"/>
      <c r="H108" s="334"/>
    </row>
    <row r="109" spans="2:8">
      <c r="B109" s="332"/>
      <c r="C109" s="333"/>
      <c r="D109" s="333"/>
      <c r="E109" s="333"/>
      <c r="F109" s="333"/>
      <c r="G109" s="333"/>
      <c r="H109" s="334"/>
    </row>
    <row r="110" spans="2:8">
      <c r="B110" s="332"/>
      <c r="C110" s="333"/>
      <c r="D110" s="333"/>
      <c r="E110" s="333"/>
      <c r="F110" s="333"/>
      <c r="G110" s="333"/>
      <c r="H110" s="334"/>
    </row>
    <row r="111" spans="2:8">
      <c r="B111" s="332"/>
      <c r="C111" s="333"/>
      <c r="D111" s="333"/>
      <c r="E111" s="333"/>
      <c r="F111" s="333"/>
      <c r="G111" s="333"/>
      <c r="H111" s="334"/>
    </row>
    <row r="112" spans="2:8">
      <c r="B112" s="332"/>
      <c r="C112" s="333"/>
      <c r="D112" s="333"/>
      <c r="E112" s="333"/>
      <c r="F112" s="333"/>
      <c r="G112" s="333"/>
      <c r="H112" s="334"/>
    </row>
    <row r="113" spans="2:8">
      <c r="B113" s="332"/>
      <c r="C113" s="333"/>
      <c r="D113" s="333"/>
      <c r="E113" s="333"/>
      <c r="F113" s="333"/>
      <c r="G113" s="333"/>
      <c r="H113" s="334"/>
    </row>
    <row r="114" spans="2:8">
      <c r="B114" s="332"/>
      <c r="C114" s="333"/>
      <c r="D114" s="333"/>
      <c r="E114" s="333"/>
      <c r="F114" s="333"/>
      <c r="G114" s="333"/>
      <c r="H114" s="334"/>
    </row>
    <row r="115" spans="2:8">
      <c r="B115" s="332"/>
      <c r="C115" s="333"/>
      <c r="D115" s="333"/>
      <c r="E115" s="333"/>
      <c r="F115" s="333"/>
      <c r="G115" s="333"/>
      <c r="H115" s="334"/>
    </row>
    <row r="116" spans="2:8">
      <c r="B116" s="332"/>
      <c r="C116" s="333"/>
      <c r="D116" s="333"/>
      <c r="E116" s="333"/>
      <c r="F116" s="333"/>
      <c r="G116" s="333"/>
      <c r="H116" s="334"/>
    </row>
    <row r="117" spans="2:8">
      <c r="B117" s="332"/>
      <c r="C117" s="333"/>
      <c r="D117" s="333"/>
      <c r="E117" s="333"/>
      <c r="F117" s="333"/>
      <c r="G117" s="333"/>
      <c r="H117" s="334"/>
    </row>
    <row r="118" spans="2:8">
      <c r="B118" s="332"/>
      <c r="C118" s="333"/>
      <c r="D118" s="333"/>
      <c r="E118" s="333"/>
      <c r="F118" s="333"/>
      <c r="G118" s="333"/>
      <c r="H118" s="334"/>
    </row>
    <row r="119" spans="2:8">
      <c r="B119" s="332"/>
      <c r="C119" s="333"/>
      <c r="D119" s="333"/>
      <c r="E119" s="333"/>
      <c r="F119" s="333"/>
      <c r="G119" s="333"/>
      <c r="H119" s="334"/>
    </row>
    <row r="120" spans="2:8">
      <c r="B120" s="332"/>
      <c r="C120" s="333"/>
      <c r="D120" s="333"/>
      <c r="E120" s="333"/>
      <c r="F120" s="333"/>
      <c r="G120" s="333"/>
      <c r="H120" s="334"/>
    </row>
    <row r="121" spans="2:8">
      <c r="B121" s="332"/>
      <c r="C121" s="333"/>
      <c r="D121" s="333"/>
      <c r="E121" s="333"/>
      <c r="F121" s="333"/>
      <c r="G121" s="333"/>
      <c r="H121" s="334"/>
    </row>
    <row r="122" spans="2:8">
      <c r="B122" s="332"/>
      <c r="C122" s="333"/>
      <c r="D122" s="333"/>
      <c r="E122" s="333"/>
      <c r="F122" s="333"/>
      <c r="G122" s="333"/>
      <c r="H122" s="334"/>
    </row>
    <row r="123" spans="2:8">
      <c r="B123" s="332"/>
      <c r="C123" s="333"/>
      <c r="D123" s="333"/>
      <c r="E123" s="333"/>
      <c r="F123" s="333"/>
      <c r="G123" s="333"/>
      <c r="H123" s="334"/>
    </row>
    <row r="124" spans="2:8">
      <c r="B124" s="332"/>
      <c r="C124" s="333"/>
      <c r="D124" s="333"/>
      <c r="E124" s="333"/>
      <c r="F124" s="333"/>
      <c r="G124" s="333"/>
      <c r="H124" s="334"/>
    </row>
    <row r="125" spans="2:8">
      <c r="B125" s="332"/>
      <c r="C125" s="333"/>
      <c r="D125" s="333"/>
      <c r="E125" s="333"/>
      <c r="F125" s="333"/>
      <c r="G125" s="333"/>
      <c r="H125" s="334"/>
    </row>
    <row r="126" spans="2:8">
      <c r="B126" s="332"/>
      <c r="C126" s="333"/>
      <c r="D126" s="333"/>
      <c r="E126" s="333"/>
      <c r="F126" s="333"/>
      <c r="G126" s="333"/>
      <c r="H126" s="334"/>
    </row>
    <row r="127" spans="2:8">
      <c r="B127" s="332"/>
      <c r="C127" s="333"/>
      <c r="D127" s="333"/>
      <c r="E127" s="333"/>
      <c r="F127" s="333"/>
      <c r="G127" s="333"/>
      <c r="H127" s="334"/>
    </row>
    <row r="128" spans="2:8">
      <c r="B128" s="332"/>
      <c r="C128" s="333"/>
      <c r="D128" s="333"/>
      <c r="E128" s="333"/>
      <c r="F128" s="333"/>
      <c r="G128" s="333"/>
      <c r="H128" s="334"/>
    </row>
    <row r="129" spans="2:8">
      <c r="B129" s="332"/>
      <c r="C129" s="333"/>
      <c r="D129" s="333"/>
      <c r="E129" s="333"/>
      <c r="F129" s="333"/>
      <c r="G129" s="333"/>
      <c r="H129" s="334"/>
    </row>
    <row r="130" spans="2:8">
      <c r="B130" s="332"/>
      <c r="C130" s="333"/>
      <c r="D130" s="333"/>
      <c r="E130" s="333"/>
      <c r="F130" s="333"/>
      <c r="G130" s="333"/>
      <c r="H130" s="334"/>
    </row>
    <row r="131" spans="2:8">
      <c r="B131" s="332"/>
      <c r="C131" s="333"/>
      <c r="D131" s="333"/>
      <c r="E131" s="333"/>
      <c r="F131" s="333"/>
      <c r="G131" s="333"/>
      <c r="H131" s="334"/>
    </row>
    <row r="132" spans="2:8">
      <c r="B132" s="332"/>
      <c r="C132" s="333"/>
      <c r="D132" s="333"/>
      <c r="E132" s="333"/>
      <c r="F132" s="333"/>
      <c r="G132" s="333"/>
      <c r="H132" s="334"/>
    </row>
    <row r="133" spans="2:8">
      <c r="B133" s="332"/>
      <c r="C133" s="333"/>
      <c r="D133" s="333"/>
      <c r="E133" s="333"/>
      <c r="F133" s="333"/>
      <c r="G133" s="333"/>
      <c r="H133" s="334"/>
    </row>
    <row r="134" spans="2:8">
      <c r="B134" s="332"/>
      <c r="C134" s="333"/>
      <c r="D134" s="333"/>
      <c r="E134" s="333"/>
      <c r="F134" s="333"/>
      <c r="G134" s="333"/>
      <c r="H134" s="334"/>
    </row>
    <row r="135" spans="2:8">
      <c r="B135" s="332"/>
      <c r="C135" s="333"/>
      <c r="D135" s="333"/>
      <c r="E135" s="333"/>
      <c r="F135" s="333"/>
      <c r="G135" s="333"/>
      <c r="H135" s="334"/>
    </row>
    <row r="136" spans="2:8">
      <c r="B136" s="332"/>
      <c r="C136" s="333"/>
      <c r="D136" s="333"/>
      <c r="E136" s="333"/>
      <c r="F136" s="333"/>
      <c r="G136" s="333"/>
      <c r="H136" s="334"/>
    </row>
    <row r="137" spans="2:8">
      <c r="B137" s="332"/>
      <c r="C137" s="333"/>
      <c r="D137" s="333"/>
      <c r="E137" s="333"/>
      <c r="F137" s="333"/>
      <c r="G137" s="333"/>
      <c r="H137" s="334"/>
    </row>
    <row r="138" spans="2:8">
      <c r="B138" s="332"/>
      <c r="C138" s="333"/>
      <c r="D138" s="333"/>
      <c r="E138" s="333"/>
      <c r="F138" s="333"/>
      <c r="G138" s="333"/>
      <c r="H138" s="334"/>
    </row>
    <row r="139" spans="2:8">
      <c r="B139" s="332"/>
      <c r="C139" s="333"/>
      <c r="D139" s="333"/>
      <c r="E139" s="333"/>
      <c r="F139" s="333"/>
      <c r="G139" s="333"/>
      <c r="H139" s="334"/>
    </row>
    <row r="140" spans="2:8">
      <c r="B140" s="332"/>
      <c r="C140" s="333"/>
      <c r="D140" s="333"/>
      <c r="E140" s="333"/>
      <c r="F140" s="333"/>
      <c r="G140" s="333"/>
      <c r="H140" s="334"/>
    </row>
    <row r="141" spans="2:8">
      <c r="B141" s="332"/>
      <c r="C141" s="333"/>
      <c r="D141" s="333"/>
      <c r="E141" s="333"/>
      <c r="F141" s="333"/>
      <c r="G141" s="333"/>
      <c r="H141" s="334"/>
    </row>
    <row r="142" spans="2:8">
      <c r="B142" s="332"/>
      <c r="C142" s="333"/>
      <c r="D142" s="333"/>
      <c r="E142" s="333"/>
      <c r="F142" s="333"/>
      <c r="G142" s="333"/>
      <c r="H142" s="334"/>
    </row>
    <row r="143" spans="2:8">
      <c r="B143" s="332"/>
      <c r="C143" s="333"/>
      <c r="D143" s="333"/>
      <c r="E143" s="333"/>
      <c r="F143" s="333"/>
      <c r="G143" s="333"/>
      <c r="H143" s="334"/>
    </row>
    <row r="144" spans="2:8">
      <c r="B144" s="332"/>
      <c r="C144" s="333"/>
      <c r="D144" s="333"/>
      <c r="E144" s="333"/>
      <c r="F144" s="333"/>
      <c r="G144" s="333"/>
      <c r="H144" s="334"/>
    </row>
    <row r="145" spans="2:8">
      <c r="B145" s="332"/>
      <c r="C145" s="333"/>
      <c r="D145" s="333"/>
      <c r="E145" s="333"/>
      <c r="F145" s="333"/>
      <c r="G145" s="333"/>
      <c r="H145" s="334"/>
    </row>
    <row r="146" spans="2:8">
      <c r="B146" s="332"/>
      <c r="C146" s="333"/>
      <c r="D146" s="333"/>
      <c r="E146" s="333"/>
      <c r="F146" s="333"/>
      <c r="G146" s="333"/>
      <c r="H146" s="334"/>
    </row>
    <row r="147" spans="2:8">
      <c r="B147" s="332"/>
      <c r="C147" s="333"/>
      <c r="D147" s="333"/>
      <c r="E147" s="333"/>
      <c r="F147" s="333"/>
      <c r="G147" s="333"/>
      <c r="H147" s="334"/>
    </row>
    <row r="148" spans="2:8">
      <c r="B148" s="332"/>
      <c r="C148" s="333"/>
      <c r="D148" s="333"/>
      <c r="E148" s="333"/>
      <c r="F148" s="333"/>
      <c r="G148" s="333"/>
      <c r="H148" s="334"/>
    </row>
    <row r="149" spans="2:8">
      <c r="B149" s="332"/>
      <c r="C149" s="333"/>
      <c r="D149" s="333"/>
      <c r="E149" s="333"/>
      <c r="F149" s="333"/>
      <c r="G149" s="333"/>
      <c r="H149" s="334"/>
    </row>
    <row r="150" spans="2:8">
      <c r="B150" s="332"/>
      <c r="C150" s="333"/>
      <c r="D150" s="333"/>
      <c r="E150" s="333"/>
      <c r="F150" s="333"/>
      <c r="G150" s="333"/>
      <c r="H150" s="334"/>
    </row>
    <row r="151" spans="2:8">
      <c r="B151" s="332"/>
      <c r="C151" s="333"/>
      <c r="D151" s="333"/>
      <c r="E151" s="333"/>
      <c r="F151" s="333"/>
      <c r="G151" s="333"/>
      <c r="H151" s="334"/>
    </row>
    <row r="152" spans="2:8">
      <c r="B152" s="332"/>
      <c r="C152" s="333"/>
      <c r="D152" s="333"/>
      <c r="E152" s="333"/>
      <c r="F152" s="333"/>
      <c r="G152" s="333"/>
      <c r="H152" s="334"/>
    </row>
    <row r="153" spans="2:8">
      <c r="B153" s="332"/>
      <c r="C153" s="333"/>
      <c r="D153" s="333"/>
      <c r="E153" s="333"/>
      <c r="F153" s="333"/>
      <c r="G153" s="333"/>
      <c r="H153" s="334"/>
    </row>
    <row r="154" spans="2:8">
      <c r="B154" s="332"/>
      <c r="C154" s="333"/>
      <c r="D154" s="333"/>
      <c r="E154" s="333"/>
      <c r="F154" s="333"/>
      <c r="G154" s="333"/>
      <c r="H154" s="334"/>
    </row>
    <row r="155" spans="2:8">
      <c r="B155" s="332"/>
      <c r="C155" s="333"/>
      <c r="D155" s="333"/>
      <c r="E155" s="333"/>
      <c r="F155" s="333"/>
      <c r="G155" s="333"/>
      <c r="H155" s="334"/>
    </row>
    <row r="156" spans="2:8">
      <c r="B156" s="332"/>
      <c r="C156" s="333"/>
      <c r="D156" s="333"/>
      <c r="E156" s="333"/>
      <c r="F156" s="333"/>
      <c r="G156" s="333"/>
      <c r="H156" s="334"/>
    </row>
    <row r="157" spans="2:8">
      <c r="B157" s="332"/>
      <c r="C157" s="333"/>
      <c r="D157" s="333"/>
      <c r="E157" s="333"/>
      <c r="F157" s="333"/>
      <c r="G157" s="333"/>
      <c r="H157" s="334"/>
    </row>
    <row r="158" spans="2:8">
      <c r="B158" s="332"/>
      <c r="C158" s="333"/>
      <c r="D158" s="333"/>
      <c r="E158" s="333"/>
      <c r="F158" s="333"/>
      <c r="G158" s="333"/>
      <c r="H158" s="334"/>
    </row>
    <row r="159" spans="2:8">
      <c r="B159" s="332"/>
      <c r="C159" s="333"/>
      <c r="D159" s="333"/>
      <c r="E159" s="333"/>
      <c r="F159" s="333"/>
      <c r="G159" s="333"/>
      <c r="H159" s="334"/>
    </row>
    <row r="160" spans="2:8">
      <c r="B160" s="332"/>
      <c r="C160" s="333"/>
      <c r="D160" s="333"/>
      <c r="E160" s="333"/>
      <c r="F160" s="333"/>
      <c r="G160" s="333"/>
      <c r="H160" s="334"/>
    </row>
    <row r="161" spans="2:8">
      <c r="B161" s="332"/>
      <c r="C161" s="333"/>
      <c r="D161" s="333"/>
      <c r="E161" s="333"/>
      <c r="F161" s="333"/>
      <c r="G161" s="333"/>
      <c r="H161" s="334"/>
    </row>
    <row r="162" spans="2:8">
      <c r="B162" s="332"/>
      <c r="C162" s="333"/>
      <c r="D162" s="333"/>
      <c r="E162" s="333"/>
      <c r="F162" s="333"/>
      <c r="G162" s="333"/>
      <c r="H162" s="334"/>
    </row>
    <row r="163" spans="2:8">
      <c r="B163" s="332"/>
      <c r="C163" s="333"/>
      <c r="D163" s="333"/>
      <c r="E163" s="333"/>
      <c r="F163" s="333"/>
      <c r="G163" s="333"/>
      <c r="H163" s="334"/>
    </row>
    <row r="164" spans="2:8">
      <c r="B164" s="332"/>
      <c r="C164" s="333"/>
      <c r="D164" s="333"/>
      <c r="E164" s="333"/>
      <c r="F164" s="333"/>
      <c r="G164" s="333"/>
      <c r="H164" s="334"/>
    </row>
    <row r="165" spans="2:8">
      <c r="B165" s="332"/>
      <c r="C165" s="333"/>
      <c r="D165" s="333"/>
      <c r="E165" s="333"/>
      <c r="F165" s="333"/>
      <c r="G165" s="333"/>
      <c r="H165" s="334"/>
    </row>
    <row r="166" spans="2:8">
      <c r="B166" s="332"/>
      <c r="C166" s="333"/>
      <c r="D166" s="333"/>
      <c r="E166" s="333"/>
      <c r="F166" s="333"/>
      <c r="G166" s="333"/>
      <c r="H166" s="334"/>
    </row>
    <row r="167" spans="2:8">
      <c r="B167" s="332"/>
      <c r="C167" s="333"/>
      <c r="D167" s="333"/>
      <c r="E167" s="333"/>
      <c r="F167" s="333"/>
      <c r="G167" s="333"/>
      <c r="H167" s="334"/>
    </row>
    <row r="168" spans="2:8">
      <c r="B168" s="332"/>
      <c r="C168" s="333"/>
      <c r="D168" s="333"/>
      <c r="E168" s="333"/>
      <c r="F168" s="333"/>
      <c r="G168" s="333"/>
      <c r="H168" s="334"/>
    </row>
    <row r="169" spans="2:8">
      <c r="B169" s="332"/>
      <c r="C169" s="333"/>
      <c r="D169" s="333"/>
      <c r="E169" s="333"/>
      <c r="F169" s="333"/>
      <c r="G169" s="333"/>
      <c r="H169" s="334"/>
    </row>
    <row r="170" spans="2:8">
      <c r="B170" s="332"/>
      <c r="C170" s="333"/>
      <c r="D170" s="333"/>
      <c r="E170" s="333"/>
      <c r="F170" s="333"/>
      <c r="G170" s="333"/>
      <c r="H170" s="334"/>
    </row>
    <row r="171" spans="2:8">
      <c r="B171" s="332"/>
      <c r="C171" s="333"/>
      <c r="D171" s="333"/>
      <c r="E171" s="333"/>
      <c r="F171" s="333"/>
      <c r="G171" s="333"/>
      <c r="H171" s="334"/>
    </row>
    <row r="172" spans="2:8">
      <c r="B172" s="332"/>
      <c r="C172" s="333"/>
      <c r="D172" s="333"/>
      <c r="E172" s="333"/>
      <c r="F172" s="333"/>
      <c r="G172" s="333"/>
      <c r="H172" s="334"/>
    </row>
    <row r="173" spans="2:8">
      <c r="B173" s="332"/>
      <c r="C173" s="333"/>
      <c r="D173" s="333"/>
      <c r="E173" s="333"/>
      <c r="F173" s="333"/>
      <c r="G173" s="333"/>
      <c r="H173" s="334"/>
    </row>
    <row r="174" spans="2:8">
      <c r="B174" s="332"/>
      <c r="C174" s="333"/>
      <c r="D174" s="333"/>
      <c r="E174" s="333"/>
      <c r="F174" s="333"/>
      <c r="G174" s="333"/>
      <c r="H174" s="334"/>
    </row>
    <row r="175" spans="2:8">
      <c r="B175" s="332"/>
      <c r="C175" s="333"/>
      <c r="D175" s="333"/>
      <c r="E175" s="333"/>
      <c r="F175" s="333"/>
      <c r="G175" s="333"/>
      <c r="H175" s="334"/>
    </row>
    <row r="176" spans="2:8">
      <c r="B176" s="332"/>
      <c r="C176" s="333"/>
      <c r="D176" s="333"/>
      <c r="E176" s="333"/>
      <c r="F176" s="333"/>
      <c r="G176" s="333"/>
      <c r="H176" s="334"/>
    </row>
    <row r="177" spans="2:8">
      <c r="B177" s="332"/>
      <c r="C177" s="333"/>
      <c r="D177" s="333"/>
      <c r="E177" s="333"/>
      <c r="F177" s="333"/>
      <c r="G177" s="333"/>
      <c r="H177" s="334"/>
    </row>
    <row r="178" spans="2:8">
      <c r="B178" s="332"/>
      <c r="C178" s="333"/>
      <c r="D178" s="333"/>
      <c r="E178" s="333"/>
      <c r="F178" s="333"/>
      <c r="G178" s="333"/>
      <c r="H178" s="334"/>
    </row>
    <row r="179" spans="2:8">
      <c r="B179" s="332"/>
      <c r="C179" s="333"/>
      <c r="D179" s="333"/>
      <c r="E179" s="333"/>
      <c r="F179" s="333"/>
      <c r="G179" s="333"/>
      <c r="H179" s="334"/>
    </row>
    <row r="180" spans="2:8">
      <c r="B180" s="332"/>
      <c r="C180" s="333"/>
      <c r="D180" s="333"/>
      <c r="E180" s="333"/>
      <c r="F180" s="333"/>
      <c r="G180" s="333"/>
      <c r="H180" s="334"/>
    </row>
    <row r="181" spans="2:8">
      <c r="B181" s="332"/>
      <c r="C181" s="333"/>
      <c r="D181" s="333"/>
      <c r="E181" s="333"/>
      <c r="F181" s="333"/>
      <c r="G181" s="333"/>
      <c r="H181" s="334"/>
    </row>
    <row r="182" spans="2:8">
      <c r="B182" s="332"/>
      <c r="C182" s="333"/>
      <c r="D182" s="333"/>
      <c r="E182" s="333"/>
      <c r="F182" s="333"/>
      <c r="G182" s="333"/>
      <c r="H182" s="334"/>
    </row>
    <row r="183" spans="2:8">
      <c r="B183" s="332"/>
      <c r="C183" s="333"/>
      <c r="D183" s="333"/>
      <c r="E183" s="333"/>
      <c r="F183" s="333"/>
      <c r="G183" s="333"/>
      <c r="H183" s="334"/>
    </row>
    <row r="184" spans="2:8">
      <c r="B184" s="332"/>
      <c r="C184" s="333"/>
      <c r="D184" s="333"/>
      <c r="E184" s="333"/>
      <c r="F184" s="333"/>
      <c r="G184" s="333"/>
      <c r="H184" s="334"/>
    </row>
    <row r="185" spans="2:8">
      <c r="B185" s="332"/>
      <c r="C185" s="333"/>
      <c r="D185" s="333"/>
      <c r="E185" s="333"/>
      <c r="F185" s="333"/>
      <c r="G185" s="333"/>
      <c r="H185" s="334"/>
    </row>
    <row r="186" spans="2:8">
      <c r="B186" s="332"/>
      <c r="C186" s="333"/>
      <c r="D186" s="333"/>
      <c r="E186" s="333"/>
      <c r="F186" s="333"/>
      <c r="G186" s="333"/>
      <c r="H186" s="334"/>
    </row>
    <row r="187" spans="2:8" ht="15" thickBot="1">
      <c r="B187" s="335"/>
      <c r="C187" s="336"/>
      <c r="D187" s="336"/>
      <c r="E187" s="336"/>
      <c r="F187" s="336"/>
      <c r="G187" s="336"/>
      <c r="H187" s="337"/>
    </row>
  </sheetData>
  <mergeCells count="2">
    <mergeCell ref="B12:H12"/>
    <mergeCell ref="B20:H187"/>
  </mergeCells>
  <hyperlinks>
    <hyperlink ref="F11" r:id="rId1" xr:uid="{F14EAACF-DE66-E643-A9A6-D9522F433AD1}"/>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6"/>
  <sheetViews>
    <sheetView tabSelected="1" zoomScale="85" zoomScaleNormal="85" workbookViewId="0">
      <selection activeCell="B1" sqref="B1:H1"/>
    </sheetView>
  </sheetViews>
  <sheetFormatPr baseColWidth="10" defaultColWidth="10.6640625" defaultRowHeight="15.6"/>
  <cols>
    <col min="1" max="1" width="74.44140625" style="33" bestFit="1" customWidth="1"/>
    <col min="2" max="2" width="12.33203125" style="33" customWidth="1"/>
    <col min="3" max="3" width="12.44140625" style="33" bestFit="1" customWidth="1"/>
    <col min="4" max="4" width="16.77734375" style="33" bestFit="1" customWidth="1"/>
    <col min="5" max="5" width="11.44140625" style="33" customWidth="1"/>
    <col min="6" max="6" width="31.44140625" style="33" bestFit="1" customWidth="1"/>
    <col min="7" max="7" width="16.33203125" style="32" customWidth="1"/>
    <col min="8" max="8" width="10.6640625" style="33"/>
    <col min="9" max="9" width="12.77734375" style="33" bestFit="1" customWidth="1"/>
    <col min="10" max="16384" width="10.6640625" style="33"/>
  </cols>
  <sheetData>
    <row r="1" spans="1:10" ht="148.80000000000001" customHeight="1">
      <c r="A1" s="22" t="s">
        <v>30</v>
      </c>
      <c r="B1" s="338" t="s">
        <v>789</v>
      </c>
      <c r="C1" s="338"/>
      <c r="D1" s="338"/>
      <c r="E1" s="338"/>
      <c r="F1" s="338"/>
      <c r="G1" s="338"/>
      <c r="H1" s="338"/>
    </row>
    <row r="2" spans="1:10">
      <c r="A2" s="32" t="s">
        <v>0</v>
      </c>
      <c r="B2" s="33" t="s">
        <v>774</v>
      </c>
    </row>
    <row r="3" spans="1:10" ht="16.2" thickBot="1">
      <c r="A3" s="32"/>
    </row>
    <row r="4" spans="1:10">
      <c r="A4" s="34" t="s">
        <v>1</v>
      </c>
      <c r="B4" s="35" t="s">
        <v>745</v>
      </c>
      <c r="C4" s="36"/>
      <c r="D4" s="37"/>
      <c r="E4" s="37"/>
      <c r="F4" s="37"/>
      <c r="G4" s="37"/>
      <c r="H4" s="36"/>
      <c r="I4" s="35"/>
      <c r="J4" s="38"/>
    </row>
    <row r="5" spans="1:10">
      <c r="A5" s="39" t="s">
        <v>2</v>
      </c>
      <c r="B5" s="40" t="s">
        <v>3</v>
      </c>
      <c r="C5" s="41"/>
      <c r="D5" s="41"/>
      <c r="E5" s="41"/>
      <c r="F5" s="41"/>
      <c r="G5" s="41"/>
      <c r="H5" s="41"/>
      <c r="I5" s="32"/>
      <c r="J5" s="42"/>
    </row>
    <row r="6" spans="1:10">
      <c r="A6" s="39" t="s">
        <v>4</v>
      </c>
      <c r="B6" s="41" t="s">
        <v>5</v>
      </c>
      <c r="C6" s="41"/>
      <c r="D6" s="41"/>
      <c r="E6" s="41"/>
      <c r="F6" s="41"/>
      <c r="G6" s="41"/>
      <c r="H6" s="41"/>
      <c r="I6" s="32"/>
      <c r="J6" s="42"/>
    </row>
    <row r="7" spans="1:10">
      <c r="A7" s="39" t="s">
        <v>6</v>
      </c>
      <c r="B7" s="41">
        <f>1</f>
        <v>1</v>
      </c>
      <c r="C7" s="41"/>
      <c r="D7" s="41"/>
      <c r="E7" s="41"/>
      <c r="F7" s="41"/>
      <c r="G7" s="41"/>
      <c r="H7" s="41"/>
      <c r="I7" s="32"/>
      <c r="J7" s="42"/>
    </row>
    <row r="8" spans="1:10">
      <c r="A8" s="39" t="s">
        <v>7</v>
      </c>
      <c r="B8" s="41" t="s">
        <v>8</v>
      </c>
      <c r="C8" s="41"/>
      <c r="D8" s="41"/>
      <c r="E8" s="41"/>
      <c r="F8" s="41"/>
      <c r="G8" s="41"/>
      <c r="H8" s="41"/>
      <c r="I8" s="32"/>
      <c r="J8" s="42"/>
    </row>
    <row r="9" spans="1:10">
      <c r="A9" s="39" t="s">
        <v>9</v>
      </c>
      <c r="B9" s="41" t="s">
        <v>9</v>
      </c>
      <c r="C9" s="41"/>
      <c r="D9" s="41"/>
      <c r="E9" s="41"/>
      <c r="F9" s="41"/>
      <c r="G9" s="41"/>
      <c r="H9" s="41"/>
      <c r="I9" s="32"/>
      <c r="J9" s="42"/>
    </row>
    <row r="10" spans="1:10">
      <c r="A10" s="43" t="s">
        <v>10</v>
      </c>
      <c r="B10" s="41"/>
      <c r="C10" s="41"/>
      <c r="D10" s="41"/>
      <c r="E10" s="41"/>
      <c r="F10" s="41"/>
      <c r="G10" s="41"/>
      <c r="H10" s="41"/>
      <c r="I10" s="32"/>
      <c r="J10" s="42"/>
    </row>
    <row r="11" spans="1:10">
      <c r="A11" s="44" t="s">
        <v>11</v>
      </c>
      <c r="B11" s="45" t="s">
        <v>755</v>
      </c>
      <c r="C11" s="45" t="s">
        <v>9</v>
      </c>
      <c r="D11" s="45" t="s">
        <v>754</v>
      </c>
      <c r="E11" s="45" t="s">
        <v>12</v>
      </c>
      <c r="F11" s="45" t="s">
        <v>13</v>
      </c>
      <c r="G11" s="45" t="s">
        <v>14</v>
      </c>
      <c r="H11" s="45" t="s">
        <v>4</v>
      </c>
      <c r="I11" s="45" t="s">
        <v>7</v>
      </c>
      <c r="J11" s="46" t="s">
        <v>148</v>
      </c>
    </row>
    <row r="12" spans="1:10" ht="14.4">
      <c r="A12" s="245" t="s">
        <v>244</v>
      </c>
      <c r="B12" s="208">
        <v>2.0468323314721775</v>
      </c>
      <c r="C12" s="248" t="s">
        <v>20</v>
      </c>
      <c r="D12" s="253">
        <v>1</v>
      </c>
      <c r="E12" s="249">
        <f>D12*B12</f>
        <v>2.0468323314721775</v>
      </c>
      <c r="F12" s="248" t="s">
        <v>144</v>
      </c>
      <c r="G12" s="255" t="s">
        <v>3</v>
      </c>
      <c r="H12" s="248" t="s">
        <v>228</v>
      </c>
      <c r="I12" s="248" t="s">
        <v>16</v>
      </c>
      <c r="J12" s="212" t="s">
        <v>160</v>
      </c>
    </row>
    <row r="13" spans="1:10" ht="14.4">
      <c r="A13" s="245" t="s">
        <v>245</v>
      </c>
      <c r="B13" s="208">
        <v>4.1217676240171983E-3</v>
      </c>
      <c r="C13" s="248" t="s">
        <v>17</v>
      </c>
      <c r="D13" s="253">
        <v>1</v>
      </c>
      <c r="E13" s="249">
        <f t="shared" ref="E13:E76" si="0">D13*B13</f>
        <v>4.1217676240171983E-3</v>
      </c>
      <c r="F13" s="248" t="s">
        <v>144</v>
      </c>
      <c r="G13" s="255" t="s">
        <v>3</v>
      </c>
      <c r="H13" s="248" t="s">
        <v>5</v>
      </c>
      <c r="I13" s="248" t="s">
        <v>16</v>
      </c>
      <c r="J13" s="212" t="s">
        <v>160</v>
      </c>
    </row>
    <row r="14" spans="1:10" ht="14.4">
      <c r="A14" s="244" t="s">
        <v>246</v>
      </c>
      <c r="B14" s="208">
        <v>1.1709567113685223E-2</v>
      </c>
      <c r="C14" s="248" t="s">
        <v>17</v>
      </c>
      <c r="D14" s="253">
        <v>1</v>
      </c>
      <c r="E14" s="249">
        <f t="shared" si="0"/>
        <v>1.1709567113685223E-2</v>
      </c>
      <c r="F14" s="248" t="s">
        <v>144</v>
      </c>
      <c r="G14" s="255" t="s">
        <v>3</v>
      </c>
      <c r="H14" s="248" t="s">
        <v>21</v>
      </c>
      <c r="I14" s="248" t="s">
        <v>16</v>
      </c>
      <c r="J14" s="212" t="s">
        <v>160</v>
      </c>
    </row>
    <row r="15" spans="1:10" ht="14.4">
      <c r="A15" s="245" t="s">
        <v>244</v>
      </c>
      <c r="B15" s="208">
        <v>3.3489361945139733E-2</v>
      </c>
      <c r="C15" s="248" t="s">
        <v>20</v>
      </c>
      <c r="D15" s="253">
        <v>1</v>
      </c>
      <c r="E15" s="249">
        <f t="shared" si="0"/>
        <v>3.3489361945139733E-2</v>
      </c>
      <c r="F15" s="248" t="s">
        <v>144</v>
      </c>
      <c r="G15" s="255" t="s">
        <v>3</v>
      </c>
      <c r="H15" s="248" t="s">
        <v>228</v>
      </c>
      <c r="I15" s="248" t="s">
        <v>16</v>
      </c>
      <c r="J15" s="212" t="s">
        <v>160</v>
      </c>
    </row>
    <row r="16" spans="1:10" ht="14.4">
      <c r="A16" s="245" t="s">
        <v>247</v>
      </c>
      <c r="B16" s="208">
        <v>4.3402213080901097E-5</v>
      </c>
      <c r="C16" s="248" t="s">
        <v>17</v>
      </c>
      <c r="D16" s="253">
        <v>1</v>
      </c>
      <c r="E16" s="249">
        <f t="shared" si="0"/>
        <v>4.3402213080901097E-5</v>
      </c>
      <c r="F16" s="248" t="s">
        <v>144</v>
      </c>
      <c r="G16" s="255" t="s">
        <v>3</v>
      </c>
      <c r="H16" s="248" t="s">
        <v>5</v>
      </c>
      <c r="I16" s="248" t="s">
        <v>16</v>
      </c>
      <c r="J16" s="212" t="s">
        <v>160</v>
      </c>
    </row>
    <row r="17" spans="1:10" ht="14.4">
      <c r="A17" s="245" t="s">
        <v>248</v>
      </c>
      <c r="B17" s="208">
        <v>6.0576227673607652E-5</v>
      </c>
      <c r="C17" s="248" t="s">
        <v>17</v>
      </c>
      <c r="D17" s="253">
        <v>1</v>
      </c>
      <c r="E17" s="249">
        <f t="shared" si="0"/>
        <v>6.0576227673607652E-5</v>
      </c>
      <c r="F17" s="248" t="s">
        <v>144</v>
      </c>
      <c r="G17" s="255" t="s">
        <v>3</v>
      </c>
      <c r="H17" s="248" t="s">
        <v>5</v>
      </c>
      <c r="I17" s="248" t="s">
        <v>16</v>
      </c>
      <c r="J17" s="212" t="s">
        <v>160</v>
      </c>
    </row>
    <row r="18" spans="1:10" ht="14.4">
      <c r="A18" s="245" t="s">
        <v>249</v>
      </c>
      <c r="B18" s="208">
        <v>6.0280851501251527E-5</v>
      </c>
      <c r="C18" s="248" t="s">
        <v>17</v>
      </c>
      <c r="D18" s="253">
        <v>1</v>
      </c>
      <c r="E18" s="249">
        <f t="shared" si="0"/>
        <v>6.0280851501251527E-5</v>
      </c>
      <c r="F18" s="248" t="s">
        <v>144</v>
      </c>
      <c r="G18" s="255" t="s">
        <v>3</v>
      </c>
      <c r="H18" s="248" t="s">
        <v>5</v>
      </c>
      <c r="I18" s="248" t="s">
        <v>16</v>
      </c>
      <c r="J18" s="212" t="s">
        <v>160</v>
      </c>
    </row>
    <row r="19" spans="1:10" ht="14.4">
      <c r="A19" s="245" t="s">
        <v>246</v>
      </c>
      <c r="B19" s="208">
        <v>8.3723404862849355E-4</v>
      </c>
      <c r="C19" s="248" t="s">
        <v>17</v>
      </c>
      <c r="D19" s="253">
        <v>1</v>
      </c>
      <c r="E19" s="249">
        <f t="shared" si="0"/>
        <v>8.3723404862849355E-4</v>
      </c>
      <c r="F19" s="248" t="s">
        <v>144</v>
      </c>
      <c r="G19" s="255" t="s">
        <v>3</v>
      </c>
      <c r="H19" s="248" t="s">
        <v>21</v>
      </c>
      <c r="I19" s="248" t="s">
        <v>16</v>
      </c>
      <c r="J19" s="212" t="s">
        <v>160</v>
      </c>
    </row>
    <row r="20" spans="1:10" ht="14.4">
      <c r="A20" s="245" t="s">
        <v>244</v>
      </c>
      <c r="B20" s="208">
        <v>1.9784484595282551E-3</v>
      </c>
      <c r="C20" s="248" t="s">
        <v>20</v>
      </c>
      <c r="D20" s="253">
        <v>1</v>
      </c>
      <c r="E20" s="249">
        <f t="shared" si="0"/>
        <v>1.9784484595282551E-3</v>
      </c>
      <c r="F20" s="248" t="s">
        <v>144</v>
      </c>
      <c r="G20" s="255" t="s">
        <v>3</v>
      </c>
      <c r="H20" s="248" t="s">
        <v>228</v>
      </c>
      <c r="I20" s="248" t="s">
        <v>16</v>
      </c>
      <c r="J20" s="212" t="s">
        <v>160</v>
      </c>
    </row>
    <row r="21" spans="1:10" ht="14.4">
      <c r="A21" s="245" t="s">
        <v>250</v>
      </c>
      <c r="B21" s="208">
        <v>4.1217676240171982E-4</v>
      </c>
      <c r="C21" s="248" t="s">
        <v>17</v>
      </c>
      <c r="D21" s="253">
        <v>1</v>
      </c>
      <c r="E21" s="249">
        <f t="shared" si="0"/>
        <v>4.1217676240171982E-4</v>
      </c>
      <c r="F21" s="248" t="s">
        <v>144</v>
      </c>
      <c r="G21" s="255" t="s">
        <v>3</v>
      </c>
      <c r="H21" s="248" t="s">
        <v>21</v>
      </c>
      <c r="I21" s="248" t="s">
        <v>16</v>
      </c>
      <c r="J21" s="212" t="s">
        <v>160</v>
      </c>
    </row>
    <row r="22" spans="1:10" ht="14.4">
      <c r="A22" s="245" t="s">
        <v>251</v>
      </c>
      <c r="B22" s="208">
        <v>2.6002465468085646E-3</v>
      </c>
      <c r="C22" s="248" t="s">
        <v>17</v>
      </c>
      <c r="D22" s="253">
        <v>1</v>
      </c>
      <c r="E22" s="249">
        <f t="shared" si="0"/>
        <v>2.6002465468085646E-3</v>
      </c>
      <c r="F22" s="248" t="s">
        <v>144</v>
      </c>
      <c r="G22" s="255" t="s">
        <v>3</v>
      </c>
      <c r="H22" s="248" t="s">
        <v>21</v>
      </c>
      <c r="I22" s="248" t="s">
        <v>16</v>
      </c>
      <c r="J22" s="212" t="s">
        <v>160</v>
      </c>
    </row>
    <row r="23" spans="1:10" ht="14.4">
      <c r="A23" s="245" t="s">
        <v>252</v>
      </c>
      <c r="B23" s="208">
        <v>8.6074284468404885E-3</v>
      </c>
      <c r="C23" s="248" t="s">
        <v>17</v>
      </c>
      <c r="D23" s="253">
        <v>1</v>
      </c>
      <c r="E23" s="249">
        <f t="shared" si="0"/>
        <v>8.6074284468404885E-3</v>
      </c>
      <c r="F23" s="248" t="s">
        <v>144</v>
      </c>
      <c r="G23" s="255" t="s">
        <v>3</v>
      </c>
      <c r="H23" s="248" t="s">
        <v>21</v>
      </c>
      <c r="I23" s="248" t="s">
        <v>16</v>
      </c>
      <c r="J23" s="212" t="s">
        <v>160</v>
      </c>
    </row>
    <row r="24" spans="1:10" ht="14.4">
      <c r="A24" s="245" t="s">
        <v>253</v>
      </c>
      <c r="B24" s="208">
        <v>3.3739612122312213E-3</v>
      </c>
      <c r="C24" s="248" t="s">
        <v>17</v>
      </c>
      <c r="D24" s="253">
        <v>1</v>
      </c>
      <c r="E24" s="249">
        <f t="shared" si="0"/>
        <v>3.3739612122312213E-3</v>
      </c>
      <c r="F24" s="248" t="s">
        <v>144</v>
      </c>
      <c r="G24" s="255" t="s">
        <v>3</v>
      </c>
      <c r="H24" s="248" t="s">
        <v>21</v>
      </c>
      <c r="I24" s="248" t="s">
        <v>16</v>
      </c>
      <c r="J24" s="212" t="s">
        <v>160</v>
      </c>
    </row>
    <row r="25" spans="1:10" ht="14.4">
      <c r="A25" s="245" t="s">
        <v>246</v>
      </c>
      <c r="B25" s="208">
        <v>3.6477643472552205E-4</v>
      </c>
      <c r="C25" s="248" t="s">
        <v>17</v>
      </c>
      <c r="D25" s="253">
        <v>1</v>
      </c>
      <c r="E25" s="249">
        <f t="shared" si="0"/>
        <v>3.6477643472552205E-4</v>
      </c>
      <c r="F25" s="248" t="s">
        <v>144</v>
      </c>
      <c r="G25" s="255" t="s">
        <v>3</v>
      </c>
      <c r="H25" s="248" t="s">
        <v>21</v>
      </c>
      <c r="I25" s="248" t="s">
        <v>16</v>
      </c>
      <c r="J25" s="212" t="s">
        <v>160</v>
      </c>
    </row>
    <row r="26" spans="1:10" ht="14.4">
      <c r="A26" s="245" t="s">
        <v>254</v>
      </c>
      <c r="B26" s="208">
        <v>0.12697929519309786</v>
      </c>
      <c r="C26" s="248" t="s">
        <v>17</v>
      </c>
      <c r="D26" s="253">
        <v>1</v>
      </c>
      <c r="E26" s="249">
        <f t="shared" si="0"/>
        <v>0.12697929519309786</v>
      </c>
      <c r="F26" s="248" t="s">
        <v>144</v>
      </c>
      <c r="G26" s="255" t="s">
        <v>3</v>
      </c>
      <c r="H26" s="248" t="s">
        <v>21</v>
      </c>
      <c r="I26" s="248" t="s">
        <v>16</v>
      </c>
      <c r="J26" s="212" t="s">
        <v>160</v>
      </c>
    </row>
    <row r="27" spans="1:10" ht="14.4">
      <c r="A27" s="245" t="s">
        <v>244</v>
      </c>
      <c r="B27" s="208">
        <v>0.11540949347248157</v>
      </c>
      <c r="C27" s="248" t="s">
        <v>20</v>
      </c>
      <c r="D27" s="253">
        <v>1</v>
      </c>
      <c r="E27" s="249">
        <f t="shared" si="0"/>
        <v>0.11540949347248157</v>
      </c>
      <c r="F27" s="248" t="s">
        <v>144</v>
      </c>
      <c r="G27" s="255" t="s">
        <v>3</v>
      </c>
      <c r="H27" s="248" t="s">
        <v>228</v>
      </c>
      <c r="I27" s="248" t="s">
        <v>16</v>
      </c>
      <c r="J27" s="212" t="s">
        <v>160</v>
      </c>
    </row>
    <row r="28" spans="1:10" ht="14.4">
      <c r="A28" s="245" t="s">
        <v>255</v>
      </c>
      <c r="B28" s="208">
        <v>1.0070092639341899E-4</v>
      </c>
      <c r="C28" s="248" t="s">
        <v>17</v>
      </c>
      <c r="D28" s="253">
        <v>1</v>
      </c>
      <c r="E28" s="249">
        <f t="shared" si="0"/>
        <v>1.0070092639341899E-4</v>
      </c>
      <c r="F28" s="248" t="s">
        <v>144</v>
      </c>
      <c r="G28" s="255" t="s">
        <v>3</v>
      </c>
      <c r="H28" s="248" t="s">
        <v>5</v>
      </c>
      <c r="I28" s="248" t="s">
        <v>16</v>
      </c>
      <c r="J28" s="212" t="s">
        <v>160</v>
      </c>
    </row>
    <row r="29" spans="1:10" ht="14.4">
      <c r="A29" s="245" t="s">
        <v>256</v>
      </c>
      <c r="B29" s="208">
        <v>1.6303959511315458E-4</v>
      </c>
      <c r="C29" s="248" t="s">
        <v>17</v>
      </c>
      <c r="D29" s="253">
        <v>1</v>
      </c>
      <c r="E29" s="249">
        <f t="shared" si="0"/>
        <v>1.6303959511315458E-4</v>
      </c>
      <c r="F29" s="248" t="s">
        <v>144</v>
      </c>
      <c r="G29" s="255" t="s">
        <v>3</v>
      </c>
      <c r="H29" s="248" t="s">
        <v>21</v>
      </c>
      <c r="I29" s="248" t="s">
        <v>16</v>
      </c>
      <c r="J29" s="212" t="s">
        <v>160</v>
      </c>
    </row>
    <row r="30" spans="1:10" ht="14.4">
      <c r="A30" s="245" t="s">
        <v>257</v>
      </c>
      <c r="B30" s="208">
        <v>2.1099241720525885E-4</v>
      </c>
      <c r="C30" s="248" t="s">
        <v>17</v>
      </c>
      <c r="D30" s="253">
        <v>1</v>
      </c>
      <c r="E30" s="249">
        <f t="shared" si="0"/>
        <v>2.1099241720525885E-4</v>
      </c>
      <c r="F30" s="248" t="s">
        <v>144</v>
      </c>
      <c r="G30" s="255" t="s">
        <v>3</v>
      </c>
      <c r="H30" s="248" t="s">
        <v>21</v>
      </c>
      <c r="I30" s="248" t="s">
        <v>16</v>
      </c>
      <c r="J30" s="212" t="s">
        <v>160</v>
      </c>
    </row>
    <row r="31" spans="1:10" ht="14.4">
      <c r="A31" s="245" t="s">
        <v>258</v>
      </c>
      <c r="B31" s="208">
        <v>1.4391838620526721E-5</v>
      </c>
      <c r="C31" s="248" t="s">
        <v>17</v>
      </c>
      <c r="D31" s="253">
        <v>1</v>
      </c>
      <c r="E31" s="249">
        <f t="shared" si="0"/>
        <v>1.4391838620526721E-5</v>
      </c>
      <c r="F31" s="248" t="s">
        <v>144</v>
      </c>
      <c r="G31" s="255" t="s">
        <v>3</v>
      </c>
      <c r="H31" s="248" t="s">
        <v>21</v>
      </c>
      <c r="I31" s="248" t="s">
        <v>16</v>
      </c>
      <c r="J31" s="212" t="s">
        <v>160</v>
      </c>
    </row>
    <row r="32" spans="1:10" ht="14.4">
      <c r="A32" s="245" t="s">
        <v>259</v>
      </c>
      <c r="B32" s="208">
        <v>1.6967943385537466E-5</v>
      </c>
      <c r="C32" s="248" t="s">
        <v>17</v>
      </c>
      <c r="D32" s="253">
        <v>1</v>
      </c>
      <c r="E32" s="249">
        <f t="shared" si="0"/>
        <v>1.6967943385537466E-5</v>
      </c>
      <c r="F32" s="248" t="s">
        <v>144</v>
      </c>
      <c r="G32" s="255" t="s">
        <v>3</v>
      </c>
      <c r="H32" s="248" t="s">
        <v>21</v>
      </c>
      <c r="I32" s="248" t="s">
        <v>16</v>
      </c>
      <c r="J32" s="212" t="s">
        <v>160</v>
      </c>
    </row>
    <row r="33" spans="1:10" ht="14.4">
      <c r="A33" s="245" t="s">
        <v>260</v>
      </c>
      <c r="B33" s="208">
        <v>1.6109241797200549E-5</v>
      </c>
      <c r="C33" s="248" t="s">
        <v>17</v>
      </c>
      <c r="D33" s="253">
        <v>1</v>
      </c>
      <c r="E33" s="249">
        <f t="shared" si="0"/>
        <v>1.6109241797200549E-5</v>
      </c>
      <c r="F33" s="248" t="s">
        <v>144</v>
      </c>
      <c r="G33" s="255" t="s">
        <v>3</v>
      </c>
      <c r="H33" s="248" t="s">
        <v>5</v>
      </c>
      <c r="I33" s="248" t="s">
        <v>16</v>
      </c>
      <c r="J33" s="212" t="s">
        <v>160</v>
      </c>
    </row>
    <row r="34" spans="1:10" ht="14.4">
      <c r="A34" s="245" t="s">
        <v>254</v>
      </c>
      <c r="B34" s="208">
        <v>1.6912986483883907E-3</v>
      </c>
      <c r="C34" s="248" t="s">
        <v>17</v>
      </c>
      <c r="D34" s="253">
        <v>1</v>
      </c>
      <c r="E34" s="249">
        <f t="shared" si="0"/>
        <v>1.6912986483883907E-3</v>
      </c>
      <c r="F34" s="248" t="s">
        <v>144</v>
      </c>
      <c r="G34" s="255" t="s">
        <v>3</v>
      </c>
      <c r="H34" s="248" t="s">
        <v>21</v>
      </c>
      <c r="I34" s="248" t="s">
        <v>16</v>
      </c>
      <c r="J34" s="212" t="s">
        <v>160</v>
      </c>
    </row>
    <row r="35" spans="1:10" ht="14.4">
      <c r="A35" s="245" t="s">
        <v>246</v>
      </c>
      <c r="B35" s="208">
        <v>7.9859247715333218E-3</v>
      </c>
      <c r="C35" s="248" t="s">
        <v>17</v>
      </c>
      <c r="D35" s="253">
        <v>1</v>
      </c>
      <c r="E35" s="249">
        <f t="shared" si="0"/>
        <v>7.9859247715333218E-3</v>
      </c>
      <c r="F35" s="248" t="s">
        <v>144</v>
      </c>
      <c r="G35" s="255" t="s">
        <v>3</v>
      </c>
      <c r="H35" s="248" t="s">
        <v>21</v>
      </c>
      <c r="I35" s="248" t="s">
        <v>16</v>
      </c>
      <c r="J35" s="212" t="s">
        <v>160</v>
      </c>
    </row>
    <row r="36" spans="1:10" ht="14.4">
      <c r="A36" s="245" t="s">
        <v>244</v>
      </c>
      <c r="B36" s="208">
        <v>2.404364447343366E-2</v>
      </c>
      <c r="C36" s="248" t="s">
        <v>20</v>
      </c>
      <c r="D36" s="253">
        <v>1</v>
      </c>
      <c r="E36" s="249">
        <f t="shared" si="0"/>
        <v>2.404364447343366E-2</v>
      </c>
      <c r="F36" s="248" t="s">
        <v>144</v>
      </c>
      <c r="G36" s="255" t="s">
        <v>3</v>
      </c>
      <c r="H36" s="248" t="s">
        <v>228</v>
      </c>
      <c r="I36" s="248" t="s">
        <v>16</v>
      </c>
      <c r="J36" s="212" t="s">
        <v>160</v>
      </c>
    </row>
    <row r="37" spans="1:10" ht="14.4">
      <c r="A37" s="245" t="s">
        <v>244</v>
      </c>
      <c r="B37" s="208">
        <v>8.0145481578112188E-3</v>
      </c>
      <c r="C37" s="248" t="s">
        <v>20</v>
      </c>
      <c r="D37" s="253">
        <v>1</v>
      </c>
      <c r="E37" s="249">
        <f t="shared" si="0"/>
        <v>8.0145481578112188E-3</v>
      </c>
      <c r="F37" s="248" t="s">
        <v>144</v>
      </c>
      <c r="G37" s="255" t="s">
        <v>3</v>
      </c>
      <c r="H37" s="248" t="s">
        <v>228</v>
      </c>
      <c r="I37" s="248" t="s">
        <v>16</v>
      </c>
      <c r="J37" s="212" t="s">
        <v>160</v>
      </c>
    </row>
    <row r="38" spans="1:10" ht="14.4">
      <c r="A38" s="245" t="s">
        <v>261</v>
      </c>
      <c r="B38" s="208">
        <v>5.1573617395515194E-5</v>
      </c>
      <c r="C38" s="248" t="s">
        <v>17</v>
      </c>
      <c r="D38" s="253">
        <v>1</v>
      </c>
      <c r="E38" s="249">
        <f t="shared" si="0"/>
        <v>5.1573617395515194E-5</v>
      </c>
      <c r="F38" s="248" t="s">
        <v>144</v>
      </c>
      <c r="G38" s="255" t="s">
        <v>3</v>
      </c>
      <c r="H38" s="248" t="s">
        <v>21</v>
      </c>
      <c r="I38" s="248" t="s">
        <v>16</v>
      </c>
      <c r="J38" s="212" t="s">
        <v>160</v>
      </c>
    </row>
    <row r="39" spans="1:10" ht="14.4">
      <c r="A39" s="245" t="s">
        <v>246</v>
      </c>
      <c r="B39" s="208">
        <v>4.5081833387688106E-3</v>
      </c>
      <c r="C39" s="248" t="s">
        <v>17</v>
      </c>
      <c r="D39" s="253">
        <v>1</v>
      </c>
      <c r="E39" s="249">
        <f t="shared" si="0"/>
        <v>4.5081833387688106E-3</v>
      </c>
      <c r="F39" s="248" t="s">
        <v>144</v>
      </c>
      <c r="G39" s="255" t="s">
        <v>3</v>
      </c>
      <c r="H39" s="248" t="s">
        <v>21</v>
      </c>
      <c r="I39" s="248" t="s">
        <v>16</v>
      </c>
      <c r="J39" s="212" t="s">
        <v>160</v>
      </c>
    </row>
    <row r="40" spans="1:10" ht="14.4">
      <c r="A40" s="245" t="s">
        <v>244</v>
      </c>
      <c r="B40" s="208">
        <v>2.67151605260374E-3</v>
      </c>
      <c r="C40" s="248" t="s">
        <v>20</v>
      </c>
      <c r="D40" s="253">
        <v>1</v>
      </c>
      <c r="E40" s="249">
        <f t="shared" si="0"/>
        <v>2.67151605260374E-3</v>
      </c>
      <c r="F40" s="248" t="s">
        <v>144</v>
      </c>
      <c r="G40" s="255" t="s">
        <v>3</v>
      </c>
      <c r="H40" s="248" t="s">
        <v>228</v>
      </c>
      <c r="I40" s="248" t="s">
        <v>16</v>
      </c>
      <c r="J40" s="212" t="s">
        <v>160</v>
      </c>
    </row>
    <row r="41" spans="1:10" ht="14.4">
      <c r="A41" s="245" t="s">
        <v>246</v>
      </c>
      <c r="B41" s="208">
        <v>1.5147496018263205E-3</v>
      </c>
      <c r="C41" s="248" t="s">
        <v>17</v>
      </c>
      <c r="D41" s="253">
        <v>1</v>
      </c>
      <c r="E41" s="249">
        <f t="shared" si="0"/>
        <v>1.5147496018263205E-3</v>
      </c>
      <c r="F41" s="248" t="s">
        <v>144</v>
      </c>
      <c r="G41" s="255" t="s">
        <v>3</v>
      </c>
      <c r="H41" s="248" t="s">
        <v>21</v>
      </c>
      <c r="I41" s="248" t="s">
        <v>16</v>
      </c>
      <c r="J41" s="212" t="s">
        <v>160</v>
      </c>
    </row>
    <row r="42" spans="1:10" ht="14.4">
      <c r="A42" s="245" t="s">
        <v>244</v>
      </c>
      <c r="B42" s="208">
        <v>1.1660251621254431E-3</v>
      </c>
      <c r="C42" s="248" t="s">
        <v>20</v>
      </c>
      <c r="D42" s="253">
        <v>1</v>
      </c>
      <c r="E42" s="249">
        <f t="shared" si="0"/>
        <v>1.1660251621254431E-3</v>
      </c>
      <c r="F42" s="248" t="s">
        <v>144</v>
      </c>
      <c r="G42" s="255" t="s">
        <v>3</v>
      </c>
      <c r="H42" s="248" t="s">
        <v>228</v>
      </c>
      <c r="I42" s="248" t="s">
        <v>16</v>
      </c>
      <c r="J42" s="212" t="s">
        <v>160</v>
      </c>
    </row>
    <row r="43" spans="1:10" ht="14.4">
      <c r="A43" s="245" t="s">
        <v>254</v>
      </c>
      <c r="B43" s="208">
        <v>2.2467443329018167E-2</v>
      </c>
      <c r="C43" s="248" t="s">
        <v>17</v>
      </c>
      <c r="D43" s="253">
        <v>1</v>
      </c>
      <c r="E43" s="249">
        <f t="shared" si="0"/>
        <v>2.2467443329018167E-2</v>
      </c>
      <c r="F43" s="248" t="s">
        <v>144</v>
      </c>
      <c r="G43" s="255" t="s">
        <v>3</v>
      </c>
      <c r="H43" s="248" t="s">
        <v>21</v>
      </c>
      <c r="I43" s="248" t="s">
        <v>16</v>
      </c>
      <c r="J43" s="212" t="s">
        <v>160</v>
      </c>
    </row>
    <row r="44" spans="1:10" ht="14.4">
      <c r="A44" s="245" t="s">
        <v>251</v>
      </c>
      <c r="B44" s="208">
        <v>8.6900600739695942E-4</v>
      </c>
      <c r="C44" s="248" t="s">
        <v>17</v>
      </c>
      <c r="D44" s="253">
        <v>1</v>
      </c>
      <c r="E44" s="249">
        <f t="shared" si="0"/>
        <v>8.6900600739695942E-4</v>
      </c>
      <c r="F44" s="248" t="s">
        <v>144</v>
      </c>
      <c r="G44" s="255" t="s">
        <v>3</v>
      </c>
      <c r="H44" s="248" t="s">
        <v>21</v>
      </c>
      <c r="I44" s="248" t="s">
        <v>16</v>
      </c>
      <c r="J44" s="212" t="s">
        <v>160</v>
      </c>
    </row>
    <row r="45" spans="1:10" ht="14.4">
      <c r="A45" s="245" t="s">
        <v>250</v>
      </c>
      <c r="B45" s="208">
        <v>4.7669994669949246E-3</v>
      </c>
      <c r="C45" s="248" t="s">
        <v>17</v>
      </c>
      <c r="D45" s="253">
        <v>1</v>
      </c>
      <c r="E45" s="249">
        <f t="shared" si="0"/>
        <v>4.7669994669949246E-3</v>
      </c>
      <c r="F45" s="248" t="s">
        <v>144</v>
      </c>
      <c r="G45" s="255" t="s">
        <v>3</v>
      </c>
      <c r="H45" s="248" t="s">
        <v>21</v>
      </c>
      <c r="I45" s="248" t="s">
        <v>16</v>
      </c>
      <c r="J45" s="212" t="s">
        <v>160</v>
      </c>
    </row>
    <row r="46" spans="1:10" ht="14.4">
      <c r="A46" s="245" t="s">
        <v>262</v>
      </c>
      <c r="B46" s="208">
        <v>1.301661986954177E-2</v>
      </c>
      <c r="C46" s="248" t="s">
        <v>17</v>
      </c>
      <c r="D46" s="253">
        <v>1</v>
      </c>
      <c r="E46" s="249">
        <f t="shared" si="0"/>
        <v>1.301661986954177E-2</v>
      </c>
      <c r="F46" s="248" t="s">
        <v>144</v>
      </c>
      <c r="G46" s="255" t="s">
        <v>3</v>
      </c>
      <c r="H46" s="248" t="s">
        <v>23</v>
      </c>
      <c r="I46" s="248" t="s">
        <v>16</v>
      </c>
      <c r="J46" s="212" t="s">
        <v>160</v>
      </c>
    </row>
    <row r="47" spans="1:10" ht="14.4">
      <c r="A47" s="245" t="s">
        <v>263</v>
      </c>
      <c r="B47" s="208">
        <v>3.8767568483264658E-3</v>
      </c>
      <c r="C47" s="248" t="s">
        <v>17</v>
      </c>
      <c r="D47" s="253">
        <v>1</v>
      </c>
      <c r="E47" s="249">
        <f t="shared" si="0"/>
        <v>3.8767568483264658E-3</v>
      </c>
      <c r="F47" s="248" t="s">
        <v>144</v>
      </c>
      <c r="G47" s="255" t="s">
        <v>3</v>
      </c>
      <c r="H47" s="248" t="s">
        <v>5</v>
      </c>
      <c r="I47" s="248" t="s">
        <v>16</v>
      </c>
      <c r="J47" s="212" t="s">
        <v>160</v>
      </c>
    </row>
    <row r="48" spans="1:10" ht="14.4">
      <c r="A48" s="245" t="s">
        <v>264</v>
      </c>
      <c r="B48" s="208">
        <v>3.2031524528700513E-3</v>
      </c>
      <c r="C48" s="248" t="s">
        <v>17</v>
      </c>
      <c r="D48" s="253">
        <v>1</v>
      </c>
      <c r="E48" s="249">
        <f t="shared" si="0"/>
        <v>3.2031524528700513E-3</v>
      </c>
      <c r="F48" s="248" t="s">
        <v>144</v>
      </c>
      <c r="G48" s="255" t="s">
        <v>3</v>
      </c>
      <c r="H48" s="248" t="s">
        <v>5</v>
      </c>
      <c r="I48" s="248" t="s">
        <v>16</v>
      </c>
      <c r="J48" s="212" t="s">
        <v>160</v>
      </c>
    </row>
    <row r="49" spans="1:10" ht="14.4">
      <c r="A49" s="245" t="s">
        <v>246</v>
      </c>
      <c r="B49" s="208">
        <v>3.039803622712684E-4</v>
      </c>
      <c r="C49" s="248" t="s">
        <v>17</v>
      </c>
      <c r="D49" s="253">
        <v>1</v>
      </c>
      <c r="E49" s="249">
        <f t="shared" si="0"/>
        <v>3.039803622712684E-4</v>
      </c>
      <c r="F49" s="248" t="s">
        <v>144</v>
      </c>
      <c r="G49" s="255" t="s">
        <v>3</v>
      </c>
      <c r="H49" s="248" t="s">
        <v>21</v>
      </c>
      <c r="I49" s="248" t="s">
        <v>16</v>
      </c>
      <c r="J49" s="212" t="s">
        <v>160</v>
      </c>
    </row>
    <row r="50" spans="1:10" ht="14.4">
      <c r="A50" s="245" t="s">
        <v>244</v>
      </c>
      <c r="B50" s="208">
        <v>3.6129074235212479E-3</v>
      </c>
      <c r="C50" s="248" t="s">
        <v>20</v>
      </c>
      <c r="D50" s="253">
        <v>1</v>
      </c>
      <c r="E50" s="249">
        <f t="shared" si="0"/>
        <v>3.6129074235212479E-3</v>
      </c>
      <c r="F50" s="248" t="s">
        <v>144</v>
      </c>
      <c r="G50" s="255" t="s">
        <v>3</v>
      </c>
      <c r="H50" s="248" t="s">
        <v>228</v>
      </c>
      <c r="I50" s="248" t="s">
        <v>16</v>
      </c>
      <c r="J50" s="212" t="s">
        <v>160</v>
      </c>
    </row>
    <row r="51" spans="1:10" ht="14.4">
      <c r="A51" s="245" t="s">
        <v>265</v>
      </c>
      <c r="B51" s="208">
        <v>3.2300918946881441E-4</v>
      </c>
      <c r="C51" s="248" t="s">
        <v>17</v>
      </c>
      <c r="D51" s="253">
        <v>1</v>
      </c>
      <c r="E51" s="249">
        <f t="shared" si="0"/>
        <v>3.2300918946881441E-4</v>
      </c>
      <c r="F51" s="248" t="s">
        <v>144</v>
      </c>
      <c r="G51" s="255" t="s">
        <v>3</v>
      </c>
      <c r="H51" s="248" t="s">
        <v>5</v>
      </c>
      <c r="I51" s="248" t="s">
        <v>16</v>
      </c>
      <c r="J51" s="212" t="s">
        <v>160</v>
      </c>
    </row>
    <row r="52" spans="1:10" ht="14.4">
      <c r="A52" s="245" t="s">
        <v>266</v>
      </c>
      <c r="B52" s="208">
        <v>1.4128503466770059E-4</v>
      </c>
      <c r="C52" s="248" t="s">
        <v>17</v>
      </c>
      <c r="D52" s="253">
        <v>1</v>
      </c>
      <c r="E52" s="249">
        <f t="shared" si="0"/>
        <v>1.4128503466770059E-4</v>
      </c>
      <c r="F52" s="248" t="s">
        <v>144</v>
      </c>
      <c r="G52" s="255" t="s">
        <v>3</v>
      </c>
      <c r="H52" s="248" t="s">
        <v>21</v>
      </c>
      <c r="I52" s="248" t="s">
        <v>16</v>
      </c>
      <c r="J52" s="212" t="s">
        <v>160</v>
      </c>
    </row>
    <row r="53" spans="1:10" ht="14.4">
      <c r="A53" s="245" t="s">
        <v>261</v>
      </c>
      <c r="B53" s="208">
        <v>5.8900059347205764E-4</v>
      </c>
      <c r="C53" s="248" t="s">
        <v>17</v>
      </c>
      <c r="D53" s="253">
        <v>1</v>
      </c>
      <c r="E53" s="249">
        <f t="shared" si="0"/>
        <v>5.8900059347205764E-4</v>
      </c>
      <c r="F53" s="248" t="s">
        <v>144</v>
      </c>
      <c r="G53" s="255" t="s">
        <v>3</v>
      </c>
      <c r="H53" s="248" t="s">
        <v>21</v>
      </c>
      <c r="I53" s="248" t="s">
        <v>16</v>
      </c>
      <c r="J53" s="212" t="s">
        <v>160</v>
      </c>
    </row>
    <row r="54" spans="1:10" ht="14.4">
      <c r="A54" s="245" t="s">
        <v>246</v>
      </c>
      <c r="B54" s="208">
        <v>4.2935079416845816E-5</v>
      </c>
      <c r="C54" s="248" t="s">
        <v>17</v>
      </c>
      <c r="D54" s="253">
        <v>1</v>
      </c>
      <c r="E54" s="249">
        <f t="shared" si="0"/>
        <v>4.2935079416845816E-5</v>
      </c>
      <c r="F54" s="248" t="s">
        <v>144</v>
      </c>
      <c r="G54" s="255" t="s">
        <v>3</v>
      </c>
      <c r="H54" s="248" t="s">
        <v>21</v>
      </c>
      <c r="I54" s="248" t="s">
        <v>16</v>
      </c>
      <c r="J54" s="212" t="s">
        <v>160</v>
      </c>
    </row>
    <row r="55" spans="1:10" ht="14.4">
      <c r="A55" s="245" t="s">
        <v>267</v>
      </c>
      <c r="B55" s="208">
        <v>3.0655646703627909E-5</v>
      </c>
      <c r="C55" s="248" t="s">
        <v>17</v>
      </c>
      <c r="D55" s="253">
        <v>1</v>
      </c>
      <c r="E55" s="249">
        <f t="shared" si="0"/>
        <v>3.0655646703627909E-5</v>
      </c>
      <c r="F55" s="248" t="s">
        <v>144</v>
      </c>
      <c r="G55" s="255" t="s">
        <v>3</v>
      </c>
      <c r="H55" s="248" t="s">
        <v>5</v>
      </c>
      <c r="I55" s="248" t="s">
        <v>16</v>
      </c>
      <c r="J55" s="212" t="s">
        <v>160</v>
      </c>
    </row>
    <row r="56" spans="1:10" ht="14.4">
      <c r="A56" s="245" t="s">
        <v>244</v>
      </c>
      <c r="B56" s="208">
        <v>4.1951198219186893E-2</v>
      </c>
      <c r="C56" s="248" t="s">
        <v>20</v>
      </c>
      <c r="D56" s="253">
        <v>1</v>
      </c>
      <c r="E56" s="249">
        <f t="shared" si="0"/>
        <v>4.1951198219186893E-2</v>
      </c>
      <c r="F56" s="248" t="s">
        <v>144</v>
      </c>
      <c r="G56" s="255" t="s">
        <v>3</v>
      </c>
      <c r="H56" s="248" t="s">
        <v>228</v>
      </c>
      <c r="I56" s="248" t="s">
        <v>16</v>
      </c>
      <c r="J56" s="212" t="s">
        <v>160</v>
      </c>
    </row>
    <row r="57" spans="1:10" ht="14.4">
      <c r="A57" s="245" t="s">
        <v>261</v>
      </c>
      <c r="B57" s="208">
        <v>8.6583087240392462E-5</v>
      </c>
      <c r="C57" s="248" t="s">
        <v>17</v>
      </c>
      <c r="D57" s="253">
        <v>1</v>
      </c>
      <c r="E57" s="249">
        <f t="shared" si="0"/>
        <v>8.6583087240392462E-5</v>
      </c>
      <c r="F57" s="248" t="s">
        <v>144</v>
      </c>
      <c r="G57" s="255" t="s">
        <v>3</v>
      </c>
      <c r="H57" s="248" t="s">
        <v>21</v>
      </c>
      <c r="I57" s="248" t="s">
        <v>16</v>
      </c>
      <c r="J57" s="212" t="s">
        <v>160</v>
      </c>
    </row>
    <row r="58" spans="1:10" ht="14.4">
      <c r="A58" s="245" t="s">
        <v>246</v>
      </c>
      <c r="B58" s="208">
        <v>2.7669273401967303E-3</v>
      </c>
      <c r="C58" s="248" t="s">
        <v>17</v>
      </c>
      <c r="D58" s="253">
        <v>1</v>
      </c>
      <c r="E58" s="249">
        <f t="shared" si="0"/>
        <v>2.7669273401967303E-3</v>
      </c>
      <c r="F58" s="248" t="s">
        <v>144</v>
      </c>
      <c r="G58" s="255" t="s">
        <v>3</v>
      </c>
      <c r="H58" s="248" t="s">
        <v>21</v>
      </c>
      <c r="I58" s="248" t="s">
        <v>16</v>
      </c>
      <c r="J58" s="212" t="s">
        <v>160</v>
      </c>
    </row>
    <row r="59" spans="1:10" ht="14.4">
      <c r="A59" s="245" t="s">
        <v>249</v>
      </c>
      <c r="B59" s="208">
        <v>0</v>
      </c>
      <c r="C59" s="248" t="s">
        <v>17</v>
      </c>
      <c r="D59" s="253">
        <v>1</v>
      </c>
      <c r="E59" s="249">
        <f t="shared" si="0"/>
        <v>0</v>
      </c>
      <c r="F59" s="248" t="s">
        <v>144</v>
      </c>
      <c r="G59" s="255" t="s">
        <v>3</v>
      </c>
      <c r="H59" s="248" t="s">
        <v>5</v>
      </c>
      <c r="I59" s="248" t="s">
        <v>16</v>
      </c>
      <c r="J59" s="212" t="s">
        <v>160</v>
      </c>
    </row>
    <row r="60" spans="1:10" ht="14.4">
      <c r="A60" s="245" t="s">
        <v>244</v>
      </c>
      <c r="B60" s="208">
        <v>7.2703401145858909E-2</v>
      </c>
      <c r="C60" s="248" t="s">
        <v>20</v>
      </c>
      <c r="D60" s="253">
        <v>1</v>
      </c>
      <c r="E60" s="249">
        <f t="shared" si="0"/>
        <v>7.2703401145858909E-2</v>
      </c>
      <c r="F60" s="248" t="s">
        <v>144</v>
      </c>
      <c r="G60" s="255" t="s">
        <v>3</v>
      </c>
      <c r="H60" s="248" t="s">
        <v>228</v>
      </c>
      <c r="I60" s="248" t="s">
        <v>16</v>
      </c>
      <c r="J60" s="212" t="s">
        <v>160</v>
      </c>
    </row>
    <row r="61" spans="1:10" ht="14.4">
      <c r="A61" s="245" t="s">
        <v>268</v>
      </c>
      <c r="B61" s="208">
        <v>7.1100491514296678E-5</v>
      </c>
      <c r="C61" s="248" t="s">
        <v>17</v>
      </c>
      <c r="D61" s="253">
        <v>1</v>
      </c>
      <c r="E61" s="249">
        <f t="shared" si="0"/>
        <v>7.1100491514296678E-5</v>
      </c>
      <c r="F61" s="248" t="s">
        <v>144</v>
      </c>
      <c r="G61" s="255" t="s">
        <v>3</v>
      </c>
      <c r="H61" s="248" t="s">
        <v>5</v>
      </c>
      <c r="I61" s="248" t="s">
        <v>16</v>
      </c>
      <c r="J61" s="212" t="s">
        <v>160</v>
      </c>
    </row>
    <row r="62" spans="1:10" ht="14.4">
      <c r="A62" s="245" t="s">
        <v>269</v>
      </c>
      <c r="B62" s="208">
        <v>2.8440196605718671E-4</v>
      </c>
      <c r="C62" s="248" t="s">
        <v>17</v>
      </c>
      <c r="D62" s="253">
        <v>1</v>
      </c>
      <c r="E62" s="249">
        <f t="shared" si="0"/>
        <v>2.8440196605718671E-4</v>
      </c>
      <c r="F62" s="248" t="s">
        <v>144</v>
      </c>
      <c r="G62" s="255" t="s">
        <v>3</v>
      </c>
      <c r="H62" s="248" t="s">
        <v>5</v>
      </c>
      <c r="I62" s="248" t="s">
        <v>16</v>
      </c>
      <c r="J62" s="212" t="s">
        <v>160</v>
      </c>
    </row>
    <row r="63" spans="1:10" ht="14.4">
      <c r="A63" s="245" t="s">
        <v>246</v>
      </c>
      <c r="B63" s="208">
        <v>7.7283142950322469E-3</v>
      </c>
      <c r="C63" s="248" t="s">
        <v>17</v>
      </c>
      <c r="D63" s="253">
        <v>1</v>
      </c>
      <c r="E63" s="249">
        <f t="shared" si="0"/>
        <v>7.7283142950322469E-3</v>
      </c>
      <c r="F63" s="248" t="s">
        <v>144</v>
      </c>
      <c r="G63" s="255" t="s">
        <v>3</v>
      </c>
      <c r="H63" s="248" t="s">
        <v>21</v>
      </c>
      <c r="I63" s="248" t="s">
        <v>16</v>
      </c>
      <c r="J63" s="212" t="s">
        <v>160</v>
      </c>
    </row>
    <row r="64" spans="1:10" ht="14.4">
      <c r="A64" s="245" t="s">
        <v>244</v>
      </c>
      <c r="B64" s="208">
        <v>3.709209216465106E-3</v>
      </c>
      <c r="C64" s="248" t="s">
        <v>20</v>
      </c>
      <c r="D64" s="253">
        <v>1</v>
      </c>
      <c r="E64" s="249">
        <f t="shared" si="0"/>
        <v>3.709209216465106E-3</v>
      </c>
      <c r="F64" s="248" t="s">
        <v>144</v>
      </c>
      <c r="G64" s="255" t="s">
        <v>3</v>
      </c>
      <c r="H64" s="248" t="s">
        <v>228</v>
      </c>
      <c r="I64" s="248" t="s">
        <v>16</v>
      </c>
      <c r="J64" s="212" t="s">
        <v>160</v>
      </c>
    </row>
    <row r="65" spans="1:10" ht="14.4">
      <c r="A65" s="245" t="s">
        <v>270</v>
      </c>
      <c r="B65" s="208">
        <v>0</v>
      </c>
      <c r="C65" s="248" t="s">
        <v>17</v>
      </c>
      <c r="D65" s="253">
        <v>1</v>
      </c>
      <c r="E65" s="249">
        <f t="shared" si="0"/>
        <v>0</v>
      </c>
      <c r="F65" s="248" t="s">
        <v>144</v>
      </c>
      <c r="G65" s="255" t="s">
        <v>3</v>
      </c>
      <c r="H65" s="248" t="s">
        <v>5</v>
      </c>
      <c r="I65" s="248" t="s">
        <v>16</v>
      </c>
      <c r="J65" s="212" t="s">
        <v>160</v>
      </c>
    </row>
    <row r="66" spans="1:10" ht="14.4">
      <c r="A66" s="245" t="s">
        <v>247</v>
      </c>
      <c r="B66" s="208">
        <v>1.3079108846609388E-5</v>
      </c>
      <c r="C66" s="248" t="s">
        <v>17</v>
      </c>
      <c r="D66" s="253">
        <v>1</v>
      </c>
      <c r="E66" s="249">
        <f t="shared" si="0"/>
        <v>1.3079108846609388E-5</v>
      </c>
      <c r="F66" s="248" t="s">
        <v>144</v>
      </c>
      <c r="G66" s="255" t="s">
        <v>3</v>
      </c>
      <c r="H66" s="248" t="s">
        <v>5</v>
      </c>
      <c r="I66" s="248" t="s">
        <v>16</v>
      </c>
      <c r="J66" s="212" t="s">
        <v>160</v>
      </c>
    </row>
    <row r="67" spans="1:10" ht="14.4">
      <c r="A67" s="245" t="s">
        <v>268</v>
      </c>
      <c r="B67" s="208">
        <v>6.2568432532581079E-7</v>
      </c>
      <c r="C67" s="248" t="s">
        <v>17</v>
      </c>
      <c r="D67" s="253">
        <v>1</v>
      </c>
      <c r="E67" s="249">
        <f t="shared" si="0"/>
        <v>6.2568432532581079E-7</v>
      </c>
      <c r="F67" s="248" t="s">
        <v>144</v>
      </c>
      <c r="G67" s="255" t="s">
        <v>3</v>
      </c>
      <c r="H67" s="248" t="s">
        <v>5</v>
      </c>
      <c r="I67" s="248" t="s">
        <v>16</v>
      </c>
      <c r="J67" s="212" t="s">
        <v>160</v>
      </c>
    </row>
    <row r="68" spans="1:10" ht="14.4">
      <c r="A68" s="245" t="s">
        <v>261</v>
      </c>
      <c r="B68" s="208">
        <v>3.3686459865838145E-6</v>
      </c>
      <c r="C68" s="248" t="s">
        <v>17</v>
      </c>
      <c r="D68" s="253">
        <v>1</v>
      </c>
      <c r="E68" s="249">
        <f t="shared" si="0"/>
        <v>3.3686459865838145E-6</v>
      </c>
      <c r="F68" s="248" t="s">
        <v>144</v>
      </c>
      <c r="G68" s="255" t="s">
        <v>3</v>
      </c>
      <c r="H68" s="248" t="s">
        <v>21</v>
      </c>
      <c r="I68" s="248" t="s">
        <v>16</v>
      </c>
      <c r="J68" s="212" t="s">
        <v>160</v>
      </c>
    </row>
    <row r="69" spans="1:10" ht="14.4">
      <c r="A69" s="245" t="s">
        <v>271</v>
      </c>
      <c r="B69" s="208">
        <v>5.5149250809350112E-5</v>
      </c>
      <c r="C69" s="248" t="s">
        <v>17</v>
      </c>
      <c r="D69" s="253">
        <v>1</v>
      </c>
      <c r="E69" s="249">
        <f t="shared" si="0"/>
        <v>5.5149250809350112E-5</v>
      </c>
      <c r="F69" s="248" t="s">
        <v>144</v>
      </c>
      <c r="G69" s="255" t="s">
        <v>3</v>
      </c>
      <c r="H69" s="248" t="s">
        <v>21</v>
      </c>
      <c r="I69" s="248" t="s">
        <v>16</v>
      </c>
      <c r="J69" s="212" t="s">
        <v>160</v>
      </c>
    </row>
    <row r="70" spans="1:10" ht="14.4">
      <c r="A70" s="245" t="s">
        <v>246</v>
      </c>
      <c r="B70" s="208">
        <v>1.0304419060042995E-4</v>
      </c>
      <c r="C70" s="248" t="s">
        <v>17</v>
      </c>
      <c r="D70" s="253">
        <v>1</v>
      </c>
      <c r="E70" s="249">
        <f t="shared" si="0"/>
        <v>1.0304419060042995E-4</v>
      </c>
      <c r="F70" s="248" t="s">
        <v>144</v>
      </c>
      <c r="G70" s="255" t="s">
        <v>3</v>
      </c>
      <c r="H70" s="248" t="s">
        <v>21</v>
      </c>
      <c r="I70" s="248" t="s">
        <v>16</v>
      </c>
      <c r="J70" s="212" t="s">
        <v>160</v>
      </c>
    </row>
    <row r="71" spans="1:10" ht="14.4">
      <c r="A71" s="245" t="s">
        <v>244</v>
      </c>
      <c r="B71" s="208">
        <v>1.5387932462997541E-2</v>
      </c>
      <c r="C71" s="248" t="s">
        <v>20</v>
      </c>
      <c r="D71" s="253">
        <v>1</v>
      </c>
      <c r="E71" s="249">
        <f t="shared" si="0"/>
        <v>1.5387932462997541E-2</v>
      </c>
      <c r="F71" s="248" t="s">
        <v>144</v>
      </c>
      <c r="G71" s="255" t="s">
        <v>3</v>
      </c>
      <c r="H71" s="248" t="s">
        <v>228</v>
      </c>
      <c r="I71" s="248" t="s">
        <v>16</v>
      </c>
      <c r="J71" s="212" t="s">
        <v>160</v>
      </c>
    </row>
    <row r="72" spans="1:10" ht="14.4">
      <c r="A72" s="245" t="s">
        <v>272</v>
      </c>
      <c r="B72" s="208">
        <v>5.735964641535361E-6</v>
      </c>
      <c r="C72" s="248" t="s">
        <v>17</v>
      </c>
      <c r="D72" s="253">
        <v>1</v>
      </c>
      <c r="E72" s="249">
        <f t="shared" si="0"/>
        <v>5.735964641535361E-6</v>
      </c>
      <c r="F72" s="248" t="s">
        <v>144</v>
      </c>
      <c r="G72" s="255" t="s">
        <v>3</v>
      </c>
      <c r="H72" s="248" t="s">
        <v>23</v>
      </c>
      <c r="I72" s="248" t="s">
        <v>16</v>
      </c>
      <c r="J72" s="212" t="s">
        <v>160</v>
      </c>
    </row>
    <row r="73" spans="1:10" ht="14.4">
      <c r="A73" s="245" t="s">
        <v>273</v>
      </c>
      <c r="B73" s="208">
        <v>1.0925646936257831E-6</v>
      </c>
      <c r="C73" s="248" t="s">
        <v>17</v>
      </c>
      <c r="D73" s="253">
        <v>1</v>
      </c>
      <c r="E73" s="249">
        <f t="shared" si="0"/>
        <v>1.0925646936257831E-6</v>
      </c>
      <c r="F73" s="248" t="s">
        <v>144</v>
      </c>
      <c r="G73" s="255" t="s">
        <v>3</v>
      </c>
      <c r="H73" s="248" t="s">
        <v>5</v>
      </c>
      <c r="I73" s="248" t="s">
        <v>16</v>
      </c>
      <c r="J73" s="212" t="s">
        <v>160</v>
      </c>
    </row>
    <row r="74" spans="1:10" ht="14.4">
      <c r="A74" s="245" t="s">
        <v>271</v>
      </c>
      <c r="B74" s="208">
        <v>2.273154844645485E-5</v>
      </c>
      <c r="C74" s="248" t="s">
        <v>17</v>
      </c>
      <c r="D74" s="253">
        <v>1</v>
      </c>
      <c r="E74" s="249">
        <f t="shared" si="0"/>
        <v>2.273154844645485E-5</v>
      </c>
      <c r="F74" s="248" t="s">
        <v>144</v>
      </c>
      <c r="G74" s="255" t="s">
        <v>3</v>
      </c>
      <c r="H74" s="248" t="s">
        <v>21</v>
      </c>
      <c r="I74" s="248" t="s">
        <v>16</v>
      </c>
      <c r="J74" s="212" t="s">
        <v>160</v>
      </c>
    </row>
    <row r="75" spans="1:10" ht="14.4">
      <c r="A75" s="245" t="s">
        <v>244</v>
      </c>
      <c r="B75" s="208">
        <v>1.4884160864506548E-2</v>
      </c>
      <c r="C75" s="248" t="s">
        <v>20</v>
      </c>
      <c r="D75" s="253">
        <v>1</v>
      </c>
      <c r="E75" s="249">
        <f t="shared" si="0"/>
        <v>1.4884160864506548E-2</v>
      </c>
      <c r="F75" s="248" t="s">
        <v>144</v>
      </c>
      <c r="G75" s="255" t="s">
        <v>3</v>
      </c>
      <c r="H75" s="248" t="s">
        <v>228</v>
      </c>
      <c r="I75" s="248" t="s">
        <v>16</v>
      </c>
      <c r="J75" s="212" t="s">
        <v>160</v>
      </c>
    </row>
    <row r="76" spans="1:10" ht="14.4">
      <c r="A76" s="245" t="s">
        <v>274</v>
      </c>
      <c r="B76" s="208">
        <v>3.695788092284551E-4</v>
      </c>
      <c r="C76" s="248" t="s">
        <v>17</v>
      </c>
      <c r="D76" s="253">
        <v>1</v>
      </c>
      <c r="E76" s="249">
        <f t="shared" si="0"/>
        <v>3.695788092284551E-4</v>
      </c>
      <c r="F76" s="248" t="s">
        <v>144</v>
      </c>
      <c r="G76" s="255" t="s">
        <v>3</v>
      </c>
      <c r="H76" s="248" t="s">
        <v>5</v>
      </c>
      <c r="I76" s="248" t="s">
        <v>16</v>
      </c>
      <c r="J76" s="212" t="s">
        <v>160</v>
      </c>
    </row>
    <row r="77" spans="1:10" ht="14.4">
      <c r="A77" s="245" t="s">
        <v>252</v>
      </c>
      <c r="B77" s="208">
        <v>3.0238266209600874E-4</v>
      </c>
      <c r="C77" s="248" t="s">
        <v>17</v>
      </c>
      <c r="D77" s="253">
        <v>1</v>
      </c>
      <c r="E77" s="249">
        <f t="shared" ref="E77:E97" si="1">D77*B77</f>
        <v>3.0238266209600874E-4</v>
      </c>
      <c r="F77" s="248" t="s">
        <v>144</v>
      </c>
      <c r="G77" s="255" t="s">
        <v>3</v>
      </c>
      <c r="H77" s="248" t="s">
        <v>21</v>
      </c>
      <c r="I77" s="248" t="s">
        <v>16</v>
      </c>
      <c r="J77" s="212" t="s">
        <v>160</v>
      </c>
    </row>
    <row r="78" spans="1:10" customFormat="1" ht="14.4">
      <c r="A78" s="246" t="s">
        <v>254</v>
      </c>
      <c r="B78" s="209">
        <v>3.0238266209600874E-4</v>
      </c>
      <c r="C78" s="250" t="s">
        <v>17</v>
      </c>
      <c r="D78" s="253">
        <v>1</v>
      </c>
      <c r="E78" s="249">
        <f t="shared" si="1"/>
        <v>3.0238266209600874E-4</v>
      </c>
      <c r="F78" s="248" t="s">
        <v>144</v>
      </c>
      <c r="G78" s="256" t="s">
        <v>3</v>
      </c>
      <c r="H78" s="250" t="s">
        <v>21</v>
      </c>
      <c r="I78" s="250" t="s">
        <v>16</v>
      </c>
      <c r="J78" s="212" t="s">
        <v>160</v>
      </c>
    </row>
    <row r="79" spans="1:10" customFormat="1" ht="14.4">
      <c r="A79" s="246" t="s">
        <v>254</v>
      </c>
      <c r="B79" s="209">
        <v>7.7275569202313365E-3</v>
      </c>
      <c r="C79" s="250" t="s">
        <v>17</v>
      </c>
      <c r="D79" s="253">
        <v>1</v>
      </c>
      <c r="E79" s="249">
        <f t="shared" si="1"/>
        <v>7.7275569202313365E-3</v>
      </c>
      <c r="F79" s="248" t="s">
        <v>144</v>
      </c>
      <c r="G79" s="256" t="s">
        <v>3</v>
      </c>
      <c r="H79" s="250" t="s">
        <v>21</v>
      </c>
      <c r="I79" s="250" t="s">
        <v>16</v>
      </c>
      <c r="J79" s="212" t="s">
        <v>160</v>
      </c>
    </row>
    <row r="80" spans="1:10" customFormat="1" ht="14.4">
      <c r="A80" s="246" t="s">
        <v>244</v>
      </c>
      <c r="B80" s="209">
        <v>0.7728314295032247</v>
      </c>
      <c r="C80" s="250" t="s">
        <v>20</v>
      </c>
      <c r="D80" s="253">
        <v>1</v>
      </c>
      <c r="E80" s="249">
        <f t="shared" si="1"/>
        <v>0.7728314295032247</v>
      </c>
      <c r="F80" s="248" t="s">
        <v>144</v>
      </c>
      <c r="G80" s="256" t="s">
        <v>3</v>
      </c>
      <c r="H80" s="250" t="s">
        <v>228</v>
      </c>
      <c r="I80" s="250" t="s">
        <v>16</v>
      </c>
      <c r="J80" s="212" t="s">
        <v>160</v>
      </c>
    </row>
    <row r="81" spans="1:10" customFormat="1" ht="14.4">
      <c r="A81" s="246" t="s">
        <v>254</v>
      </c>
      <c r="B81" s="209">
        <v>1.0584292170315769E-2</v>
      </c>
      <c r="C81" s="250" t="s">
        <v>17</v>
      </c>
      <c r="D81" s="253">
        <v>1</v>
      </c>
      <c r="E81" s="249">
        <f t="shared" si="1"/>
        <v>1.0584292170315769E-2</v>
      </c>
      <c r="F81" s="248" t="s">
        <v>144</v>
      </c>
      <c r="G81" s="256" t="s">
        <v>3</v>
      </c>
      <c r="H81" s="250" t="s">
        <v>21</v>
      </c>
      <c r="I81" s="250" t="s">
        <v>16</v>
      </c>
      <c r="J81" s="212" t="s">
        <v>160</v>
      </c>
    </row>
    <row r="82" spans="1:10" customFormat="1" ht="14.4">
      <c r="A82" s="246" t="s">
        <v>244</v>
      </c>
      <c r="B82" s="209">
        <v>0.91594836089271059</v>
      </c>
      <c r="C82" s="250" t="s">
        <v>20</v>
      </c>
      <c r="D82" s="253">
        <v>1</v>
      </c>
      <c r="E82" s="249">
        <f t="shared" si="1"/>
        <v>0.91594836089271059</v>
      </c>
      <c r="F82" s="248" t="s">
        <v>144</v>
      </c>
      <c r="G82" s="256" t="s">
        <v>3</v>
      </c>
      <c r="H82" s="250" t="s">
        <v>228</v>
      </c>
      <c r="I82" s="250" t="s">
        <v>16</v>
      </c>
      <c r="J82" s="212" t="s">
        <v>160</v>
      </c>
    </row>
    <row r="83" spans="1:10" customFormat="1" ht="14.4">
      <c r="A83" s="246" t="s">
        <v>254</v>
      </c>
      <c r="B83" s="209">
        <v>6.5161798599653849E-3</v>
      </c>
      <c r="C83" s="250" t="s">
        <v>17</v>
      </c>
      <c r="D83" s="253">
        <v>1</v>
      </c>
      <c r="E83" s="249">
        <f t="shared" si="1"/>
        <v>6.5161798599653849E-3</v>
      </c>
      <c r="F83" s="248" t="s">
        <v>144</v>
      </c>
      <c r="G83" s="256" t="s">
        <v>3</v>
      </c>
      <c r="H83" s="250" t="s">
        <v>21</v>
      </c>
      <c r="I83" s="250" t="s">
        <v>16</v>
      </c>
      <c r="J83" s="212" t="s">
        <v>160</v>
      </c>
    </row>
    <row r="84" spans="1:10" customFormat="1" ht="14.4">
      <c r="A84" s="246" t="s">
        <v>275</v>
      </c>
      <c r="B84" s="209">
        <v>0.48072898556279831</v>
      </c>
      <c r="C84" s="250" t="s">
        <v>17</v>
      </c>
      <c r="D84" s="253">
        <v>1</v>
      </c>
      <c r="E84" s="249">
        <f t="shared" si="1"/>
        <v>0.48072898556279831</v>
      </c>
      <c r="F84" s="248" t="s">
        <v>144</v>
      </c>
      <c r="G84" s="256" t="s">
        <v>3</v>
      </c>
      <c r="H84" s="250" t="s">
        <v>5</v>
      </c>
      <c r="I84" s="250" t="s">
        <v>16</v>
      </c>
      <c r="J84" s="212" t="s">
        <v>160</v>
      </c>
    </row>
    <row r="85" spans="1:10" customFormat="1" ht="14.4">
      <c r="A85" s="246" t="s">
        <v>276</v>
      </c>
      <c r="B85" s="209">
        <v>4.355687566159786E-5</v>
      </c>
      <c r="C85" s="250" t="s">
        <v>17</v>
      </c>
      <c r="D85" s="253">
        <v>1</v>
      </c>
      <c r="E85" s="249">
        <f t="shared" si="1"/>
        <v>4.355687566159786E-5</v>
      </c>
      <c r="F85" s="248" t="s">
        <v>144</v>
      </c>
      <c r="G85" s="256" t="s">
        <v>3</v>
      </c>
      <c r="H85" s="250" t="s">
        <v>21</v>
      </c>
      <c r="I85" s="250" t="s">
        <v>16</v>
      </c>
      <c r="J85" s="212" t="s">
        <v>160</v>
      </c>
    </row>
    <row r="86" spans="1:10" customFormat="1" ht="14.4">
      <c r="A86" s="246" t="s">
        <v>277</v>
      </c>
      <c r="B86" s="209">
        <v>1.3735799129917452E-6</v>
      </c>
      <c r="C86" s="250" t="s">
        <v>17</v>
      </c>
      <c r="D86" s="253">
        <v>1</v>
      </c>
      <c r="E86" s="249">
        <f t="shared" si="1"/>
        <v>1.3735799129917452E-6</v>
      </c>
      <c r="F86" s="248" t="s">
        <v>144</v>
      </c>
      <c r="G86" s="256" t="s">
        <v>3</v>
      </c>
      <c r="H86" s="250" t="s">
        <v>283</v>
      </c>
      <c r="I86" s="250" t="s">
        <v>16</v>
      </c>
      <c r="J86" s="212" t="s">
        <v>160</v>
      </c>
    </row>
    <row r="87" spans="1:10" customFormat="1" ht="14.4">
      <c r="A87" s="246" t="s">
        <v>244</v>
      </c>
      <c r="B87" s="209">
        <v>4.355687566159786E-5</v>
      </c>
      <c r="C87" s="250" t="s">
        <v>20</v>
      </c>
      <c r="D87" s="253">
        <v>1</v>
      </c>
      <c r="E87" s="249">
        <f t="shared" si="1"/>
        <v>4.355687566159786E-5</v>
      </c>
      <c r="F87" s="248" t="s">
        <v>144</v>
      </c>
      <c r="G87" s="256" t="s">
        <v>3</v>
      </c>
      <c r="H87" s="250" t="s">
        <v>228</v>
      </c>
      <c r="I87" s="250" t="s">
        <v>16</v>
      </c>
      <c r="J87" s="212" t="s">
        <v>160</v>
      </c>
    </row>
    <row r="88" spans="1:10" customFormat="1" ht="14.4">
      <c r="A88" s="246" t="s">
        <v>244</v>
      </c>
      <c r="B88" s="209">
        <v>0.20708891267804588</v>
      </c>
      <c r="C88" s="250" t="s">
        <v>20</v>
      </c>
      <c r="D88" s="253">
        <v>1</v>
      </c>
      <c r="E88" s="249">
        <f t="shared" si="1"/>
        <v>0.20708891267804588</v>
      </c>
      <c r="F88" s="248" t="s">
        <v>144</v>
      </c>
      <c r="G88" s="256" t="s">
        <v>3</v>
      </c>
      <c r="H88" s="250" t="s">
        <v>228</v>
      </c>
      <c r="I88" s="250" t="s">
        <v>16</v>
      </c>
      <c r="J88" s="212" t="s">
        <v>160</v>
      </c>
    </row>
    <row r="89" spans="1:10" customFormat="1" ht="14.4">
      <c r="A89" s="246" t="s">
        <v>244</v>
      </c>
      <c r="B89" s="209">
        <v>0.21929727744655431</v>
      </c>
      <c r="C89" s="250" t="s">
        <v>20</v>
      </c>
      <c r="D89" s="253">
        <v>1</v>
      </c>
      <c r="E89" s="249">
        <f t="shared" si="1"/>
        <v>0.21929727744655431</v>
      </c>
      <c r="F89" s="248" t="s">
        <v>144</v>
      </c>
      <c r="G89" s="256" t="s">
        <v>3</v>
      </c>
      <c r="H89" s="250" t="s">
        <v>228</v>
      </c>
      <c r="I89" s="250" t="s">
        <v>16</v>
      </c>
      <c r="J89" s="212" t="s">
        <v>160</v>
      </c>
    </row>
    <row r="90" spans="1:10" customFormat="1" ht="14.4">
      <c r="A90" s="246" t="s">
        <v>244</v>
      </c>
      <c r="B90" s="209">
        <v>0.80870532959999997</v>
      </c>
      <c r="C90" s="250" t="s">
        <v>20</v>
      </c>
      <c r="D90" s="253">
        <v>1</v>
      </c>
      <c r="E90" s="249">
        <f t="shared" si="1"/>
        <v>0.80870532959999997</v>
      </c>
      <c r="F90" s="248" t="s">
        <v>144</v>
      </c>
      <c r="G90" s="256" t="s">
        <v>3</v>
      </c>
      <c r="H90" s="250" t="s">
        <v>228</v>
      </c>
      <c r="I90" s="250" t="s">
        <v>16</v>
      </c>
      <c r="J90" s="212" t="s">
        <v>160</v>
      </c>
    </row>
    <row r="91" spans="1:10" customFormat="1" ht="14.4">
      <c r="A91" s="246" t="s">
        <v>278</v>
      </c>
      <c r="B91" s="209">
        <v>3.9030179999999996E-7</v>
      </c>
      <c r="C91" s="250" t="s">
        <v>17</v>
      </c>
      <c r="D91" s="253">
        <v>1</v>
      </c>
      <c r="E91" s="249">
        <f t="shared" si="1"/>
        <v>3.9030179999999996E-7</v>
      </c>
      <c r="F91" s="248" t="s">
        <v>144</v>
      </c>
      <c r="G91" s="256" t="s">
        <v>3</v>
      </c>
      <c r="H91" s="250" t="s">
        <v>21</v>
      </c>
      <c r="I91" s="250" t="s">
        <v>16</v>
      </c>
      <c r="J91" s="212" t="s">
        <v>160</v>
      </c>
    </row>
    <row r="92" spans="1:10" customFormat="1" ht="14.4">
      <c r="A92" s="246" t="s">
        <v>279</v>
      </c>
      <c r="B92" s="209">
        <v>9.7408508634092547E-2</v>
      </c>
      <c r="C92" s="250" t="s">
        <v>17</v>
      </c>
      <c r="D92" s="253">
        <v>1</v>
      </c>
      <c r="E92" s="249">
        <f t="shared" si="1"/>
        <v>9.7408508634092547E-2</v>
      </c>
      <c r="F92" s="248" t="s">
        <v>144</v>
      </c>
      <c r="G92" s="256" t="s">
        <v>3</v>
      </c>
      <c r="H92" s="250" t="s">
        <v>5</v>
      </c>
      <c r="I92" s="250" t="s">
        <v>16</v>
      </c>
      <c r="J92" s="212" t="s">
        <v>160</v>
      </c>
    </row>
    <row r="93" spans="1:10" customFormat="1" ht="14.4">
      <c r="A93" s="246" t="s">
        <v>278</v>
      </c>
      <c r="B93" s="209">
        <v>-4.3656365263537575E-3</v>
      </c>
      <c r="C93" s="250" t="s">
        <v>17</v>
      </c>
      <c r="D93" s="253">
        <v>1</v>
      </c>
      <c r="E93" s="249">
        <f t="shared" si="1"/>
        <v>-4.3656365263537575E-3</v>
      </c>
      <c r="F93" s="248" t="s">
        <v>144</v>
      </c>
      <c r="G93" s="256" t="s">
        <v>3</v>
      </c>
      <c r="H93" s="250" t="s">
        <v>21</v>
      </c>
      <c r="I93" s="250" t="s">
        <v>16</v>
      </c>
      <c r="J93" s="212" t="s">
        <v>160</v>
      </c>
    </row>
    <row r="94" spans="1:10" customFormat="1" ht="14.4">
      <c r="A94" s="246" t="s">
        <v>244</v>
      </c>
      <c r="B94" s="209">
        <v>0.37000610640000003</v>
      </c>
      <c r="C94" s="250" t="s">
        <v>20</v>
      </c>
      <c r="D94" s="253">
        <v>1</v>
      </c>
      <c r="E94" s="249">
        <f t="shared" si="1"/>
        <v>0.37000610640000003</v>
      </c>
      <c r="F94" s="248" t="s">
        <v>144</v>
      </c>
      <c r="G94" s="256" t="s">
        <v>3</v>
      </c>
      <c r="H94" s="250" t="s">
        <v>228</v>
      </c>
      <c r="I94" s="250" t="s">
        <v>16</v>
      </c>
      <c r="J94" s="212" t="s">
        <v>160</v>
      </c>
    </row>
    <row r="95" spans="1:10" customFormat="1" ht="14.4">
      <c r="A95" s="246" t="s">
        <v>280</v>
      </c>
      <c r="B95" s="209">
        <v>4.2032693687040005E-4</v>
      </c>
      <c r="C95" s="250" t="s">
        <v>281</v>
      </c>
      <c r="D95" s="253">
        <v>1</v>
      </c>
      <c r="E95" s="249">
        <f t="shared" si="1"/>
        <v>4.2032693687040005E-4</v>
      </c>
      <c r="F95" s="248" t="s">
        <v>144</v>
      </c>
      <c r="G95" s="256" t="s">
        <v>3</v>
      </c>
      <c r="H95" s="250" t="s">
        <v>23</v>
      </c>
      <c r="I95" s="250" t="s">
        <v>16</v>
      </c>
      <c r="J95" s="212" t="s">
        <v>160</v>
      </c>
    </row>
    <row r="96" spans="1:10" customFormat="1" ht="14.4">
      <c r="A96" s="246" t="s">
        <v>282</v>
      </c>
      <c r="B96" s="209">
        <v>-8.1234555295177889E-3</v>
      </c>
      <c r="C96" s="250" t="s">
        <v>281</v>
      </c>
      <c r="D96" s="253">
        <v>1</v>
      </c>
      <c r="E96" s="249">
        <f t="shared" si="1"/>
        <v>-8.1234555295177889E-3</v>
      </c>
      <c r="F96" s="248" t="s">
        <v>144</v>
      </c>
      <c r="G96" s="256" t="s">
        <v>3</v>
      </c>
      <c r="H96" s="250" t="s">
        <v>23</v>
      </c>
      <c r="I96" s="250" t="s">
        <v>16</v>
      </c>
      <c r="J96" s="212" t="s">
        <v>160</v>
      </c>
    </row>
    <row r="97" spans="1:10" customFormat="1" ht="14.4">
      <c r="A97" s="246" t="s">
        <v>244</v>
      </c>
      <c r="B97" s="209">
        <v>9.7575450000000008E-2</v>
      </c>
      <c r="C97" s="250" t="s">
        <v>20</v>
      </c>
      <c r="D97" s="253">
        <v>1</v>
      </c>
      <c r="E97" s="249">
        <f t="shared" si="1"/>
        <v>9.7575450000000008E-2</v>
      </c>
      <c r="F97" s="248" t="s">
        <v>144</v>
      </c>
      <c r="G97" s="256" t="s">
        <v>3</v>
      </c>
      <c r="H97" s="250" t="s">
        <v>228</v>
      </c>
      <c r="I97" s="250" t="s">
        <v>16</v>
      </c>
      <c r="J97" s="212" t="s">
        <v>160</v>
      </c>
    </row>
    <row r="98" spans="1:10" ht="15" thickBot="1">
      <c r="A98" s="247" t="str">
        <f>B4</f>
        <v>SiC MOSFET Transistor #1</v>
      </c>
      <c r="B98" s="47">
        <v>1</v>
      </c>
      <c r="C98" s="251" t="s">
        <v>9</v>
      </c>
      <c r="D98" s="254">
        <v>1</v>
      </c>
      <c r="E98" s="252">
        <f>B98/D98</f>
        <v>1</v>
      </c>
      <c r="F98" s="251" t="str">
        <f>$B$2</f>
        <v>eFuse_Microchip</v>
      </c>
      <c r="G98" s="257" t="s">
        <v>3</v>
      </c>
      <c r="H98" s="252" t="s">
        <v>5</v>
      </c>
      <c r="I98" s="252" t="s">
        <v>26</v>
      </c>
      <c r="J98" s="214" t="s">
        <v>160</v>
      </c>
    </row>
    <row r="99" spans="1:10" ht="16.2" thickBot="1">
      <c r="A99" s="32"/>
    </row>
    <row r="100" spans="1:10">
      <c r="A100" s="34" t="s">
        <v>1</v>
      </c>
      <c r="B100" s="35" t="s">
        <v>746</v>
      </c>
      <c r="C100" s="36"/>
      <c r="D100" s="37"/>
      <c r="E100" s="37"/>
      <c r="F100" s="37"/>
      <c r="G100" s="37"/>
      <c r="H100" s="36"/>
      <c r="I100" s="35"/>
      <c r="J100" s="38"/>
    </row>
    <row r="101" spans="1:10">
      <c r="A101" s="39" t="s">
        <v>2</v>
      </c>
      <c r="B101" s="40" t="s">
        <v>3</v>
      </c>
      <c r="C101" s="41"/>
      <c r="D101" s="41"/>
      <c r="E101" s="41"/>
      <c r="F101" s="41"/>
      <c r="G101" s="41"/>
      <c r="H101" s="41"/>
      <c r="I101" s="32"/>
      <c r="J101" s="42"/>
    </row>
    <row r="102" spans="1:10">
      <c r="A102" s="39" t="s">
        <v>4</v>
      </c>
      <c r="B102" s="41" t="s">
        <v>5</v>
      </c>
      <c r="C102" s="41"/>
      <c r="D102" s="41"/>
      <c r="E102" s="41"/>
      <c r="F102" s="41"/>
      <c r="G102" s="41"/>
      <c r="H102" s="41"/>
      <c r="I102" s="32"/>
      <c r="J102" s="42"/>
    </row>
    <row r="103" spans="1:10">
      <c r="A103" s="39" t="s">
        <v>6</v>
      </c>
      <c r="B103" s="41">
        <f>1</f>
        <v>1</v>
      </c>
      <c r="C103" s="41"/>
      <c r="D103" s="41"/>
      <c r="E103" s="41"/>
      <c r="F103" s="41"/>
      <c r="G103" s="41"/>
      <c r="H103" s="41"/>
      <c r="I103" s="32"/>
      <c r="J103" s="42"/>
    </row>
    <row r="104" spans="1:10">
      <c r="A104" s="39" t="s">
        <v>7</v>
      </c>
      <c r="B104" s="41" t="s">
        <v>8</v>
      </c>
      <c r="C104" s="41"/>
      <c r="D104" s="41"/>
      <c r="E104" s="41"/>
      <c r="F104" s="41"/>
      <c r="G104" s="41"/>
      <c r="H104" s="41"/>
      <c r="I104" s="32"/>
      <c r="J104" s="42"/>
    </row>
    <row r="105" spans="1:10">
      <c r="A105" s="39" t="s">
        <v>9</v>
      </c>
      <c r="B105" s="41" t="s">
        <v>9</v>
      </c>
      <c r="C105" s="41"/>
      <c r="D105" s="41"/>
      <c r="E105" s="41"/>
      <c r="F105" s="41"/>
      <c r="G105" s="41"/>
      <c r="H105" s="41"/>
      <c r="I105" s="32"/>
      <c r="J105" s="42"/>
    </row>
    <row r="106" spans="1:10">
      <c r="A106" s="43" t="s">
        <v>10</v>
      </c>
      <c r="B106" s="41"/>
      <c r="C106" s="41"/>
      <c r="D106" s="41"/>
      <c r="E106" s="41"/>
      <c r="F106" s="41"/>
      <c r="G106" s="41"/>
      <c r="H106" s="41"/>
      <c r="I106" s="32"/>
      <c r="J106" s="42"/>
    </row>
    <row r="107" spans="1:10">
      <c r="A107" s="44" t="s">
        <v>11</v>
      </c>
      <c r="B107" s="45" t="s">
        <v>755</v>
      </c>
      <c r="C107" s="45" t="s">
        <v>9</v>
      </c>
      <c r="D107" s="45" t="s">
        <v>754</v>
      </c>
      <c r="E107" s="45" t="s">
        <v>12</v>
      </c>
      <c r="F107" s="45" t="s">
        <v>13</v>
      </c>
      <c r="G107" s="45" t="s">
        <v>14</v>
      </c>
      <c r="H107" s="45" t="s">
        <v>4</v>
      </c>
      <c r="I107" s="45" t="s">
        <v>7</v>
      </c>
      <c r="J107" s="46" t="s">
        <v>148</v>
      </c>
    </row>
    <row r="108" spans="1:10" ht="13.8">
      <c r="A108" s="245" t="s">
        <v>244</v>
      </c>
      <c r="B108" s="208">
        <v>2.0468323314721775</v>
      </c>
      <c r="C108" s="248" t="s">
        <v>20</v>
      </c>
      <c r="D108" s="208">
        <v>1</v>
      </c>
      <c r="E108" s="249">
        <f>D108*B108</f>
        <v>2.0468323314721775</v>
      </c>
      <c r="F108" s="248" t="s">
        <v>144</v>
      </c>
      <c r="G108" s="208" t="s">
        <v>3</v>
      </c>
      <c r="H108" s="248" t="s">
        <v>228</v>
      </c>
      <c r="I108" s="248" t="s">
        <v>16</v>
      </c>
      <c r="J108" s="212" t="s">
        <v>160</v>
      </c>
    </row>
    <row r="109" spans="1:10" ht="13.8">
      <c r="A109" s="245" t="s">
        <v>245</v>
      </c>
      <c r="B109" s="208">
        <v>4.1217676240171983E-3</v>
      </c>
      <c r="C109" s="248" t="s">
        <v>17</v>
      </c>
      <c r="D109" s="208">
        <v>1</v>
      </c>
      <c r="E109" s="249">
        <f t="shared" ref="E109:E172" si="2">D109*B109</f>
        <v>4.1217676240171983E-3</v>
      </c>
      <c r="F109" s="248" t="s">
        <v>144</v>
      </c>
      <c r="G109" s="208" t="s">
        <v>3</v>
      </c>
      <c r="H109" s="248" t="s">
        <v>5</v>
      </c>
      <c r="I109" s="248" t="s">
        <v>16</v>
      </c>
      <c r="J109" s="212" t="s">
        <v>160</v>
      </c>
    </row>
    <row r="110" spans="1:10" ht="13.8">
      <c r="A110" s="245" t="s">
        <v>246</v>
      </c>
      <c r="B110" s="208">
        <v>1.1709567113685223E-2</v>
      </c>
      <c r="C110" s="248" t="s">
        <v>17</v>
      </c>
      <c r="D110" s="208">
        <v>1</v>
      </c>
      <c r="E110" s="249">
        <f t="shared" si="2"/>
        <v>1.1709567113685223E-2</v>
      </c>
      <c r="F110" s="248" t="s">
        <v>144</v>
      </c>
      <c r="G110" s="208" t="s">
        <v>3</v>
      </c>
      <c r="H110" s="248" t="s">
        <v>21</v>
      </c>
      <c r="I110" s="248" t="s">
        <v>16</v>
      </c>
      <c r="J110" s="212" t="s">
        <v>160</v>
      </c>
    </row>
    <row r="111" spans="1:10" ht="13.8">
      <c r="A111" s="245" t="s">
        <v>244</v>
      </c>
      <c r="B111" s="208">
        <v>3.3489361945139733E-2</v>
      </c>
      <c r="C111" s="248" t="s">
        <v>20</v>
      </c>
      <c r="D111" s="208">
        <v>1</v>
      </c>
      <c r="E111" s="249">
        <f t="shared" si="2"/>
        <v>3.3489361945139733E-2</v>
      </c>
      <c r="F111" s="248" t="s">
        <v>144</v>
      </c>
      <c r="G111" s="208" t="s">
        <v>3</v>
      </c>
      <c r="H111" s="248" t="s">
        <v>228</v>
      </c>
      <c r="I111" s="248" t="s">
        <v>16</v>
      </c>
      <c r="J111" s="212" t="s">
        <v>160</v>
      </c>
    </row>
    <row r="112" spans="1:10" ht="13.8">
      <c r="A112" s="245" t="s">
        <v>247</v>
      </c>
      <c r="B112" s="208">
        <v>4.3402213080901097E-5</v>
      </c>
      <c r="C112" s="248" t="s">
        <v>17</v>
      </c>
      <c r="D112" s="208">
        <v>1</v>
      </c>
      <c r="E112" s="249">
        <f t="shared" si="2"/>
        <v>4.3402213080901097E-5</v>
      </c>
      <c r="F112" s="248" t="s">
        <v>144</v>
      </c>
      <c r="G112" s="208" t="s">
        <v>3</v>
      </c>
      <c r="H112" s="248" t="s">
        <v>5</v>
      </c>
      <c r="I112" s="248" t="s">
        <v>16</v>
      </c>
      <c r="J112" s="212" t="s">
        <v>160</v>
      </c>
    </row>
    <row r="113" spans="1:10" ht="13.8">
      <c r="A113" s="245" t="s">
        <v>248</v>
      </c>
      <c r="B113" s="208">
        <v>6.0576227673607652E-5</v>
      </c>
      <c r="C113" s="248" t="s">
        <v>17</v>
      </c>
      <c r="D113" s="208">
        <v>1</v>
      </c>
      <c r="E113" s="249">
        <f t="shared" si="2"/>
        <v>6.0576227673607652E-5</v>
      </c>
      <c r="F113" s="248" t="s">
        <v>144</v>
      </c>
      <c r="G113" s="208" t="s">
        <v>3</v>
      </c>
      <c r="H113" s="248" t="s">
        <v>5</v>
      </c>
      <c r="I113" s="248" t="s">
        <v>16</v>
      </c>
      <c r="J113" s="212" t="s">
        <v>160</v>
      </c>
    </row>
    <row r="114" spans="1:10" ht="13.8">
      <c r="A114" s="245" t="s">
        <v>249</v>
      </c>
      <c r="B114" s="208">
        <v>6.0280851501251527E-5</v>
      </c>
      <c r="C114" s="248" t="s">
        <v>17</v>
      </c>
      <c r="D114" s="208">
        <v>1</v>
      </c>
      <c r="E114" s="249">
        <f t="shared" si="2"/>
        <v>6.0280851501251527E-5</v>
      </c>
      <c r="F114" s="248" t="s">
        <v>144</v>
      </c>
      <c r="G114" s="208" t="s">
        <v>3</v>
      </c>
      <c r="H114" s="248" t="s">
        <v>5</v>
      </c>
      <c r="I114" s="248" t="s">
        <v>16</v>
      </c>
      <c r="J114" s="212" t="s">
        <v>160</v>
      </c>
    </row>
    <row r="115" spans="1:10" ht="13.8">
      <c r="A115" s="245" t="s">
        <v>246</v>
      </c>
      <c r="B115" s="208">
        <v>8.3723404862849355E-4</v>
      </c>
      <c r="C115" s="248" t="s">
        <v>17</v>
      </c>
      <c r="D115" s="208">
        <v>1</v>
      </c>
      <c r="E115" s="249">
        <f t="shared" si="2"/>
        <v>8.3723404862849355E-4</v>
      </c>
      <c r="F115" s="248" t="s">
        <v>144</v>
      </c>
      <c r="G115" s="208" t="s">
        <v>3</v>
      </c>
      <c r="H115" s="248" t="s">
        <v>21</v>
      </c>
      <c r="I115" s="248" t="s">
        <v>16</v>
      </c>
      <c r="J115" s="212" t="s">
        <v>160</v>
      </c>
    </row>
    <row r="116" spans="1:10" ht="13.8">
      <c r="A116" s="245" t="s">
        <v>244</v>
      </c>
      <c r="B116" s="208">
        <v>1.9784484595282551E-3</v>
      </c>
      <c r="C116" s="248" t="s">
        <v>20</v>
      </c>
      <c r="D116" s="208">
        <v>1</v>
      </c>
      <c r="E116" s="249">
        <f t="shared" si="2"/>
        <v>1.9784484595282551E-3</v>
      </c>
      <c r="F116" s="248" t="s">
        <v>144</v>
      </c>
      <c r="G116" s="208" t="s">
        <v>3</v>
      </c>
      <c r="H116" s="248" t="s">
        <v>228</v>
      </c>
      <c r="I116" s="248" t="s">
        <v>16</v>
      </c>
      <c r="J116" s="212" t="s">
        <v>160</v>
      </c>
    </row>
    <row r="117" spans="1:10" ht="13.8">
      <c r="A117" s="245" t="s">
        <v>250</v>
      </c>
      <c r="B117" s="208">
        <v>4.1217676240171982E-4</v>
      </c>
      <c r="C117" s="248" t="s">
        <v>17</v>
      </c>
      <c r="D117" s="208">
        <v>1</v>
      </c>
      <c r="E117" s="249">
        <f t="shared" si="2"/>
        <v>4.1217676240171982E-4</v>
      </c>
      <c r="F117" s="248" t="s">
        <v>144</v>
      </c>
      <c r="G117" s="208" t="s">
        <v>3</v>
      </c>
      <c r="H117" s="248" t="s">
        <v>21</v>
      </c>
      <c r="I117" s="248" t="s">
        <v>16</v>
      </c>
      <c r="J117" s="212" t="s">
        <v>160</v>
      </c>
    </row>
    <row r="118" spans="1:10" ht="13.8">
      <c r="A118" s="245" t="s">
        <v>251</v>
      </c>
      <c r="B118" s="208">
        <v>2.6002465468085646E-3</v>
      </c>
      <c r="C118" s="248" t="s">
        <v>17</v>
      </c>
      <c r="D118" s="208">
        <v>1</v>
      </c>
      <c r="E118" s="249">
        <f t="shared" si="2"/>
        <v>2.6002465468085646E-3</v>
      </c>
      <c r="F118" s="248" t="s">
        <v>144</v>
      </c>
      <c r="G118" s="208" t="s">
        <v>3</v>
      </c>
      <c r="H118" s="248" t="s">
        <v>21</v>
      </c>
      <c r="I118" s="248" t="s">
        <v>16</v>
      </c>
      <c r="J118" s="212" t="s">
        <v>160</v>
      </c>
    </row>
    <row r="119" spans="1:10" ht="13.8">
      <c r="A119" s="245" t="s">
        <v>252</v>
      </c>
      <c r="B119" s="208">
        <v>8.6074284468404885E-3</v>
      </c>
      <c r="C119" s="248" t="s">
        <v>17</v>
      </c>
      <c r="D119" s="208">
        <v>1</v>
      </c>
      <c r="E119" s="249">
        <f t="shared" si="2"/>
        <v>8.6074284468404885E-3</v>
      </c>
      <c r="F119" s="248" t="s">
        <v>144</v>
      </c>
      <c r="G119" s="208" t="s">
        <v>3</v>
      </c>
      <c r="H119" s="248" t="s">
        <v>21</v>
      </c>
      <c r="I119" s="248" t="s">
        <v>16</v>
      </c>
      <c r="J119" s="212" t="s">
        <v>160</v>
      </c>
    </row>
    <row r="120" spans="1:10" ht="13.8">
      <c r="A120" s="245" t="s">
        <v>253</v>
      </c>
      <c r="B120" s="208">
        <v>3.3739612122312213E-3</v>
      </c>
      <c r="C120" s="248" t="s">
        <v>17</v>
      </c>
      <c r="D120" s="208">
        <v>1</v>
      </c>
      <c r="E120" s="249">
        <f t="shared" si="2"/>
        <v>3.3739612122312213E-3</v>
      </c>
      <c r="F120" s="248" t="s">
        <v>144</v>
      </c>
      <c r="G120" s="208" t="s">
        <v>3</v>
      </c>
      <c r="H120" s="248" t="s">
        <v>21</v>
      </c>
      <c r="I120" s="248" t="s">
        <v>16</v>
      </c>
      <c r="J120" s="212" t="s">
        <v>160</v>
      </c>
    </row>
    <row r="121" spans="1:10" ht="13.8">
      <c r="A121" s="245" t="s">
        <v>246</v>
      </c>
      <c r="B121" s="208">
        <v>3.6477643472552205E-4</v>
      </c>
      <c r="C121" s="248" t="s">
        <v>17</v>
      </c>
      <c r="D121" s="208">
        <v>1</v>
      </c>
      <c r="E121" s="249">
        <f t="shared" si="2"/>
        <v>3.6477643472552205E-4</v>
      </c>
      <c r="F121" s="248" t="s">
        <v>144</v>
      </c>
      <c r="G121" s="208" t="s">
        <v>3</v>
      </c>
      <c r="H121" s="248" t="s">
        <v>21</v>
      </c>
      <c r="I121" s="248" t="s">
        <v>16</v>
      </c>
      <c r="J121" s="212" t="s">
        <v>160</v>
      </c>
    </row>
    <row r="122" spans="1:10" ht="13.8">
      <c r="A122" s="245" t="s">
        <v>254</v>
      </c>
      <c r="B122" s="208">
        <v>0.12697929519309786</v>
      </c>
      <c r="C122" s="248" t="s">
        <v>17</v>
      </c>
      <c r="D122" s="208">
        <v>1</v>
      </c>
      <c r="E122" s="249">
        <f t="shared" si="2"/>
        <v>0.12697929519309786</v>
      </c>
      <c r="F122" s="248" t="s">
        <v>144</v>
      </c>
      <c r="G122" s="208" t="s">
        <v>3</v>
      </c>
      <c r="H122" s="248" t="s">
        <v>21</v>
      </c>
      <c r="I122" s="248" t="s">
        <v>16</v>
      </c>
      <c r="J122" s="212" t="s">
        <v>160</v>
      </c>
    </row>
    <row r="123" spans="1:10" ht="13.8">
      <c r="A123" s="245" t="s">
        <v>244</v>
      </c>
      <c r="B123" s="208">
        <v>0.11540949347248157</v>
      </c>
      <c r="C123" s="248" t="s">
        <v>20</v>
      </c>
      <c r="D123" s="208">
        <v>1</v>
      </c>
      <c r="E123" s="249">
        <f t="shared" si="2"/>
        <v>0.11540949347248157</v>
      </c>
      <c r="F123" s="248" t="s">
        <v>144</v>
      </c>
      <c r="G123" s="208" t="s">
        <v>3</v>
      </c>
      <c r="H123" s="248" t="s">
        <v>228</v>
      </c>
      <c r="I123" s="248" t="s">
        <v>16</v>
      </c>
      <c r="J123" s="212" t="s">
        <v>160</v>
      </c>
    </row>
    <row r="124" spans="1:10" ht="13.8">
      <c r="A124" s="245" t="s">
        <v>255</v>
      </c>
      <c r="B124" s="208">
        <v>1.0070092639341899E-4</v>
      </c>
      <c r="C124" s="248" t="s">
        <v>17</v>
      </c>
      <c r="D124" s="208">
        <v>1</v>
      </c>
      <c r="E124" s="249">
        <f t="shared" si="2"/>
        <v>1.0070092639341899E-4</v>
      </c>
      <c r="F124" s="248" t="s">
        <v>144</v>
      </c>
      <c r="G124" s="208" t="s">
        <v>3</v>
      </c>
      <c r="H124" s="248" t="s">
        <v>5</v>
      </c>
      <c r="I124" s="248" t="s">
        <v>16</v>
      </c>
      <c r="J124" s="212" t="s">
        <v>160</v>
      </c>
    </row>
    <row r="125" spans="1:10" ht="13.8">
      <c r="A125" s="245" t="s">
        <v>256</v>
      </c>
      <c r="B125" s="208">
        <v>1.6303959511315458E-4</v>
      </c>
      <c r="C125" s="248" t="s">
        <v>17</v>
      </c>
      <c r="D125" s="208">
        <v>1</v>
      </c>
      <c r="E125" s="249">
        <f t="shared" si="2"/>
        <v>1.6303959511315458E-4</v>
      </c>
      <c r="F125" s="248" t="s">
        <v>144</v>
      </c>
      <c r="G125" s="208" t="s">
        <v>3</v>
      </c>
      <c r="H125" s="248" t="s">
        <v>21</v>
      </c>
      <c r="I125" s="248" t="s">
        <v>16</v>
      </c>
      <c r="J125" s="212" t="s">
        <v>160</v>
      </c>
    </row>
    <row r="126" spans="1:10" ht="13.8">
      <c r="A126" s="245" t="s">
        <v>257</v>
      </c>
      <c r="B126" s="208">
        <v>2.1099241720525885E-4</v>
      </c>
      <c r="C126" s="248" t="s">
        <v>17</v>
      </c>
      <c r="D126" s="208">
        <v>1</v>
      </c>
      <c r="E126" s="249">
        <f t="shared" si="2"/>
        <v>2.1099241720525885E-4</v>
      </c>
      <c r="F126" s="248" t="s">
        <v>144</v>
      </c>
      <c r="G126" s="208" t="s">
        <v>3</v>
      </c>
      <c r="H126" s="248" t="s">
        <v>21</v>
      </c>
      <c r="I126" s="248" t="s">
        <v>16</v>
      </c>
      <c r="J126" s="212" t="s">
        <v>160</v>
      </c>
    </row>
    <row r="127" spans="1:10" ht="13.8">
      <c r="A127" s="245" t="s">
        <v>258</v>
      </c>
      <c r="B127" s="208">
        <v>1.4391838620526721E-5</v>
      </c>
      <c r="C127" s="248" t="s">
        <v>17</v>
      </c>
      <c r="D127" s="208">
        <v>1</v>
      </c>
      <c r="E127" s="249">
        <f t="shared" si="2"/>
        <v>1.4391838620526721E-5</v>
      </c>
      <c r="F127" s="248" t="s">
        <v>144</v>
      </c>
      <c r="G127" s="208" t="s">
        <v>3</v>
      </c>
      <c r="H127" s="248" t="s">
        <v>21</v>
      </c>
      <c r="I127" s="248" t="s">
        <v>16</v>
      </c>
      <c r="J127" s="212" t="s">
        <v>160</v>
      </c>
    </row>
    <row r="128" spans="1:10" ht="13.8">
      <c r="A128" s="245" t="s">
        <v>259</v>
      </c>
      <c r="B128" s="208">
        <v>1.6967943385537466E-5</v>
      </c>
      <c r="C128" s="248" t="s">
        <v>17</v>
      </c>
      <c r="D128" s="208">
        <v>1</v>
      </c>
      <c r="E128" s="249">
        <f t="shared" si="2"/>
        <v>1.6967943385537466E-5</v>
      </c>
      <c r="F128" s="248" t="s">
        <v>144</v>
      </c>
      <c r="G128" s="208" t="s">
        <v>3</v>
      </c>
      <c r="H128" s="248" t="s">
        <v>21</v>
      </c>
      <c r="I128" s="248" t="s">
        <v>16</v>
      </c>
      <c r="J128" s="212" t="s">
        <v>160</v>
      </c>
    </row>
    <row r="129" spans="1:10" ht="13.8">
      <c r="A129" s="245" t="s">
        <v>260</v>
      </c>
      <c r="B129" s="208">
        <v>1.6109241797200549E-5</v>
      </c>
      <c r="C129" s="248" t="s">
        <v>17</v>
      </c>
      <c r="D129" s="208">
        <v>1</v>
      </c>
      <c r="E129" s="249">
        <f t="shared" si="2"/>
        <v>1.6109241797200549E-5</v>
      </c>
      <c r="F129" s="248" t="s">
        <v>144</v>
      </c>
      <c r="G129" s="208" t="s">
        <v>3</v>
      </c>
      <c r="H129" s="248" t="s">
        <v>5</v>
      </c>
      <c r="I129" s="248" t="s">
        <v>16</v>
      </c>
      <c r="J129" s="212" t="s">
        <v>160</v>
      </c>
    </row>
    <row r="130" spans="1:10" ht="13.8">
      <c r="A130" s="245" t="s">
        <v>254</v>
      </c>
      <c r="B130" s="208">
        <v>1.6912986483883907E-3</v>
      </c>
      <c r="C130" s="248" t="s">
        <v>17</v>
      </c>
      <c r="D130" s="208">
        <v>1</v>
      </c>
      <c r="E130" s="249">
        <f t="shared" si="2"/>
        <v>1.6912986483883907E-3</v>
      </c>
      <c r="F130" s="248" t="s">
        <v>144</v>
      </c>
      <c r="G130" s="208" t="s">
        <v>3</v>
      </c>
      <c r="H130" s="248" t="s">
        <v>21</v>
      </c>
      <c r="I130" s="248" t="s">
        <v>16</v>
      </c>
      <c r="J130" s="212" t="s">
        <v>160</v>
      </c>
    </row>
    <row r="131" spans="1:10" ht="13.8">
      <c r="A131" s="245" t="s">
        <v>246</v>
      </c>
      <c r="B131" s="208">
        <v>7.9859247715333218E-3</v>
      </c>
      <c r="C131" s="248" t="s">
        <v>17</v>
      </c>
      <c r="D131" s="208">
        <v>1</v>
      </c>
      <c r="E131" s="249">
        <f t="shared" si="2"/>
        <v>7.9859247715333218E-3</v>
      </c>
      <c r="F131" s="248" t="s">
        <v>144</v>
      </c>
      <c r="G131" s="208" t="s">
        <v>3</v>
      </c>
      <c r="H131" s="248" t="s">
        <v>21</v>
      </c>
      <c r="I131" s="248" t="s">
        <v>16</v>
      </c>
      <c r="J131" s="212" t="s">
        <v>160</v>
      </c>
    </row>
    <row r="132" spans="1:10" ht="13.8">
      <c r="A132" s="245" t="s">
        <v>244</v>
      </c>
      <c r="B132" s="208">
        <v>2.404364447343366E-2</v>
      </c>
      <c r="C132" s="248" t="s">
        <v>20</v>
      </c>
      <c r="D132" s="208">
        <v>1</v>
      </c>
      <c r="E132" s="249">
        <f t="shared" si="2"/>
        <v>2.404364447343366E-2</v>
      </c>
      <c r="F132" s="248" t="s">
        <v>144</v>
      </c>
      <c r="G132" s="208" t="s">
        <v>3</v>
      </c>
      <c r="H132" s="248" t="s">
        <v>228</v>
      </c>
      <c r="I132" s="248" t="s">
        <v>16</v>
      </c>
      <c r="J132" s="212" t="s">
        <v>160</v>
      </c>
    </row>
    <row r="133" spans="1:10" ht="13.8">
      <c r="A133" s="245" t="s">
        <v>244</v>
      </c>
      <c r="B133" s="208">
        <v>8.0145481578112188E-3</v>
      </c>
      <c r="C133" s="248" t="s">
        <v>20</v>
      </c>
      <c r="D133" s="208">
        <v>1</v>
      </c>
      <c r="E133" s="249">
        <f t="shared" si="2"/>
        <v>8.0145481578112188E-3</v>
      </c>
      <c r="F133" s="248" t="s">
        <v>144</v>
      </c>
      <c r="G133" s="208" t="s">
        <v>3</v>
      </c>
      <c r="H133" s="248" t="s">
        <v>228</v>
      </c>
      <c r="I133" s="248" t="s">
        <v>16</v>
      </c>
      <c r="J133" s="212" t="s">
        <v>160</v>
      </c>
    </row>
    <row r="134" spans="1:10" ht="13.8">
      <c r="A134" s="245" t="s">
        <v>261</v>
      </c>
      <c r="B134" s="208">
        <v>5.1573617395515194E-5</v>
      </c>
      <c r="C134" s="248" t="s">
        <v>17</v>
      </c>
      <c r="D134" s="208">
        <v>1</v>
      </c>
      <c r="E134" s="249">
        <f t="shared" si="2"/>
        <v>5.1573617395515194E-5</v>
      </c>
      <c r="F134" s="248" t="s">
        <v>144</v>
      </c>
      <c r="G134" s="208" t="s">
        <v>3</v>
      </c>
      <c r="H134" s="248" t="s">
        <v>21</v>
      </c>
      <c r="I134" s="248" t="s">
        <v>16</v>
      </c>
      <c r="J134" s="212" t="s">
        <v>160</v>
      </c>
    </row>
    <row r="135" spans="1:10" ht="13.8">
      <c r="A135" s="245" t="s">
        <v>246</v>
      </c>
      <c r="B135" s="208">
        <v>4.5081833387688106E-3</v>
      </c>
      <c r="C135" s="248" t="s">
        <v>17</v>
      </c>
      <c r="D135" s="208">
        <v>1</v>
      </c>
      <c r="E135" s="249">
        <f t="shared" si="2"/>
        <v>4.5081833387688106E-3</v>
      </c>
      <c r="F135" s="248" t="s">
        <v>144</v>
      </c>
      <c r="G135" s="208" t="s">
        <v>3</v>
      </c>
      <c r="H135" s="248" t="s">
        <v>21</v>
      </c>
      <c r="I135" s="248" t="s">
        <v>16</v>
      </c>
      <c r="J135" s="212" t="s">
        <v>160</v>
      </c>
    </row>
    <row r="136" spans="1:10" ht="13.8">
      <c r="A136" s="245" t="s">
        <v>244</v>
      </c>
      <c r="B136" s="208">
        <v>2.67151605260374E-3</v>
      </c>
      <c r="C136" s="248" t="s">
        <v>20</v>
      </c>
      <c r="D136" s="208">
        <v>1</v>
      </c>
      <c r="E136" s="249">
        <f t="shared" si="2"/>
        <v>2.67151605260374E-3</v>
      </c>
      <c r="F136" s="248" t="s">
        <v>144</v>
      </c>
      <c r="G136" s="208" t="s">
        <v>3</v>
      </c>
      <c r="H136" s="248" t="s">
        <v>228</v>
      </c>
      <c r="I136" s="248" t="s">
        <v>16</v>
      </c>
      <c r="J136" s="212" t="s">
        <v>160</v>
      </c>
    </row>
    <row r="137" spans="1:10" ht="13.8">
      <c r="A137" s="245" t="s">
        <v>246</v>
      </c>
      <c r="B137" s="208">
        <v>1.5147496018263205E-3</v>
      </c>
      <c r="C137" s="248" t="s">
        <v>17</v>
      </c>
      <c r="D137" s="208">
        <v>1</v>
      </c>
      <c r="E137" s="249">
        <f t="shared" si="2"/>
        <v>1.5147496018263205E-3</v>
      </c>
      <c r="F137" s="248" t="s">
        <v>144</v>
      </c>
      <c r="G137" s="208" t="s">
        <v>3</v>
      </c>
      <c r="H137" s="248" t="s">
        <v>21</v>
      </c>
      <c r="I137" s="248" t="s">
        <v>16</v>
      </c>
      <c r="J137" s="212" t="s">
        <v>160</v>
      </c>
    </row>
    <row r="138" spans="1:10" ht="13.8">
      <c r="A138" s="245" t="s">
        <v>244</v>
      </c>
      <c r="B138" s="208">
        <v>1.1660251621254431E-3</v>
      </c>
      <c r="C138" s="248" t="s">
        <v>20</v>
      </c>
      <c r="D138" s="208">
        <v>1</v>
      </c>
      <c r="E138" s="249">
        <f t="shared" si="2"/>
        <v>1.1660251621254431E-3</v>
      </c>
      <c r="F138" s="248" t="s">
        <v>144</v>
      </c>
      <c r="G138" s="208" t="s">
        <v>3</v>
      </c>
      <c r="H138" s="248" t="s">
        <v>228</v>
      </c>
      <c r="I138" s="248" t="s">
        <v>16</v>
      </c>
      <c r="J138" s="212" t="s">
        <v>160</v>
      </c>
    </row>
    <row r="139" spans="1:10" ht="13.8">
      <c r="A139" s="245" t="s">
        <v>254</v>
      </c>
      <c r="B139" s="208">
        <v>2.2467443329018167E-2</v>
      </c>
      <c r="C139" s="248" t="s">
        <v>17</v>
      </c>
      <c r="D139" s="208">
        <v>1</v>
      </c>
      <c r="E139" s="249">
        <f t="shared" si="2"/>
        <v>2.2467443329018167E-2</v>
      </c>
      <c r="F139" s="248" t="s">
        <v>144</v>
      </c>
      <c r="G139" s="208" t="s">
        <v>3</v>
      </c>
      <c r="H139" s="248" t="s">
        <v>21</v>
      </c>
      <c r="I139" s="248" t="s">
        <v>16</v>
      </c>
      <c r="J139" s="212" t="s">
        <v>160</v>
      </c>
    </row>
    <row r="140" spans="1:10" ht="13.8">
      <c r="A140" s="245" t="s">
        <v>251</v>
      </c>
      <c r="B140" s="208">
        <v>8.6900600739695942E-4</v>
      </c>
      <c r="C140" s="248" t="s">
        <v>17</v>
      </c>
      <c r="D140" s="208">
        <v>1</v>
      </c>
      <c r="E140" s="249">
        <f t="shared" si="2"/>
        <v>8.6900600739695942E-4</v>
      </c>
      <c r="F140" s="248" t="s">
        <v>144</v>
      </c>
      <c r="G140" s="208" t="s">
        <v>3</v>
      </c>
      <c r="H140" s="248" t="s">
        <v>21</v>
      </c>
      <c r="I140" s="248" t="s">
        <v>16</v>
      </c>
      <c r="J140" s="212" t="s">
        <v>160</v>
      </c>
    </row>
    <row r="141" spans="1:10" ht="13.8">
      <c r="A141" s="245" t="s">
        <v>250</v>
      </c>
      <c r="B141" s="208">
        <v>4.7669994669949246E-3</v>
      </c>
      <c r="C141" s="248" t="s">
        <v>17</v>
      </c>
      <c r="D141" s="208">
        <v>1</v>
      </c>
      <c r="E141" s="249">
        <f t="shared" si="2"/>
        <v>4.7669994669949246E-3</v>
      </c>
      <c r="F141" s="248" t="s">
        <v>144</v>
      </c>
      <c r="G141" s="208" t="s">
        <v>3</v>
      </c>
      <c r="H141" s="248" t="s">
        <v>21</v>
      </c>
      <c r="I141" s="248" t="s">
        <v>16</v>
      </c>
      <c r="J141" s="212" t="s">
        <v>160</v>
      </c>
    </row>
    <row r="142" spans="1:10" ht="13.8">
      <c r="A142" s="245" t="s">
        <v>262</v>
      </c>
      <c r="B142" s="208">
        <v>1.301661986954177E-2</v>
      </c>
      <c r="C142" s="248" t="s">
        <v>17</v>
      </c>
      <c r="D142" s="208">
        <v>1</v>
      </c>
      <c r="E142" s="249">
        <f t="shared" si="2"/>
        <v>1.301661986954177E-2</v>
      </c>
      <c r="F142" s="248" t="s">
        <v>144</v>
      </c>
      <c r="G142" s="208" t="s">
        <v>3</v>
      </c>
      <c r="H142" s="248" t="s">
        <v>23</v>
      </c>
      <c r="I142" s="248" t="s">
        <v>16</v>
      </c>
      <c r="J142" s="212" t="s">
        <v>160</v>
      </c>
    </row>
    <row r="143" spans="1:10" ht="13.8">
      <c r="A143" s="245" t="s">
        <v>263</v>
      </c>
      <c r="B143" s="208">
        <v>3.8767568483264658E-3</v>
      </c>
      <c r="C143" s="248" t="s">
        <v>17</v>
      </c>
      <c r="D143" s="208">
        <v>1</v>
      </c>
      <c r="E143" s="249">
        <f t="shared" si="2"/>
        <v>3.8767568483264658E-3</v>
      </c>
      <c r="F143" s="248" t="s">
        <v>144</v>
      </c>
      <c r="G143" s="208" t="s">
        <v>3</v>
      </c>
      <c r="H143" s="248" t="s">
        <v>5</v>
      </c>
      <c r="I143" s="248" t="s">
        <v>16</v>
      </c>
      <c r="J143" s="212" t="s">
        <v>160</v>
      </c>
    </row>
    <row r="144" spans="1:10" ht="13.8">
      <c r="A144" s="245" t="s">
        <v>264</v>
      </c>
      <c r="B144" s="208">
        <v>3.2031524528700513E-3</v>
      </c>
      <c r="C144" s="248" t="s">
        <v>17</v>
      </c>
      <c r="D144" s="208">
        <v>1</v>
      </c>
      <c r="E144" s="249">
        <f t="shared" si="2"/>
        <v>3.2031524528700513E-3</v>
      </c>
      <c r="F144" s="248" t="s">
        <v>144</v>
      </c>
      <c r="G144" s="208" t="s">
        <v>3</v>
      </c>
      <c r="H144" s="248" t="s">
        <v>5</v>
      </c>
      <c r="I144" s="248" t="s">
        <v>16</v>
      </c>
      <c r="J144" s="212" t="s">
        <v>160</v>
      </c>
    </row>
    <row r="145" spans="1:10" ht="13.8">
      <c r="A145" s="245" t="s">
        <v>246</v>
      </c>
      <c r="B145" s="208">
        <v>3.039803622712684E-4</v>
      </c>
      <c r="C145" s="248" t="s">
        <v>17</v>
      </c>
      <c r="D145" s="208">
        <v>1</v>
      </c>
      <c r="E145" s="249">
        <f t="shared" si="2"/>
        <v>3.039803622712684E-4</v>
      </c>
      <c r="F145" s="248" t="s">
        <v>144</v>
      </c>
      <c r="G145" s="208" t="s">
        <v>3</v>
      </c>
      <c r="H145" s="248" t="s">
        <v>21</v>
      </c>
      <c r="I145" s="248" t="s">
        <v>16</v>
      </c>
      <c r="J145" s="212" t="s">
        <v>160</v>
      </c>
    </row>
    <row r="146" spans="1:10" ht="13.8">
      <c r="A146" s="245" t="s">
        <v>244</v>
      </c>
      <c r="B146" s="208">
        <v>3.6129074235212479E-3</v>
      </c>
      <c r="C146" s="248" t="s">
        <v>20</v>
      </c>
      <c r="D146" s="208">
        <v>1</v>
      </c>
      <c r="E146" s="249">
        <f t="shared" si="2"/>
        <v>3.6129074235212479E-3</v>
      </c>
      <c r="F146" s="248" t="s">
        <v>144</v>
      </c>
      <c r="G146" s="208" t="s">
        <v>3</v>
      </c>
      <c r="H146" s="248" t="s">
        <v>228</v>
      </c>
      <c r="I146" s="248" t="s">
        <v>16</v>
      </c>
      <c r="J146" s="212" t="s">
        <v>160</v>
      </c>
    </row>
    <row r="147" spans="1:10" ht="13.8">
      <c r="A147" s="245" t="s">
        <v>265</v>
      </c>
      <c r="B147" s="208">
        <v>3.2300918946881441E-4</v>
      </c>
      <c r="C147" s="248" t="s">
        <v>17</v>
      </c>
      <c r="D147" s="208">
        <v>1</v>
      </c>
      <c r="E147" s="249">
        <f t="shared" si="2"/>
        <v>3.2300918946881441E-4</v>
      </c>
      <c r="F147" s="248" t="s">
        <v>144</v>
      </c>
      <c r="G147" s="208" t="s">
        <v>3</v>
      </c>
      <c r="H147" s="248" t="s">
        <v>5</v>
      </c>
      <c r="I147" s="248" t="s">
        <v>16</v>
      </c>
      <c r="J147" s="212" t="s">
        <v>160</v>
      </c>
    </row>
    <row r="148" spans="1:10" ht="13.8">
      <c r="A148" s="245" t="s">
        <v>266</v>
      </c>
      <c r="B148" s="208">
        <v>1.4128503466770059E-4</v>
      </c>
      <c r="C148" s="248" t="s">
        <v>17</v>
      </c>
      <c r="D148" s="208">
        <v>1</v>
      </c>
      <c r="E148" s="249">
        <f t="shared" si="2"/>
        <v>1.4128503466770059E-4</v>
      </c>
      <c r="F148" s="248" t="s">
        <v>144</v>
      </c>
      <c r="G148" s="208" t="s">
        <v>3</v>
      </c>
      <c r="H148" s="248" t="s">
        <v>21</v>
      </c>
      <c r="I148" s="248" t="s">
        <v>16</v>
      </c>
      <c r="J148" s="212" t="s">
        <v>160</v>
      </c>
    </row>
    <row r="149" spans="1:10" ht="13.8">
      <c r="A149" s="245" t="s">
        <v>261</v>
      </c>
      <c r="B149" s="208">
        <v>5.8900059347205764E-4</v>
      </c>
      <c r="C149" s="248" t="s">
        <v>17</v>
      </c>
      <c r="D149" s="208">
        <v>1</v>
      </c>
      <c r="E149" s="249">
        <f t="shared" si="2"/>
        <v>5.8900059347205764E-4</v>
      </c>
      <c r="F149" s="248" t="s">
        <v>144</v>
      </c>
      <c r="G149" s="208" t="s">
        <v>3</v>
      </c>
      <c r="H149" s="248" t="s">
        <v>21</v>
      </c>
      <c r="I149" s="248" t="s">
        <v>16</v>
      </c>
      <c r="J149" s="212" t="s">
        <v>160</v>
      </c>
    </row>
    <row r="150" spans="1:10" ht="13.8">
      <c r="A150" s="245" t="s">
        <v>246</v>
      </c>
      <c r="B150" s="208">
        <v>4.2935079416845816E-5</v>
      </c>
      <c r="C150" s="248" t="s">
        <v>17</v>
      </c>
      <c r="D150" s="208">
        <v>1</v>
      </c>
      <c r="E150" s="249">
        <f t="shared" si="2"/>
        <v>4.2935079416845816E-5</v>
      </c>
      <c r="F150" s="248" t="s">
        <v>144</v>
      </c>
      <c r="G150" s="208" t="s">
        <v>3</v>
      </c>
      <c r="H150" s="248" t="s">
        <v>21</v>
      </c>
      <c r="I150" s="248" t="s">
        <v>16</v>
      </c>
      <c r="J150" s="212" t="s">
        <v>160</v>
      </c>
    </row>
    <row r="151" spans="1:10" ht="13.8">
      <c r="A151" s="245" t="s">
        <v>267</v>
      </c>
      <c r="B151" s="208">
        <v>3.0655646703627909E-5</v>
      </c>
      <c r="C151" s="248" t="s">
        <v>17</v>
      </c>
      <c r="D151" s="208">
        <v>1</v>
      </c>
      <c r="E151" s="249">
        <f t="shared" si="2"/>
        <v>3.0655646703627909E-5</v>
      </c>
      <c r="F151" s="248" t="s">
        <v>144</v>
      </c>
      <c r="G151" s="208" t="s">
        <v>3</v>
      </c>
      <c r="H151" s="248" t="s">
        <v>5</v>
      </c>
      <c r="I151" s="248" t="s">
        <v>16</v>
      </c>
      <c r="J151" s="212" t="s">
        <v>160</v>
      </c>
    </row>
    <row r="152" spans="1:10" ht="13.8">
      <c r="A152" s="245" t="s">
        <v>244</v>
      </c>
      <c r="B152" s="208">
        <v>4.1951198219186893E-2</v>
      </c>
      <c r="C152" s="248" t="s">
        <v>20</v>
      </c>
      <c r="D152" s="208">
        <v>1</v>
      </c>
      <c r="E152" s="249">
        <f t="shared" si="2"/>
        <v>4.1951198219186893E-2</v>
      </c>
      <c r="F152" s="248" t="s">
        <v>144</v>
      </c>
      <c r="G152" s="208" t="s">
        <v>3</v>
      </c>
      <c r="H152" s="248" t="s">
        <v>228</v>
      </c>
      <c r="I152" s="248" t="s">
        <v>16</v>
      </c>
      <c r="J152" s="212" t="s">
        <v>160</v>
      </c>
    </row>
    <row r="153" spans="1:10" ht="13.8">
      <c r="A153" s="245" t="s">
        <v>261</v>
      </c>
      <c r="B153" s="208">
        <v>8.6583087240392462E-5</v>
      </c>
      <c r="C153" s="248" t="s">
        <v>17</v>
      </c>
      <c r="D153" s="208">
        <v>1</v>
      </c>
      <c r="E153" s="249">
        <f t="shared" si="2"/>
        <v>8.6583087240392462E-5</v>
      </c>
      <c r="F153" s="248" t="s">
        <v>144</v>
      </c>
      <c r="G153" s="208" t="s">
        <v>3</v>
      </c>
      <c r="H153" s="248" t="s">
        <v>21</v>
      </c>
      <c r="I153" s="248" t="s">
        <v>16</v>
      </c>
      <c r="J153" s="212" t="s">
        <v>160</v>
      </c>
    </row>
    <row r="154" spans="1:10" ht="13.8">
      <c r="A154" s="245" t="s">
        <v>246</v>
      </c>
      <c r="B154" s="208">
        <v>2.7669273401967303E-3</v>
      </c>
      <c r="C154" s="248" t="s">
        <v>17</v>
      </c>
      <c r="D154" s="208">
        <v>1</v>
      </c>
      <c r="E154" s="249">
        <f t="shared" si="2"/>
        <v>2.7669273401967303E-3</v>
      </c>
      <c r="F154" s="248" t="s">
        <v>144</v>
      </c>
      <c r="G154" s="208" t="s">
        <v>3</v>
      </c>
      <c r="H154" s="248" t="s">
        <v>21</v>
      </c>
      <c r="I154" s="248" t="s">
        <v>16</v>
      </c>
      <c r="J154" s="212" t="s">
        <v>160</v>
      </c>
    </row>
    <row r="155" spans="1:10" ht="13.8">
      <c r="A155" s="245" t="s">
        <v>249</v>
      </c>
      <c r="B155" s="208">
        <v>0</v>
      </c>
      <c r="C155" s="248" t="s">
        <v>17</v>
      </c>
      <c r="D155" s="208">
        <v>1</v>
      </c>
      <c r="E155" s="249">
        <f t="shared" si="2"/>
        <v>0</v>
      </c>
      <c r="F155" s="248" t="s">
        <v>144</v>
      </c>
      <c r="G155" s="208" t="s">
        <v>3</v>
      </c>
      <c r="H155" s="248" t="s">
        <v>5</v>
      </c>
      <c r="I155" s="248" t="s">
        <v>16</v>
      </c>
      <c r="J155" s="212" t="s">
        <v>160</v>
      </c>
    </row>
    <row r="156" spans="1:10" ht="13.8">
      <c r="A156" s="245" t="s">
        <v>244</v>
      </c>
      <c r="B156" s="208">
        <v>7.2703401145858909E-2</v>
      </c>
      <c r="C156" s="248" t="s">
        <v>20</v>
      </c>
      <c r="D156" s="208">
        <v>1</v>
      </c>
      <c r="E156" s="249">
        <f t="shared" si="2"/>
        <v>7.2703401145858909E-2</v>
      </c>
      <c r="F156" s="248" t="s">
        <v>144</v>
      </c>
      <c r="G156" s="208" t="s">
        <v>3</v>
      </c>
      <c r="H156" s="248" t="s">
        <v>228</v>
      </c>
      <c r="I156" s="248" t="s">
        <v>16</v>
      </c>
      <c r="J156" s="212" t="s">
        <v>160</v>
      </c>
    </row>
    <row r="157" spans="1:10" ht="13.8">
      <c r="A157" s="245" t="s">
        <v>268</v>
      </c>
      <c r="B157" s="208">
        <v>7.1100491514296678E-5</v>
      </c>
      <c r="C157" s="248" t="s">
        <v>17</v>
      </c>
      <c r="D157" s="208">
        <v>1</v>
      </c>
      <c r="E157" s="249">
        <f t="shared" si="2"/>
        <v>7.1100491514296678E-5</v>
      </c>
      <c r="F157" s="248" t="s">
        <v>144</v>
      </c>
      <c r="G157" s="208" t="s">
        <v>3</v>
      </c>
      <c r="H157" s="248" t="s">
        <v>5</v>
      </c>
      <c r="I157" s="248" t="s">
        <v>16</v>
      </c>
      <c r="J157" s="212" t="s">
        <v>160</v>
      </c>
    </row>
    <row r="158" spans="1:10" ht="13.8">
      <c r="A158" s="245" t="s">
        <v>269</v>
      </c>
      <c r="B158" s="208">
        <v>2.8440196605718671E-4</v>
      </c>
      <c r="C158" s="248" t="s">
        <v>17</v>
      </c>
      <c r="D158" s="208">
        <v>1</v>
      </c>
      <c r="E158" s="249">
        <f t="shared" si="2"/>
        <v>2.8440196605718671E-4</v>
      </c>
      <c r="F158" s="248" t="s">
        <v>144</v>
      </c>
      <c r="G158" s="208" t="s">
        <v>3</v>
      </c>
      <c r="H158" s="248" t="s">
        <v>5</v>
      </c>
      <c r="I158" s="248" t="s">
        <v>16</v>
      </c>
      <c r="J158" s="212" t="s">
        <v>160</v>
      </c>
    </row>
    <row r="159" spans="1:10" ht="13.8">
      <c r="A159" s="245" t="s">
        <v>246</v>
      </c>
      <c r="B159" s="208">
        <v>7.7283142950322469E-3</v>
      </c>
      <c r="C159" s="248" t="s">
        <v>17</v>
      </c>
      <c r="D159" s="208">
        <v>1</v>
      </c>
      <c r="E159" s="249">
        <f t="shared" si="2"/>
        <v>7.7283142950322469E-3</v>
      </c>
      <c r="F159" s="248" t="s">
        <v>144</v>
      </c>
      <c r="G159" s="208" t="s">
        <v>3</v>
      </c>
      <c r="H159" s="248" t="s">
        <v>21</v>
      </c>
      <c r="I159" s="248" t="s">
        <v>16</v>
      </c>
      <c r="J159" s="212" t="s">
        <v>160</v>
      </c>
    </row>
    <row r="160" spans="1:10" ht="13.8">
      <c r="A160" s="245" t="s">
        <v>244</v>
      </c>
      <c r="B160" s="208">
        <v>3.709209216465106E-3</v>
      </c>
      <c r="C160" s="248" t="s">
        <v>20</v>
      </c>
      <c r="D160" s="208">
        <v>1</v>
      </c>
      <c r="E160" s="249">
        <f t="shared" si="2"/>
        <v>3.709209216465106E-3</v>
      </c>
      <c r="F160" s="248" t="s">
        <v>144</v>
      </c>
      <c r="G160" s="208" t="s">
        <v>3</v>
      </c>
      <c r="H160" s="248" t="s">
        <v>228</v>
      </c>
      <c r="I160" s="248" t="s">
        <v>16</v>
      </c>
      <c r="J160" s="212" t="s">
        <v>160</v>
      </c>
    </row>
    <row r="161" spans="1:10" ht="13.8">
      <c r="A161" s="245" t="s">
        <v>270</v>
      </c>
      <c r="B161" s="208">
        <v>0</v>
      </c>
      <c r="C161" s="248" t="s">
        <v>17</v>
      </c>
      <c r="D161" s="208">
        <v>1</v>
      </c>
      <c r="E161" s="249">
        <f t="shared" si="2"/>
        <v>0</v>
      </c>
      <c r="F161" s="248" t="s">
        <v>144</v>
      </c>
      <c r="G161" s="208" t="s">
        <v>3</v>
      </c>
      <c r="H161" s="248" t="s">
        <v>5</v>
      </c>
      <c r="I161" s="248" t="s">
        <v>16</v>
      </c>
      <c r="J161" s="212" t="s">
        <v>160</v>
      </c>
    </row>
    <row r="162" spans="1:10" ht="13.8">
      <c r="A162" s="245" t="s">
        <v>247</v>
      </c>
      <c r="B162" s="208">
        <v>1.3079108846609388E-5</v>
      </c>
      <c r="C162" s="248" t="s">
        <v>17</v>
      </c>
      <c r="D162" s="208">
        <v>1</v>
      </c>
      <c r="E162" s="249">
        <f t="shared" si="2"/>
        <v>1.3079108846609388E-5</v>
      </c>
      <c r="F162" s="248" t="s">
        <v>144</v>
      </c>
      <c r="G162" s="208" t="s">
        <v>3</v>
      </c>
      <c r="H162" s="248" t="s">
        <v>5</v>
      </c>
      <c r="I162" s="248" t="s">
        <v>16</v>
      </c>
      <c r="J162" s="212" t="s">
        <v>160</v>
      </c>
    </row>
    <row r="163" spans="1:10" ht="13.8">
      <c r="A163" s="245" t="s">
        <v>268</v>
      </c>
      <c r="B163" s="208">
        <v>6.2568432532581079E-7</v>
      </c>
      <c r="C163" s="248" t="s">
        <v>17</v>
      </c>
      <c r="D163" s="208">
        <v>1</v>
      </c>
      <c r="E163" s="249">
        <f t="shared" si="2"/>
        <v>6.2568432532581079E-7</v>
      </c>
      <c r="F163" s="248" t="s">
        <v>144</v>
      </c>
      <c r="G163" s="208" t="s">
        <v>3</v>
      </c>
      <c r="H163" s="248" t="s">
        <v>5</v>
      </c>
      <c r="I163" s="248" t="s">
        <v>16</v>
      </c>
      <c r="J163" s="212" t="s">
        <v>160</v>
      </c>
    </row>
    <row r="164" spans="1:10" ht="13.8">
      <c r="A164" s="245" t="s">
        <v>261</v>
      </c>
      <c r="B164" s="208">
        <v>3.3686459865838145E-6</v>
      </c>
      <c r="C164" s="248" t="s">
        <v>17</v>
      </c>
      <c r="D164" s="208">
        <v>1</v>
      </c>
      <c r="E164" s="249">
        <f t="shared" si="2"/>
        <v>3.3686459865838145E-6</v>
      </c>
      <c r="F164" s="248" t="s">
        <v>144</v>
      </c>
      <c r="G164" s="208" t="s">
        <v>3</v>
      </c>
      <c r="H164" s="248" t="s">
        <v>21</v>
      </c>
      <c r="I164" s="248" t="s">
        <v>16</v>
      </c>
      <c r="J164" s="212" t="s">
        <v>160</v>
      </c>
    </row>
    <row r="165" spans="1:10" ht="13.8">
      <c r="A165" s="245" t="s">
        <v>271</v>
      </c>
      <c r="B165" s="208">
        <v>5.5149250809350112E-5</v>
      </c>
      <c r="C165" s="248" t="s">
        <v>17</v>
      </c>
      <c r="D165" s="208">
        <v>1</v>
      </c>
      <c r="E165" s="249">
        <f t="shared" si="2"/>
        <v>5.5149250809350112E-5</v>
      </c>
      <c r="F165" s="248" t="s">
        <v>144</v>
      </c>
      <c r="G165" s="208" t="s">
        <v>3</v>
      </c>
      <c r="H165" s="248" t="s">
        <v>21</v>
      </c>
      <c r="I165" s="248" t="s">
        <v>16</v>
      </c>
      <c r="J165" s="212" t="s">
        <v>160</v>
      </c>
    </row>
    <row r="166" spans="1:10" ht="13.8">
      <c r="A166" s="245" t="s">
        <v>246</v>
      </c>
      <c r="B166" s="208">
        <v>1.0304419060042995E-4</v>
      </c>
      <c r="C166" s="248" t="s">
        <v>17</v>
      </c>
      <c r="D166" s="208">
        <v>1</v>
      </c>
      <c r="E166" s="249">
        <f t="shared" si="2"/>
        <v>1.0304419060042995E-4</v>
      </c>
      <c r="F166" s="248" t="s">
        <v>144</v>
      </c>
      <c r="G166" s="208" t="s">
        <v>3</v>
      </c>
      <c r="H166" s="248" t="s">
        <v>21</v>
      </c>
      <c r="I166" s="248" t="s">
        <v>16</v>
      </c>
      <c r="J166" s="212" t="s">
        <v>160</v>
      </c>
    </row>
    <row r="167" spans="1:10" ht="13.8">
      <c r="A167" s="245" t="s">
        <v>244</v>
      </c>
      <c r="B167" s="208">
        <v>1.5387932462997541E-2</v>
      </c>
      <c r="C167" s="248" t="s">
        <v>20</v>
      </c>
      <c r="D167" s="208">
        <v>1</v>
      </c>
      <c r="E167" s="249">
        <f t="shared" si="2"/>
        <v>1.5387932462997541E-2</v>
      </c>
      <c r="F167" s="248" t="s">
        <v>144</v>
      </c>
      <c r="G167" s="208" t="s">
        <v>3</v>
      </c>
      <c r="H167" s="248" t="s">
        <v>228</v>
      </c>
      <c r="I167" s="248" t="s">
        <v>16</v>
      </c>
      <c r="J167" s="212" t="s">
        <v>160</v>
      </c>
    </row>
    <row r="168" spans="1:10" ht="16.05" customHeight="1">
      <c r="A168" s="245" t="s">
        <v>272</v>
      </c>
      <c r="B168" s="208">
        <v>5.735964641535361E-6</v>
      </c>
      <c r="C168" s="248" t="s">
        <v>17</v>
      </c>
      <c r="D168" s="208">
        <v>1</v>
      </c>
      <c r="E168" s="249">
        <f t="shared" si="2"/>
        <v>5.735964641535361E-6</v>
      </c>
      <c r="F168" s="248" t="s">
        <v>144</v>
      </c>
      <c r="G168" s="208" t="s">
        <v>3</v>
      </c>
      <c r="H168" s="248" t="s">
        <v>23</v>
      </c>
      <c r="I168" s="248" t="s">
        <v>16</v>
      </c>
      <c r="J168" s="212" t="s">
        <v>160</v>
      </c>
    </row>
    <row r="169" spans="1:10" ht="13.8">
      <c r="A169" s="245" t="s">
        <v>273</v>
      </c>
      <c r="B169" s="208">
        <v>1.0925646936257831E-6</v>
      </c>
      <c r="C169" s="248" t="s">
        <v>17</v>
      </c>
      <c r="D169" s="208">
        <v>1</v>
      </c>
      <c r="E169" s="249">
        <f t="shared" si="2"/>
        <v>1.0925646936257831E-6</v>
      </c>
      <c r="F169" s="248" t="s">
        <v>144</v>
      </c>
      <c r="G169" s="208" t="s">
        <v>3</v>
      </c>
      <c r="H169" s="248" t="s">
        <v>5</v>
      </c>
      <c r="I169" s="248" t="s">
        <v>16</v>
      </c>
      <c r="J169" s="212" t="s">
        <v>160</v>
      </c>
    </row>
    <row r="170" spans="1:10" ht="13.8">
      <c r="A170" s="245" t="s">
        <v>271</v>
      </c>
      <c r="B170" s="208">
        <v>2.273154844645485E-5</v>
      </c>
      <c r="C170" s="248" t="s">
        <v>17</v>
      </c>
      <c r="D170" s="208">
        <v>1</v>
      </c>
      <c r="E170" s="249">
        <f t="shared" si="2"/>
        <v>2.273154844645485E-5</v>
      </c>
      <c r="F170" s="248" t="s">
        <v>144</v>
      </c>
      <c r="G170" s="208" t="s">
        <v>3</v>
      </c>
      <c r="H170" s="248" t="s">
        <v>21</v>
      </c>
      <c r="I170" s="248" t="s">
        <v>16</v>
      </c>
      <c r="J170" s="212" t="s">
        <v>160</v>
      </c>
    </row>
    <row r="171" spans="1:10" ht="13.8">
      <c r="A171" s="245" t="s">
        <v>244</v>
      </c>
      <c r="B171" s="208">
        <v>1.4884160864506548E-2</v>
      </c>
      <c r="C171" s="248" t="s">
        <v>20</v>
      </c>
      <c r="D171" s="208">
        <v>1</v>
      </c>
      <c r="E171" s="249">
        <f t="shared" si="2"/>
        <v>1.4884160864506548E-2</v>
      </c>
      <c r="F171" s="248" t="s">
        <v>144</v>
      </c>
      <c r="G171" s="208" t="s">
        <v>3</v>
      </c>
      <c r="H171" s="248" t="s">
        <v>228</v>
      </c>
      <c r="I171" s="248" t="s">
        <v>16</v>
      </c>
      <c r="J171" s="212" t="s">
        <v>160</v>
      </c>
    </row>
    <row r="172" spans="1:10" ht="16.05" customHeight="1">
      <c r="A172" s="245" t="s">
        <v>274</v>
      </c>
      <c r="B172" s="208">
        <v>3.695788092284551E-4</v>
      </c>
      <c r="C172" s="248" t="s">
        <v>17</v>
      </c>
      <c r="D172" s="208">
        <v>1</v>
      </c>
      <c r="E172" s="249">
        <f t="shared" si="2"/>
        <v>3.695788092284551E-4</v>
      </c>
      <c r="F172" s="248" t="s">
        <v>144</v>
      </c>
      <c r="G172" s="208" t="s">
        <v>3</v>
      </c>
      <c r="H172" s="248" t="s">
        <v>5</v>
      </c>
      <c r="I172" s="248" t="s">
        <v>16</v>
      </c>
      <c r="J172" s="212" t="s">
        <v>160</v>
      </c>
    </row>
    <row r="173" spans="1:10" ht="13.8">
      <c r="A173" s="245" t="s">
        <v>252</v>
      </c>
      <c r="B173" s="208">
        <v>3.0238266209600874E-4</v>
      </c>
      <c r="C173" s="248" t="s">
        <v>17</v>
      </c>
      <c r="D173" s="208">
        <v>1</v>
      </c>
      <c r="E173" s="249">
        <f t="shared" ref="E173:E193" si="3">D173*B173</f>
        <v>3.0238266209600874E-4</v>
      </c>
      <c r="F173" s="248" t="s">
        <v>144</v>
      </c>
      <c r="G173" s="208" t="s">
        <v>3</v>
      </c>
      <c r="H173" s="248" t="s">
        <v>21</v>
      </c>
      <c r="I173" s="248" t="s">
        <v>16</v>
      </c>
      <c r="J173" s="212" t="s">
        <v>160</v>
      </c>
    </row>
    <row r="174" spans="1:10" ht="14.4">
      <c r="A174" s="246" t="s">
        <v>254</v>
      </c>
      <c r="B174" s="213">
        <v>3.0238266209600874E-4</v>
      </c>
      <c r="C174" s="250" t="s">
        <v>17</v>
      </c>
      <c r="D174" s="208">
        <v>1</v>
      </c>
      <c r="E174" s="249">
        <f t="shared" si="3"/>
        <v>3.0238266209600874E-4</v>
      </c>
      <c r="F174" s="248" t="s">
        <v>144</v>
      </c>
      <c r="G174" s="210" t="s">
        <v>3</v>
      </c>
      <c r="H174" s="250" t="s">
        <v>21</v>
      </c>
      <c r="I174" s="250" t="s">
        <v>16</v>
      </c>
      <c r="J174" s="212" t="s">
        <v>160</v>
      </c>
    </row>
    <row r="175" spans="1:10" ht="16.05" customHeight="1">
      <c r="A175" s="246" t="s">
        <v>254</v>
      </c>
      <c r="B175" s="213">
        <v>7.7275569202313365E-3</v>
      </c>
      <c r="C175" s="250" t="s">
        <v>17</v>
      </c>
      <c r="D175" s="208">
        <v>1</v>
      </c>
      <c r="E175" s="249">
        <f t="shared" si="3"/>
        <v>7.7275569202313365E-3</v>
      </c>
      <c r="F175" s="248" t="s">
        <v>144</v>
      </c>
      <c r="G175" s="210" t="s">
        <v>3</v>
      </c>
      <c r="H175" s="250" t="s">
        <v>21</v>
      </c>
      <c r="I175" s="250" t="s">
        <v>16</v>
      </c>
      <c r="J175" s="212" t="s">
        <v>160</v>
      </c>
    </row>
    <row r="176" spans="1:10" ht="14.4">
      <c r="A176" s="246" t="s">
        <v>244</v>
      </c>
      <c r="B176" s="213">
        <v>0.7728314295032247</v>
      </c>
      <c r="C176" s="250" t="s">
        <v>20</v>
      </c>
      <c r="D176" s="208">
        <v>1</v>
      </c>
      <c r="E176" s="249">
        <f t="shared" si="3"/>
        <v>0.7728314295032247</v>
      </c>
      <c r="F176" s="248" t="s">
        <v>144</v>
      </c>
      <c r="G176" s="210" t="s">
        <v>3</v>
      </c>
      <c r="H176" s="250" t="s">
        <v>228</v>
      </c>
      <c r="I176" s="250" t="s">
        <v>16</v>
      </c>
      <c r="J176" s="212" t="s">
        <v>160</v>
      </c>
    </row>
    <row r="177" spans="1:10" ht="14.4">
      <c r="A177" s="246" t="s">
        <v>254</v>
      </c>
      <c r="B177" s="213">
        <v>1.0584292170315769E-2</v>
      </c>
      <c r="C177" s="250" t="s">
        <v>17</v>
      </c>
      <c r="D177" s="208">
        <v>1</v>
      </c>
      <c r="E177" s="249">
        <f t="shared" si="3"/>
        <v>1.0584292170315769E-2</v>
      </c>
      <c r="F177" s="248" t="s">
        <v>144</v>
      </c>
      <c r="G177" s="210" t="s">
        <v>3</v>
      </c>
      <c r="H177" s="250" t="s">
        <v>21</v>
      </c>
      <c r="I177" s="250" t="s">
        <v>16</v>
      </c>
      <c r="J177" s="212" t="s">
        <v>160</v>
      </c>
    </row>
    <row r="178" spans="1:10" ht="14.4">
      <c r="A178" s="246" t="s">
        <v>244</v>
      </c>
      <c r="B178" s="213">
        <v>0.91594836089271059</v>
      </c>
      <c r="C178" s="250" t="s">
        <v>20</v>
      </c>
      <c r="D178" s="208">
        <v>1</v>
      </c>
      <c r="E178" s="249">
        <f t="shared" si="3"/>
        <v>0.91594836089271059</v>
      </c>
      <c r="F178" s="248" t="s">
        <v>144</v>
      </c>
      <c r="G178" s="210" t="s">
        <v>3</v>
      </c>
      <c r="H178" s="250" t="s">
        <v>228</v>
      </c>
      <c r="I178" s="250" t="s">
        <v>16</v>
      </c>
      <c r="J178" s="212" t="s">
        <v>160</v>
      </c>
    </row>
    <row r="179" spans="1:10" ht="14.4">
      <c r="A179" s="246" t="s">
        <v>254</v>
      </c>
      <c r="B179" s="213">
        <v>6.5161798599653849E-3</v>
      </c>
      <c r="C179" s="250" t="s">
        <v>17</v>
      </c>
      <c r="D179" s="208">
        <v>1</v>
      </c>
      <c r="E179" s="249">
        <f t="shared" si="3"/>
        <v>6.5161798599653849E-3</v>
      </c>
      <c r="F179" s="248" t="s">
        <v>144</v>
      </c>
      <c r="G179" s="210" t="s">
        <v>3</v>
      </c>
      <c r="H179" s="250" t="s">
        <v>21</v>
      </c>
      <c r="I179" s="250" t="s">
        <v>16</v>
      </c>
      <c r="J179" s="212" t="s">
        <v>160</v>
      </c>
    </row>
    <row r="180" spans="1:10" ht="14.4">
      <c r="A180" s="246" t="s">
        <v>275</v>
      </c>
      <c r="B180" s="213">
        <v>0.48072898556279831</v>
      </c>
      <c r="C180" s="250" t="s">
        <v>17</v>
      </c>
      <c r="D180" s="208">
        <v>1</v>
      </c>
      <c r="E180" s="249">
        <f t="shared" si="3"/>
        <v>0.48072898556279831</v>
      </c>
      <c r="F180" s="248" t="s">
        <v>144</v>
      </c>
      <c r="G180" s="210" t="s">
        <v>3</v>
      </c>
      <c r="H180" s="250" t="s">
        <v>5</v>
      </c>
      <c r="I180" s="250" t="s">
        <v>16</v>
      </c>
      <c r="J180" s="212" t="s">
        <v>160</v>
      </c>
    </row>
    <row r="181" spans="1:10" ht="14.4">
      <c r="A181" s="246" t="s">
        <v>276</v>
      </c>
      <c r="B181" s="213">
        <v>4.355687566159786E-5</v>
      </c>
      <c r="C181" s="250" t="s">
        <v>17</v>
      </c>
      <c r="D181" s="208">
        <v>1</v>
      </c>
      <c r="E181" s="249">
        <f t="shared" si="3"/>
        <v>4.355687566159786E-5</v>
      </c>
      <c r="F181" s="248" t="s">
        <v>144</v>
      </c>
      <c r="G181" s="210" t="s">
        <v>3</v>
      </c>
      <c r="H181" s="250" t="s">
        <v>21</v>
      </c>
      <c r="I181" s="250" t="s">
        <v>16</v>
      </c>
      <c r="J181" s="212" t="s">
        <v>160</v>
      </c>
    </row>
    <row r="182" spans="1:10" ht="14.4">
      <c r="A182" s="246" t="s">
        <v>277</v>
      </c>
      <c r="B182" s="213">
        <v>1.3735799129917452E-6</v>
      </c>
      <c r="C182" s="250" t="s">
        <v>17</v>
      </c>
      <c r="D182" s="208">
        <v>1</v>
      </c>
      <c r="E182" s="249">
        <f t="shared" si="3"/>
        <v>1.3735799129917452E-6</v>
      </c>
      <c r="F182" s="248" t="s">
        <v>144</v>
      </c>
      <c r="G182" s="210" t="s">
        <v>3</v>
      </c>
      <c r="H182" s="250" t="s">
        <v>283</v>
      </c>
      <c r="I182" s="250" t="s">
        <v>16</v>
      </c>
      <c r="J182" s="212" t="s">
        <v>160</v>
      </c>
    </row>
    <row r="183" spans="1:10" ht="14.4">
      <c r="A183" s="246" t="s">
        <v>244</v>
      </c>
      <c r="B183" s="213">
        <v>4.355687566159786E-5</v>
      </c>
      <c r="C183" s="250" t="s">
        <v>20</v>
      </c>
      <c r="D183" s="208">
        <v>1</v>
      </c>
      <c r="E183" s="249">
        <f t="shared" si="3"/>
        <v>4.355687566159786E-5</v>
      </c>
      <c r="F183" s="248" t="s">
        <v>144</v>
      </c>
      <c r="G183" s="210" t="s">
        <v>3</v>
      </c>
      <c r="H183" s="250" t="s">
        <v>228</v>
      </c>
      <c r="I183" s="250" t="s">
        <v>16</v>
      </c>
      <c r="J183" s="212" t="s">
        <v>160</v>
      </c>
    </row>
    <row r="184" spans="1:10" ht="14.4">
      <c r="A184" s="246" t="s">
        <v>244</v>
      </c>
      <c r="B184" s="213">
        <v>0.20708891267804588</v>
      </c>
      <c r="C184" s="250" t="s">
        <v>20</v>
      </c>
      <c r="D184" s="208">
        <v>1</v>
      </c>
      <c r="E184" s="249">
        <f t="shared" si="3"/>
        <v>0.20708891267804588</v>
      </c>
      <c r="F184" s="248" t="s">
        <v>144</v>
      </c>
      <c r="G184" s="210" t="s">
        <v>3</v>
      </c>
      <c r="H184" s="250" t="s">
        <v>228</v>
      </c>
      <c r="I184" s="250" t="s">
        <v>16</v>
      </c>
      <c r="J184" s="212" t="s">
        <v>160</v>
      </c>
    </row>
    <row r="185" spans="1:10" ht="14.4">
      <c r="A185" s="246" t="s">
        <v>244</v>
      </c>
      <c r="B185" s="213">
        <v>0.21929727744655431</v>
      </c>
      <c r="C185" s="250" t="s">
        <v>20</v>
      </c>
      <c r="D185" s="208">
        <v>1</v>
      </c>
      <c r="E185" s="249">
        <f t="shared" si="3"/>
        <v>0.21929727744655431</v>
      </c>
      <c r="F185" s="248" t="s">
        <v>144</v>
      </c>
      <c r="G185" s="210" t="s">
        <v>3</v>
      </c>
      <c r="H185" s="250" t="s">
        <v>228</v>
      </c>
      <c r="I185" s="250" t="s">
        <v>16</v>
      </c>
      <c r="J185" s="212" t="s">
        <v>160</v>
      </c>
    </row>
    <row r="186" spans="1:10" ht="14.4">
      <c r="A186" s="246" t="s">
        <v>244</v>
      </c>
      <c r="B186" s="213">
        <v>0.80870532959999997</v>
      </c>
      <c r="C186" s="250" t="s">
        <v>20</v>
      </c>
      <c r="D186" s="208">
        <v>1</v>
      </c>
      <c r="E186" s="249">
        <f t="shared" si="3"/>
        <v>0.80870532959999997</v>
      </c>
      <c r="F186" s="248" t="s">
        <v>144</v>
      </c>
      <c r="G186" s="210" t="s">
        <v>3</v>
      </c>
      <c r="H186" s="250" t="s">
        <v>228</v>
      </c>
      <c r="I186" s="250" t="s">
        <v>16</v>
      </c>
      <c r="J186" s="212" t="s">
        <v>160</v>
      </c>
    </row>
    <row r="187" spans="1:10" ht="14.4">
      <c r="A187" s="246" t="s">
        <v>278</v>
      </c>
      <c r="B187" s="213">
        <v>3.9030179999999996E-7</v>
      </c>
      <c r="C187" s="250" t="s">
        <v>17</v>
      </c>
      <c r="D187" s="208">
        <v>1</v>
      </c>
      <c r="E187" s="249">
        <f t="shared" si="3"/>
        <v>3.9030179999999996E-7</v>
      </c>
      <c r="F187" s="248" t="s">
        <v>144</v>
      </c>
      <c r="G187" s="210" t="s">
        <v>3</v>
      </c>
      <c r="H187" s="250" t="s">
        <v>21</v>
      </c>
      <c r="I187" s="250" t="s">
        <v>16</v>
      </c>
      <c r="J187" s="212" t="s">
        <v>160</v>
      </c>
    </row>
    <row r="188" spans="1:10" ht="14.4">
      <c r="A188" s="246" t="s">
        <v>279</v>
      </c>
      <c r="B188" s="213">
        <v>9.7408508634092547E-2</v>
      </c>
      <c r="C188" s="250" t="s">
        <v>17</v>
      </c>
      <c r="D188" s="208">
        <v>1</v>
      </c>
      <c r="E188" s="249">
        <f t="shared" si="3"/>
        <v>9.7408508634092547E-2</v>
      </c>
      <c r="F188" s="248" t="s">
        <v>144</v>
      </c>
      <c r="G188" s="210" t="s">
        <v>3</v>
      </c>
      <c r="H188" s="250" t="s">
        <v>5</v>
      </c>
      <c r="I188" s="250" t="s">
        <v>16</v>
      </c>
      <c r="J188" s="212" t="s">
        <v>160</v>
      </c>
    </row>
    <row r="189" spans="1:10" ht="14.4">
      <c r="A189" s="246" t="s">
        <v>278</v>
      </c>
      <c r="B189" s="213">
        <v>-4.3656365263537575E-3</v>
      </c>
      <c r="C189" s="250" t="s">
        <v>17</v>
      </c>
      <c r="D189" s="208">
        <v>1</v>
      </c>
      <c r="E189" s="249">
        <f t="shared" si="3"/>
        <v>-4.3656365263537575E-3</v>
      </c>
      <c r="F189" s="248" t="s">
        <v>144</v>
      </c>
      <c r="G189" s="210" t="s">
        <v>3</v>
      </c>
      <c r="H189" s="250" t="s">
        <v>21</v>
      </c>
      <c r="I189" s="250" t="s">
        <v>16</v>
      </c>
      <c r="J189" s="212" t="s">
        <v>160</v>
      </c>
    </row>
    <row r="190" spans="1:10" ht="14.4">
      <c r="A190" s="246" t="s">
        <v>244</v>
      </c>
      <c r="B190" s="213">
        <v>0.37000610640000003</v>
      </c>
      <c r="C190" s="250" t="s">
        <v>20</v>
      </c>
      <c r="D190" s="208">
        <v>1</v>
      </c>
      <c r="E190" s="249">
        <f t="shared" si="3"/>
        <v>0.37000610640000003</v>
      </c>
      <c r="F190" s="248" t="s">
        <v>144</v>
      </c>
      <c r="G190" s="210" t="s">
        <v>3</v>
      </c>
      <c r="H190" s="250" t="s">
        <v>228</v>
      </c>
      <c r="I190" s="250" t="s">
        <v>16</v>
      </c>
      <c r="J190" s="212" t="s">
        <v>160</v>
      </c>
    </row>
    <row r="191" spans="1:10" ht="14.4">
      <c r="A191" s="246" t="s">
        <v>280</v>
      </c>
      <c r="B191" s="213">
        <v>4.2032693687040005E-4</v>
      </c>
      <c r="C191" s="250" t="s">
        <v>281</v>
      </c>
      <c r="D191" s="208">
        <v>1</v>
      </c>
      <c r="E191" s="249">
        <f t="shared" si="3"/>
        <v>4.2032693687040005E-4</v>
      </c>
      <c r="F191" s="248" t="s">
        <v>144</v>
      </c>
      <c r="G191" s="210" t="s">
        <v>3</v>
      </c>
      <c r="H191" s="250" t="s">
        <v>23</v>
      </c>
      <c r="I191" s="250" t="s">
        <v>16</v>
      </c>
      <c r="J191" s="212" t="s">
        <v>160</v>
      </c>
    </row>
    <row r="192" spans="1:10" ht="14.4">
      <c r="A192" s="246" t="s">
        <v>282</v>
      </c>
      <c r="B192" s="213">
        <v>-8.1234555295177889E-3</v>
      </c>
      <c r="C192" s="250" t="s">
        <v>281</v>
      </c>
      <c r="D192" s="208">
        <v>1</v>
      </c>
      <c r="E192" s="249">
        <f t="shared" si="3"/>
        <v>-8.1234555295177889E-3</v>
      </c>
      <c r="F192" s="248" t="s">
        <v>144</v>
      </c>
      <c r="G192" s="210" t="s">
        <v>3</v>
      </c>
      <c r="H192" s="250" t="s">
        <v>23</v>
      </c>
      <c r="I192" s="250" t="s">
        <v>16</v>
      </c>
      <c r="J192" s="212" t="s">
        <v>160</v>
      </c>
    </row>
    <row r="193" spans="1:10" ht="14.4">
      <c r="A193" s="246" t="s">
        <v>244</v>
      </c>
      <c r="B193" s="213">
        <v>9.7575450000000008E-2</v>
      </c>
      <c r="C193" s="250" t="s">
        <v>20</v>
      </c>
      <c r="D193" s="208">
        <v>1</v>
      </c>
      <c r="E193" s="249">
        <f t="shared" si="3"/>
        <v>9.7575450000000008E-2</v>
      </c>
      <c r="F193" s="248" t="s">
        <v>144</v>
      </c>
      <c r="G193" s="210" t="s">
        <v>3</v>
      </c>
      <c r="H193" s="250" t="s">
        <v>228</v>
      </c>
      <c r="I193" s="250" t="s">
        <v>16</v>
      </c>
      <c r="J193" s="212" t="s">
        <v>160</v>
      </c>
    </row>
    <row r="194" spans="1:10" ht="14.4" thickBot="1">
      <c r="A194" s="247" t="str">
        <f>B100</f>
        <v>SiC MOSFET Transistor #2</v>
      </c>
      <c r="B194" s="47">
        <v>1</v>
      </c>
      <c r="C194" s="251" t="s">
        <v>9</v>
      </c>
      <c r="D194" s="211">
        <v>1</v>
      </c>
      <c r="E194" s="252">
        <f>B194/D194</f>
        <v>1</v>
      </c>
      <c r="F194" s="251" t="str">
        <f>$B$2</f>
        <v>eFuse_Microchip</v>
      </c>
      <c r="G194" s="47" t="s">
        <v>3</v>
      </c>
      <c r="H194" s="252" t="s">
        <v>5</v>
      </c>
      <c r="I194" s="252" t="s">
        <v>26</v>
      </c>
      <c r="J194" s="212" t="s">
        <v>160</v>
      </c>
    </row>
    <row r="195" spans="1:10" ht="15" thickBot="1">
      <c r="A195"/>
      <c r="B195"/>
      <c r="C195"/>
      <c r="D195"/>
      <c r="E195"/>
      <c r="F195"/>
      <c r="G195"/>
      <c r="H195"/>
      <c r="I195"/>
      <c r="J195"/>
    </row>
    <row r="196" spans="1:10">
      <c r="A196" s="34" t="s">
        <v>1</v>
      </c>
      <c r="B196" s="35" t="s">
        <v>149</v>
      </c>
      <c r="C196" s="36"/>
      <c r="D196" s="37"/>
      <c r="E196" s="37"/>
      <c r="F196" s="37"/>
      <c r="G196" s="37"/>
      <c r="H196" s="36"/>
      <c r="I196" s="35"/>
      <c r="J196" s="38"/>
    </row>
    <row r="197" spans="1:10">
      <c r="A197" s="39" t="s">
        <v>2</v>
      </c>
      <c r="B197" s="40" t="s">
        <v>3</v>
      </c>
      <c r="C197" s="41"/>
      <c r="D197" s="41"/>
      <c r="E197" s="41"/>
      <c r="F197" s="41"/>
      <c r="G197" s="41"/>
      <c r="H197" s="41"/>
      <c r="I197" s="32"/>
      <c r="J197" s="42"/>
    </row>
    <row r="198" spans="1:10">
      <c r="A198" s="39" t="s">
        <v>4</v>
      </c>
      <c r="B198" s="41" t="s">
        <v>5</v>
      </c>
      <c r="C198" s="41"/>
      <c r="D198" s="41"/>
      <c r="E198" s="41"/>
      <c r="F198" s="41"/>
      <c r="G198" s="41"/>
      <c r="H198" s="41"/>
      <c r="I198" s="32"/>
      <c r="J198" s="49"/>
    </row>
    <row r="199" spans="1:10">
      <c r="A199" s="39" t="s">
        <v>6</v>
      </c>
      <c r="B199" s="41">
        <f>1</f>
        <v>1</v>
      </c>
      <c r="C199" s="41"/>
      <c r="D199" s="41"/>
      <c r="E199" s="41"/>
      <c r="F199" s="41"/>
      <c r="G199" s="41"/>
      <c r="H199" s="41"/>
      <c r="I199" s="32"/>
      <c r="J199" s="49"/>
    </row>
    <row r="200" spans="1:10">
      <c r="A200" s="39" t="s">
        <v>7</v>
      </c>
      <c r="B200" s="41" t="s">
        <v>8</v>
      </c>
      <c r="C200" s="41"/>
      <c r="D200" s="41"/>
      <c r="E200" s="41"/>
      <c r="F200" s="41"/>
      <c r="G200" s="41"/>
      <c r="H200" s="41"/>
      <c r="I200" s="32"/>
      <c r="J200" s="49"/>
    </row>
    <row r="201" spans="1:10">
      <c r="A201" s="39" t="s">
        <v>9</v>
      </c>
      <c r="B201" s="41" t="s">
        <v>9</v>
      </c>
      <c r="D201" s="41"/>
      <c r="E201" s="41"/>
      <c r="F201" s="41"/>
      <c r="G201" s="41"/>
      <c r="H201" s="41"/>
      <c r="I201" s="32"/>
      <c r="J201" s="49"/>
    </row>
    <row r="202" spans="1:10">
      <c r="A202" s="43" t="s">
        <v>10</v>
      </c>
      <c r="B202" s="41"/>
      <c r="C202" s="41"/>
      <c r="D202" s="41"/>
      <c r="E202" s="41"/>
      <c r="F202" s="41"/>
      <c r="G202" s="41"/>
      <c r="H202" s="41"/>
      <c r="I202" s="32"/>
      <c r="J202" s="49"/>
    </row>
    <row r="203" spans="1:10">
      <c r="A203" s="44" t="s">
        <v>11</v>
      </c>
      <c r="B203" s="190" t="s">
        <v>755</v>
      </c>
      <c r="C203" s="45" t="s">
        <v>9</v>
      </c>
      <c r="D203" s="190" t="s">
        <v>754</v>
      </c>
      <c r="E203" s="45" t="s">
        <v>12</v>
      </c>
      <c r="F203" s="45" t="s">
        <v>13</v>
      </c>
      <c r="G203" s="45" t="s">
        <v>14</v>
      </c>
      <c r="H203" s="45" t="s">
        <v>4</v>
      </c>
      <c r="I203" s="45" t="s">
        <v>7</v>
      </c>
      <c r="J203" s="46" t="s">
        <v>148</v>
      </c>
    </row>
    <row r="204" spans="1:10" ht="15">
      <c r="A204" s="258" t="s">
        <v>150</v>
      </c>
      <c r="B204" s="215">
        <v>5.876E-2</v>
      </c>
      <c r="C204" s="274" t="s">
        <v>17</v>
      </c>
      <c r="D204" s="216">
        <v>1</v>
      </c>
      <c r="E204" s="281">
        <f>D204*B204</f>
        <v>5.876E-2</v>
      </c>
      <c r="F204" s="248" t="s">
        <v>144</v>
      </c>
      <c r="G204" s="208" t="s">
        <v>3</v>
      </c>
      <c r="H204" s="248" t="s">
        <v>5</v>
      </c>
      <c r="I204" s="248" t="s">
        <v>16</v>
      </c>
      <c r="J204" s="212" t="s">
        <v>151</v>
      </c>
    </row>
    <row r="205" spans="1:10" ht="15">
      <c r="A205" s="259" t="s">
        <v>18</v>
      </c>
      <c r="B205" s="215">
        <f>1.003*10^-3</f>
        <v>1.003E-3</v>
      </c>
      <c r="C205" s="274" t="s">
        <v>17</v>
      </c>
      <c r="D205" s="216">
        <v>1</v>
      </c>
      <c r="E205" s="281">
        <f t="shared" ref="E205:E208" si="4">D205*B205</f>
        <v>1.003E-3</v>
      </c>
      <c r="F205" s="248" t="s">
        <v>144</v>
      </c>
      <c r="G205" s="208" t="s">
        <v>3</v>
      </c>
      <c r="H205" s="248" t="s">
        <v>5</v>
      </c>
      <c r="I205" s="248" t="s">
        <v>16</v>
      </c>
      <c r="J205" s="212" t="s">
        <v>151</v>
      </c>
    </row>
    <row r="206" spans="1:10" ht="15">
      <c r="A206" s="259" t="s">
        <v>152</v>
      </c>
      <c r="B206" s="215">
        <f>2.006*10^-3</f>
        <v>2.006E-3</v>
      </c>
      <c r="C206" s="280" t="s">
        <v>17</v>
      </c>
      <c r="D206" s="217">
        <v>1</v>
      </c>
      <c r="E206" s="281">
        <f t="shared" si="4"/>
        <v>2.006E-3</v>
      </c>
      <c r="F206" s="248" t="s">
        <v>144</v>
      </c>
      <c r="G206" s="208" t="s">
        <v>3</v>
      </c>
      <c r="H206" s="282" t="s">
        <v>5</v>
      </c>
      <c r="I206" s="282" t="s">
        <v>16</v>
      </c>
      <c r="J206" s="219" t="s">
        <v>151</v>
      </c>
    </row>
    <row r="207" spans="1:10" ht="15">
      <c r="A207" s="260" t="s">
        <v>153</v>
      </c>
      <c r="B207" s="215">
        <f>B204</f>
        <v>5.876E-2</v>
      </c>
      <c r="C207" s="280" t="s">
        <v>17</v>
      </c>
      <c r="D207" s="217">
        <v>1</v>
      </c>
      <c r="E207" s="281">
        <f t="shared" si="4"/>
        <v>5.876E-2</v>
      </c>
      <c r="F207" s="248" t="s">
        <v>144</v>
      </c>
      <c r="G207" s="208" t="s">
        <v>3</v>
      </c>
      <c r="H207" s="282" t="s">
        <v>5</v>
      </c>
      <c r="I207" s="282" t="s">
        <v>16</v>
      </c>
      <c r="J207" s="219" t="s">
        <v>151</v>
      </c>
    </row>
    <row r="208" spans="1:10" ht="15">
      <c r="A208" s="259" t="s">
        <v>154</v>
      </c>
      <c r="B208" s="215">
        <f>(830.3*10^-6)</f>
        <v>8.3029999999999996E-4</v>
      </c>
      <c r="C208" s="280" t="s">
        <v>17</v>
      </c>
      <c r="D208" s="217">
        <v>1</v>
      </c>
      <c r="E208" s="281">
        <f t="shared" si="4"/>
        <v>8.3029999999999996E-4</v>
      </c>
      <c r="F208" s="248" t="s">
        <v>144</v>
      </c>
      <c r="G208" s="208" t="s">
        <v>3</v>
      </c>
      <c r="H208" s="282" t="s">
        <v>5</v>
      </c>
      <c r="I208" s="282" t="s">
        <v>16</v>
      </c>
      <c r="J208" s="219" t="s">
        <v>151</v>
      </c>
    </row>
    <row r="209" spans="1:10" ht="14.4" thickBot="1">
      <c r="A209" s="247" t="str">
        <f>B196</f>
        <v>Heatsink</v>
      </c>
      <c r="B209" s="47">
        <v>1</v>
      </c>
      <c r="C209" s="251" t="s">
        <v>9</v>
      </c>
      <c r="D209" s="211">
        <v>1</v>
      </c>
      <c r="E209" s="252">
        <f>B209/D209</f>
        <v>1</v>
      </c>
      <c r="F209" s="251" t="str">
        <f>$B$2</f>
        <v>eFuse_Microchip</v>
      </c>
      <c r="G209" s="47" t="s">
        <v>3</v>
      </c>
      <c r="H209" s="252" t="s">
        <v>5</v>
      </c>
      <c r="I209" s="252" t="s">
        <v>26</v>
      </c>
      <c r="J209" s="48"/>
    </row>
    <row r="210" spans="1:10" ht="15" thickBot="1">
      <c r="A210"/>
      <c r="B210"/>
      <c r="C210"/>
      <c r="D210"/>
      <c r="E210"/>
      <c r="F210"/>
      <c r="G210"/>
      <c r="H210"/>
      <c r="I210"/>
      <c r="J210"/>
    </row>
    <row r="211" spans="1:10">
      <c r="A211" s="34" t="s">
        <v>1</v>
      </c>
      <c r="B211" s="35" t="s">
        <v>756</v>
      </c>
      <c r="C211" s="36"/>
      <c r="D211" s="37"/>
      <c r="E211" s="37"/>
      <c r="F211" s="37"/>
      <c r="G211" s="37"/>
      <c r="H211" s="36"/>
      <c r="I211" s="35"/>
      <c r="J211" s="38"/>
    </row>
    <row r="212" spans="1:10">
      <c r="A212" s="39" t="s">
        <v>2</v>
      </c>
      <c r="B212" s="40" t="s">
        <v>3</v>
      </c>
      <c r="C212" s="41"/>
      <c r="D212" s="41"/>
      <c r="E212" s="41"/>
      <c r="F212" s="41"/>
      <c r="G212" s="41"/>
      <c r="H212" s="41"/>
      <c r="I212" s="32"/>
      <c r="J212" s="42"/>
    </row>
    <row r="213" spans="1:10">
      <c r="A213" s="39" t="s">
        <v>4</v>
      </c>
      <c r="B213" s="41" t="s">
        <v>5</v>
      </c>
      <c r="C213" s="41"/>
      <c r="D213" s="41"/>
      <c r="E213" s="41"/>
      <c r="F213" s="41"/>
      <c r="G213" s="41"/>
      <c r="H213" s="41"/>
      <c r="I213" s="32"/>
      <c r="J213" s="42"/>
    </row>
    <row r="214" spans="1:10">
      <c r="A214" s="39" t="s">
        <v>6</v>
      </c>
      <c r="B214" s="41">
        <f>1</f>
        <v>1</v>
      </c>
      <c r="C214" s="41"/>
      <c r="D214" s="41"/>
      <c r="E214" s="41"/>
      <c r="F214" s="41"/>
      <c r="G214" s="41"/>
      <c r="H214" s="41"/>
      <c r="I214" s="32"/>
      <c r="J214" s="42"/>
    </row>
    <row r="215" spans="1:10">
      <c r="A215" s="39" t="s">
        <v>7</v>
      </c>
      <c r="B215" s="41" t="s">
        <v>8</v>
      </c>
      <c r="C215" s="41"/>
      <c r="D215" s="41"/>
      <c r="E215" s="41"/>
      <c r="F215" s="41"/>
      <c r="G215" s="41"/>
      <c r="H215" s="41"/>
      <c r="I215" s="32"/>
      <c r="J215" s="42"/>
    </row>
    <row r="216" spans="1:10">
      <c r="A216" s="39" t="s">
        <v>9</v>
      </c>
      <c r="B216" s="41" t="s">
        <v>9</v>
      </c>
      <c r="C216" s="41"/>
      <c r="D216" s="41"/>
      <c r="E216" s="41"/>
      <c r="F216" s="41"/>
      <c r="G216" s="41"/>
      <c r="H216" s="41"/>
      <c r="I216" s="32"/>
      <c r="J216" s="42"/>
    </row>
    <row r="217" spans="1:10">
      <c r="A217" s="43" t="s">
        <v>10</v>
      </c>
      <c r="B217" s="41"/>
      <c r="C217" s="41"/>
      <c r="D217" s="41"/>
      <c r="E217" s="41"/>
      <c r="F217" s="41"/>
      <c r="G217" s="41"/>
      <c r="H217" s="41"/>
      <c r="I217" s="32"/>
      <c r="J217" s="42"/>
    </row>
    <row r="218" spans="1:10">
      <c r="A218" s="44" t="s">
        <v>11</v>
      </c>
      <c r="B218" s="45" t="s">
        <v>755</v>
      </c>
      <c r="C218" s="45" t="s">
        <v>9</v>
      </c>
      <c r="D218" s="45" t="s">
        <v>754</v>
      </c>
      <c r="E218" s="45" t="s">
        <v>12</v>
      </c>
      <c r="F218" s="45" t="s">
        <v>13</v>
      </c>
      <c r="G218" s="45" t="s">
        <v>14</v>
      </c>
      <c r="H218" s="45" t="s">
        <v>4</v>
      </c>
      <c r="I218" s="45" t="s">
        <v>7</v>
      </c>
      <c r="J218" s="46" t="s">
        <v>148</v>
      </c>
    </row>
    <row r="219" spans="1:10" ht="13.8">
      <c r="A219" s="261" t="s">
        <v>146</v>
      </c>
      <c r="B219" s="215">
        <v>2.4734299999999999E-6</v>
      </c>
      <c r="C219" s="274" t="s">
        <v>17</v>
      </c>
      <c r="D219" s="208">
        <v>1</v>
      </c>
      <c r="E219" s="281">
        <f>D219*B219</f>
        <v>2.4734299999999999E-6</v>
      </c>
      <c r="F219" s="248" t="s">
        <v>144</v>
      </c>
      <c r="G219" s="208" t="s">
        <v>3</v>
      </c>
      <c r="H219" s="248" t="s">
        <v>5</v>
      </c>
      <c r="I219" s="248" t="s">
        <v>16</v>
      </c>
      <c r="J219" s="212" t="s">
        <v>174</v>
      </c>
    </row>
    <row r="220" spans="1:10" ht="13.8">
      <c r="A220" s="261" t="s">
        <v>183</v>
      </c>
      <c r="B220" s="215">
        <v>8.9300000000000009E-6</v>
      </c>
      <c r="C220" s="274" t="s">
        <v>17</v>
      </c>
      <c r="D220" s="208">
        <v>1</v>
      </c>
      <c r="E220" s="281">
        <f t="shared" ref="E220:E221" si="5">D220*B220</f>
        <v>8.9300000000000009E-6</v>
      </c>
      <c r="F220" s="248" t="s">
        <v>144</v>
      </c>
      <c r="G220" s="208" t="s">
        <v>3</v>
      </c>
      <c r="H220" s="248" t="s">
        <v>5</v>
      </c>
      <c r="I220" s="248" t="s">
        <v>16</v>
      </c>
      <c r="J220" s="212" t="s">
        <v>188</v>
      </c>
    </row>
    <row r="221" spans="1:10" ht="13.8">
      <c r="A221" s="261" t="s">
        <v>156</v>
      </c>
      <c r="B221" s="215">
        <v>4.0960000000000001E-5</v>
      </c>
      <c r="C221" s="274" t="s">
        <v>17</v>
      </c>
      <c r="D221" s="208">
        <v>1</v>
      </c>
      <c r="E221" s="281">
        <f t="shared" si="5"/>
        <v>4.0960000000000001E-5</v>
      </c>
      <c r="F221" s="248" t="s">
        <v>144</v>
      </c>
      <c r="G221" s="208" t="s">
        <v>3</v>
      </c>
      <c r="H221" s="248" t="s">
        <v>5</v>
      </c>
      <c r="I221" s="248" t="s">
        <v>16</v>
      </c>
      <c r="J221" s="212" t="s">
        <v>159</v>
      </c>
    </row>
    <row r="222" spans="1:10" ht="13.8">
      <c r="A222" s="261" t="s">
        <v>156</v>
      </c>
      <c r="B222" s="215">
        <v>5.1200000000000001E-6</v>
      </c>
      <c r="C222" s="274" t="s">
        <v>17</v>
      </c>
      <c r="D222" s="216">
        <v>4</v>
      </c>
      <c r="E222" s="281">
        <f>D222*B222</f>
        <v>2.048E-5</v>
      </c>
      <c r="F222" s="248" t="s">
        <v>144</v>
      </c>
      <c r="G222" s="208" t="s">
        <v>3</v>
      </c>
      <c r="H222" s="248" t="s">
        <v>5</v>
      </c>
      <c r="I222" s="248" t="s">
        <v>16</v>
      </c>
      <c r="J222" s="212" t="s">
        <v>157</v>
      </c>
    </row>
    <row r="223" spans="1:10" ht="13.8">
      <c r="A223" s="261" t="s">
        <v>156</v>
      </c>
      <c r="B223" s="215">
        <v>4.7519999999999999E-5</v>
      </c>
      <c r="C223" s="274" t="s">
        <v>17</v>
      </c>
      <c r="D223" s="208">
        <v>2</v>
      </c>
      <c r="E223" s="281">
        <f t="shared" ref="E223:E224" si="6">D223*B223</f>
        <v>9.5039999999999998E-5</v>
      </c>
      <c r="F223" s="248" t="s">
        <v>144</v>
      </c>
      <c r="G223" s="208" t="s">
        <v>3</v>
      </c>
      <c r="H223" s="248" t="s">
        <v>5</v>
      </c>
      <c r="I223" s="248" t="s">
        <v>16</v>
      </c>
      <c r="J223" s="212" t="s">
        <v>160</v>
      </c>
    </row>
    <row r="224" spans="1:10" ht="13.8">
      <c r="A224" s="261" t="s">
        <v>202</v>
      </c>
      <c r="B224" s="208">
        <v>1.49E-5</v>
      </c>
      <c r="C224" s="274" t="s">
        <v>17</v>
      </c>
      <c r="D224" s="216">
        <v>1</v>
      </c>
      <c r="E224" s="281">
        <f t="shared" si="6"/>
        <v>1.49E-5</v>
      </c>
      <c r="F224" s="248" t="s">
        <v>144</v>
      </c>
      <c r="G224" s="208" t="s">
        <v>3</v>
      </c>
      <c r="H224" s="248" t="s">
        <v>5</v>
      </c>
      <c r="I224" s="248" t="s">
        <v>16</v>
      </c>
      <c r="J224" s="212" t="s">
        <v>203</v>
      </c>
    </row>
    <row r="225" spans="1:10" ht="14.4" thickBot="1">
      <c r="A225" s="262" t="str">
        <f>B211</f>
        <v>Voltage Converter - HV</v>
      </c>
      <c r="B225" s="53">
        <v>1</v>
      </c>
      <c r="C225" s="275" t="s">
        <v>9</v>
      </c>
      <c r="D225" s="220">
        <v>1</v>
      </c>
      <c r="E225" s="283">
        <f>B225/D225</f>
        <v>1</v>
      </c>
      <c r="F225" s="275" t="str">
        <f>$B$2</f>
        <v>eFuse_Microchip</v>
      </c>
      <c r="G225" s="53" t="s">
        <v>3</v>
      </c>
      <c r="H225" s="283" t="s">
        <v>5</v>
      </c>
      <c r="I225" s="283" t="s">
        <v>26</v>
      </c>
      <c r="J225" s="54"/>
    </row>
    <row r="226" spans="1:10" ht="15" thickBot="1">
      <c r="A226"/>
      <c r="B226"/>
      <c r="C226"/>
      <c r="D226"/>
      <c r="E226"/>
      <c r="F226"/>
      <c r="G226"/>
      <c r="H226"/>
      <c r="I226"/>
      <c r="J226"/>
    </row>
    <row r="227" spans="1:10">
      <c r="A227" s="34" t="s">
        <v>1</v>
      </c>
      <c r="B227" s="35" t="s">
        <v>757</v>
      </c>
      <c r="C227" s="36"/>
      <c r="D227" s="37"/>
      <c r="E227" s="37"/>
      <c r="F227" s="37"/>
      <c r="G227" s="37"/>
      <c r="H227" s="36"/>
      <c r="I227" s="35"/>
      <c r="J227" s="38"/>
    </row>
    <row r="228" spans="1:10">
      <c r="A228" s="39" t="s">
        <v>2</v>
      </c>
      <c r="B228" s="40" t="s">
        <v>3</v>
      </c>
      <c r="C228" s="41"/>
      <c r="D228" s="41"/>
      <c r="E228" s="41"/>
      <c r="F228" s="41"/>
      <c r="G228" s="41"/>
      <c r="H228" s="41"/>
      <c r="I228" s="32"/>
      <c r="J228" s="42"/>
    </row>
    <row r="229" spans="1:10">
      <c r="A229" s="39" t="s">
        <v>4</v>
      </c>
      <c r="B229" s="41" t="s">
        <v>5</v>
      </c>
      <c r="C229" s="41"/>
      <c r="D229" s="41"/>
      <c r="E229" s="41"/>
      <c r="F229" s="41"/>
      <c r="G229" s="41"/>
      <c r="H229" s="41"/>
      <c r="I229" s="32"/>
      <c r="J229" s="42"/>
    </row>
    <row r="230" spans="1:10">
      <c r="A230" s="39" t="s">
        <v>6</v>
      </c>
      <c r="B230" s="41">
        <f>1</f>
        <v>1</v>
      </c>
      <c r="C230" s="41"/>
      <c r="D230" s="41"/>
      <c r="E230" s="41"/>
      <c r="F230" s="41"/>
      <c r="G230" s="41"/>
      <c r="H230" s="41"/>
      <c r="I230" s="32"/>
      <c r="J230" s="42"/>
    </row>
    <row r="231" spans="1:10">
      <c r="A231" s="39" t="s">
        <v>7</v>
      </c>
      <c r="B231" s="41" t="s">
        <v>8</v>
      </c>
      <c r="C231" s="41"/>
      <c r="D231" s="41"/>
      <c r="E231" s="41"/>
      <c r="F231" s="41"/>
      <c r="G231" s="41"/>
      <c r="H231" s="41"/>
      <c r="I231" s="32"/>
      <c r="J231" s="42"/>
    </row>
    <row r="232" spans="1:10">
      <c r="A232" s="39" t="s">
        <v>9</v>
      </c>
      <c r="B232" s="41" t="s">
        <v>9</v>
      </c>
      <c r="C232" s="41"/>
      <c r="D232" s="41"/>
      <c r="E232" s="41"/>
      <c r="F232" s="41"/>
      <c r="G232" s="41"/>
      <c r="H232" s="41"/>
      <c r="I232" s="32"/>
      <c r="J232" s="42"/>
    </row>
    <row r="233" spans="1:10">
      <c r="A233" s="43" t="s">
        <v>10</v>
      </c>
      <c r="B233" s="41"/>
      <c r="C233" s="41"/>
      <c r="D233" s="41"/>
      <c r="E233" s="41"/>
      <c r="F233" s="41"/>
      <c r="G233" s="41"/>
      <c r="H233" s="41"/>
      <c r="I233" s="32"/>
      <c r="J233" s="42"/>
    </row>
    <row r="234" spans="1:10">
      <c r="A234" s="44" t="s">
        <v>11</v>
      </c>
      <c r="B234" s="45" t="s">
        <v>755</v>
      </c>
      <c r="C234" s="45" t="s">
        <v>9</v>
      </c>
      <c r="D234" s="45" t="s">
        <v>754</v>
      </c>
      <c r="E234" s="45" t="s">
        <v>12</v>
      </c>
      <c r="F234" s="45" t="s">
        <v>13</v>
      </c>
      <c r="G234" s="45" t="s">
        <v>14</v>
      </c>
      <c r="H234" s="45" t="s">
        <v>4</v>
      </c>
      <c r="I234" s="45" t="s">
        <v>7</v>
      </c>
      <c r="J234" s="46" t="s">
        <v>148</v>
      </c>
    </row>
    <row r="235" spans="1:10" ht="13.8">
      <c r="A235" s="261" t="s">
        <v>156</v>
      </c>
      <c r="B235" s="215">
        <v>4.51E-6</v>
      </c>
      <c r="C235" s="274" t="s">
        <v>17</v>
      </c>
      <c r="D235" s="208">
        <v>1</v>
      </c>
      <c r="E235" s="281">
        <f t="shared" ref="E235" si="7">D235*B235</f>
        <v>4.51E-6</v>
      </c>
      <c r="F235" s="248" t="s">
        <v>144</v>
      </c>
      <c r="G235" s="208" t="s">
        <v>3</v>
      </c>
      <c r="H235" s="248" t="s">
        <v>5</v>
      </c>
      <c r="I235" s="248" t="s">
        <v>16</v>
      </c>
      <c r="J235" s="212" t="s">
        <v>164</v>
      </c>
    </row>
    <row r="236" spans="1:10" ht="13.8">
      <c r="A236" s="261" t="s">
        <v>146</v>
      </c>
      <c r="B236" s="215">
        <v>2.4734299999999999E-6</v>
      </c>
      <c r="C236" s="274" t="s">
        <v>17</v>
      </c>
      <c r="D236" s="208">
        <v>2</v>
      </c>
      <c r="E236" s="281">
        <f>D236*B236</f>
        <v>4.9468599999999998E-6</v>
      </c>
      <c r="F236" s="248" t="s">
        <v>144</v>
      </c>
      <c r="G236" s="208" t="s">
        <v>3</v>
      </c>
      <c r="H236" s="248" t="s">
        <v>5</v>
      </c>
      <c r="I236" s="248" t="s">
        <v>16</v>
      </c>
      <c r="J236" s="212" t="s">
        <v>174</v>
      </c>
    </row>
    <row r="237" spans="1:10" ht="13.8">
      <c r="A237" s="261" t="s">
        <v>146</v>
      </c>
      <c r="B237" s="215">
        <v>1.9999999999999999E-6</v>
      </c>
      <c r="C237" s="274" t="s">
        <v>17</v>
      </c>
      <c r="D237" s="218">
        <v>2</v>
      </c>
      <c r="E237" s="281">
        <f>D237*B237</f>
        <v>3.9999999999999998E-6</v>
      </c>
      <c r="F237" s="248" t="s">
        <v>144</v>
      </c>
      <c r="G237" s="208" t="s">
        <v>3</v>
      </c>
      <c r="H237" s="248" t="s">
        <v>5</v>
      </c>
      <c r="I237" s="248" t="s">
        <v>16</v>
      </c>
      <c r="J237" s="219" t="s">
        <v>177</v>
      </c>
    </row>
    <row r="238" spans="1:10" ht="13.8">
      <c r="A238" s="261" t="s">
        <v>146</v>
      </c>
      <c r="B238" s="215">
        <v>2.4734299999999999E-6</v>
      </c>
      <c r="C238" s="274" t="s">
        <v>17</v>
      </c>
      <c r="D238" s="208">
        <v>1</v>
      </c>
      <c r="E238" s="281">
        <f>D238*B238</f>
        <v>2.4734299999999999E-6</v>
      </c>
      <c r="F238" s="248" t="s">
        <v>144</v>
      </c>
      <c r="G238" s="208" t="s">
        <v>3</v>
      </c>
      <c r="H238" s="248" t="s">
        <v>5</v>
      </c>
      <c r="I238" s="248" t="s">
        <v>16</v>
      </c>
      <c r="J238" s="212" t="s">
        <v>174</v>
      </c>
    </row>
    <row r="239" spans="1:10" ht="13.8">
      <c r="A239" s="261" t="s">
        <v>146</v>
      </c>
      <c r="B239" s="215">
        <v>2.4734299999999999E-6</v>
      </c>
      <c r="C239" s="274" t="s">
        <v>17</v>
      </c>
      <c r="D239" s="208">
        <v>1</v>
      </c>
      <c r="E239" s="281">
        <f>D239*B239</f>
        <v>2.4734299999999999E-6</v>
      </c>
      <c r="F239" s="248" t="s">
        <v>144</v>
      </c>
      <c r="G239" s="208" t="s">
        <v>3</v>
      </c>
      <c r="H239" s="248" t="s">
        <v>5</v>
      </c>
      <c r="I239" s="248" t="s">
        <v>16</v>
      </c>
      <c r="J239" s="212" t="s">
        <v>173</v>
      </c>
    </row>
    <row r="240" spans="1:10" ht="13.8">
      <c r="A240" s="261" t="s">
        <v>156</v>
      </c>
      <c r="B240" s="215">
        <v>4.51E-6</v>
      </c>
      <c r="C240" s="274" t="s">
        <v>17</v>
      </c>
      <c r="D240" s="208">
        <v>1</v>
      </c>
      <c r="E240" s="281">
        <f t="shared" ref="E240" si="8">D240*B240</f>
        <v>4.51E-6</v>
      </c>
      <c r="F240" s="248" t="s">
        <v>144</v>
      </c>
      <c r="G240" s="208" t="s">
        <v>3</v>
      </c>
      <c r="H240" s="248" t="s">
        <v>5</v>
      </c>
      <c r="I240" s="248" t="s">
        <v>16</v>
      </c>
      <c r="J240" s="212" t="s">
        <v>164</v>
      </c>
    </row>
    <row r="241" spans="1:10" ht="13.8">
      <c r="A241" s="261" t="s">
        <v>146</v>
      </c>
      <c r="B241" s="215">
        <v>2.4734299999999999E-6</v>
      </c>
      <c r="C241" s="274" t="s">
        <v>17</v>
      </c>
      <c r="D241" s="218">
        <v>2</v>
      </c>
      <c r="E241" s="281">
        <f>D241*B241</f>
        <v>4.9468599999999998E-6</v>
      </c>
      <c r="F241" s="248" t="s">
        <v>144</v>
      </c>
      <c r="G241" s="208" t="s">
        <v>3</v>
      </c>
      <c r="H241" s="248" t="s">
        <v>5</v>
      </c>
      <c r="I241" s="248" t="s">
        <v>16</v>
      </c>
      <c r="J241" s="219" t="s">
        <v>178</v>
      </c>
    </row>
    <row r="242" spans="1:10" ht="13.8">
      <c r="A242" s="261" t="s">
        <v>146</v>
      </c>
      <c r="B242" s="215">
        <v>2.4734299999999999E-6</v>
      </c>
      <c r="C242" s="274" t="s">
        <v>17</v>
      </c>
      <c r="D242" s="208">
        <v>3</v>
      </c>
      <c r="E242" s="281">
        <f>D242*B242</f>
        <v>7.4202900000000001E-6</v>
      </c>
      <c r="F242" s="248" t="s">
        <v>144</v>
      </c>
      <c r="G242" s="208" t="s">
        <v>3</v>
      </c>
      <c r="H242" s="248" t="s">
        <v>5</v>
      </c>
      <c r="I242" s="248" t="s">
        <v>16</v>
      </c>
      <c r="J242" s="212" t="s">
        <v>174</v>
      </c>
    </row>
    <row r="243" spans="1:10" ht="13.8">
      <c r="A243" s="261" t="s">
        <v>146</v>
      </c>
      <c r="B243" s="215">
        <v>2.4734299999999999E-6</v>
      </c>
      <c r="C243" s="274" t="s">
        <v>17</v>
      </c>
      <c r="D243" s="208">
        <v>1</v>
      </c>
      <c r="E243" s="281">
        <f>D243*B243</f>
        <v>2.4734299999999999E-6</v>
      </c>
      <c r="F243" s="248" t="s">
        <v>144</v>
      </c>
      <c r="G243" s="208" t="s">
        <v>3</v>
      </c>
      <c r="H243" s="248" t="s">
        <v>5</v>
      </c>
      <c r="I243" s="248" t="s">
        <v>16</v>
      </c>
      <c r="J243" s="212" t="s">
        <v>173</v>
      </c>
    </row>
    <row r="244" spans="1:10" ht="13.8">
      <c r="A244" s="261" t="s">
        <v>156</v>
      </c>
      <c r="B244" s="215">
        <v>6.0100000000000001E-6</v>
      </c>
      <c r="C244" s="274" t="s">
        <v>17</v>
      </c>
      <c r="D244" s="208">
        <v>3</v>
      </c>
      <c r="E244" s="281">
        <f t="shared" ref="E244:E245" si="9">D244*B244</f>
        <v>1.8030000000000002E-5</v>
      </c>
      <c r="F244" s="248" t="s">
        <v>144</v>
      </c>
      <c r="G244" s="208" t="s">
        <v>3</v>
      </c>
      <c r="H244" s="248" t="s">
        <v>5</v>
      </c>
      <c r="I244" s="248" t="s">
        <v>16</v>
      </c>
      <c r="J244" s="212" t="s">
        <v>165</v>
      </c>
    </row>
    <row r="245" spans="1:10" ht="13.8">
      <c r="A245" s="261" t="s">
        <v>202</v>
      </c>
      <c r="B245" s="208">
        <v>3.2999999999999996E-5</v>
      </c>
      <c r="C245" s="274" t="s">
        <v>17</v>
      </c>
      <c r="D245" s="216">
        <v>1</v>
      </c>
      <c r="E245" s="284">
        <f t="shared" si="9"/>
        <v>3.2999999999999996E-5</v>
      </c>
      <c r="F245" s="248" t="s">
        <v>144</v>
      </c>
      <c r="G245" s="208" t="s">
        <v>3</v>
      </c>
      <c r="H245" s="248" t="s">
        <v>5</v>
      </c>
      <c r="I245" s="248" t="s">
        <v>16</v>
      </c>
      <c r="J245" s="212" t="s">
        <v>211</v>
      </c>
    </row>
    <row r="246" spans="1:10" ht="13.8">
      <c r="A246" s="261" t="s">
        <v>146</v>
      </c>
      <c r="B246" s="215">
        <v>4.2000000000000002E-4</v>
      </c>
      <c r="C246" s="248" t="s">
        <v>17</v>
      </c>
      <c r="D246" s="208">
        <v>1</v>
      </c>
      <c r="E246" s="284">
        <f>D246*B246</f>
        <v>4.2000000000000002E-4</v>
      </c>
      <c r="F246" s="248" t="s">
        <v>144</v>
      </c>
      <c r="G246" s="208" t="s">
        <v>3</v>
      </c>
      <c r="H246" s="248" t="s">
        <v>5</v>
      </c>
      <c r="I246" s="248" t="s">
        <v>16</v>
      </c>
      <c r="J246" s="212" t="s">
        <v>147</v>
      </c>
    </row>
    <row r="247" spans="1:10" ht="14.4" thickBot="1">
      <c r="A247" s="262" t="str">
        <f>B227</f>
        <v>Current Measurement</v>
      </c>
      <c r="B247" s="53">
        <v>1</v>
      </c>
      <c r="C247" s="275" t="s">
        <v>9</v>
      </c>
      <c r="D247" s="220">
        <v>1</v>
      </c>
      <c r="E247" s="283">
        <f>B247/D247</f>
        <v>1</v>
      </c>
      <c r="F247" s="275" t="str">
        <f>$B$2</f>
        <v>eFuse_Microchip</v>
      </c>
      <c r="G247" s="53" t="s">
        <v>3</v>
      </c>
      <c r="H247" s="283" t="s">
        <v>5</v>
      </c>
      <c r="I247" s="283" t="s">
        <v>26</v>
      </c>
      <c r="J247" s="54"/>
    </row>
    <row r="248" spans="1:10" ht="15" thickBot="1">
      <c r="A248"/>
      <c r="B248"/>
      <c r="C248"/>
      <c r="D248"/>
      <c r="E248"/>
      <c r="F248"/>
      <c r="G248"/>
      <c r="H248"/>
      <c r="I248"/>
      <c r="J248"/>
    </row>
    <row r="249" spans="1:10">
      <c r="A249" s="34" t="s">
        <v>1</v>
      </c>
      <c r="B249" s="35" t="s">
        <v>761</v>
      </c>
      <c r="C249" s="36"/>
      <c r="D249" s="37"/>
      <c r="E249" s="37"/>
      <c r="F249" s="37"/>
      <c r="G249" s="37"/>
      <c r="H249" s="36"/>
      <c r="I249" s="35"/>
      <c r="J249" s="38"/>
    </row>
    <row r="250" spans="1:10">
      <c r="A250" s="39" t="s">
        <v>2</v>
      </c>
      <c r="B250" s="40" t="s">
        <v>3</v>
      </c>
      <c r="C250" s="41"/>
      <c r="D250" s="41"/>
      <c r="E250" s="41"/>
      <c r="F250" s="41"/>
      <c r="G250" s="41"/>
      <c r="H250" s="41"/>
      <c r="I250" s="32"/>
      <c r="J250" s="42"/>
    </row>
    <row r="251" spans="1:10">
      <c r="A251" s="39" t="s">
        <v>4</v>
      </c>
      <c r="B251" s="41" t="s">
        <v>5</v>
      </c>
      <c r="C251" s="41"/>
      <c r="D251" s="41"/>
      <c r="E251" s="41"/>
      <c r="F251" s="41"/>
      <c r="G251" s="41"/>
      <c r="H251" s="41"/>
      <c r="I251" s="32"/>
      <c r="J251" s="42"/>
    </row>
    <row r="252" spans="1:10">
      <c r="A252" s="39" t="s">
        <v>6</v>
      </c>
      <c r="B252" s="41">
        <f>1</f>
        <v>1</v>
      </c>
      <c r="C252" s="41"/>
      <c r="D252" s="41"/>
      <c r="E252" s="41"/>
      <c r="F252" s="41"/>
      <c r="G252" s="41"/>
      <c r="H252" s="41"/>
      <c r="I252" s="32"/>
      <c r="J252" s="42"/>
    </row>
    <row r="253" spans="1:10">
      <c r="A253" s="39" t="s">
        <v>7</v>
      </c>
      <c r="B253" s="41" t="s">
        <v>8</v>
      </c>
      <c r="C253" s="41"/>
      <c r="D253" s="41"/>
      <c r="E253" s="41"/>
      <c r="F253" s="41"/>
      <c r="G253" s="41"/>
      <c r="H253" s="41"/>
      <c r="I253" s="32"/>
      <c r="J253" s="42"/>
    </row>
    <row r="254" spans="1:10">
      <c r="A254" s="39" t="s">
        <v>9</v>
      </c>
      <c r="B254" s="41" t="s">
        <v>9</v>
      </c>
      <c r="C254" s="41"/>
      <c r="D254" s="41"/>
      <c r="E254" s="41"/>
      <c r="F254" s="41"/>
      <c r="G254" s="41"/>
      <c r="H254" s="41"/>
      <c r="I254" s="32"/>
      <c r="J254" s="42"/>
    </row>
    <row r="255" spans="1:10">
      <c r="A255" s="43" t="s">
        <v>10</v>
      </c>
      <c r="B255" s="41"/>
      <c r="C255" s="41"/>
      <c r="D255" s="41"/>
      <c r="E255" s="41"/>
      <c r="F255" s="41"/>
      <c r="G255" s="41"/>
      <c r="H255" s="41"/>
      <c r="I255" s="32"/>
      <c r="J255" s="42"/>
    </row>
    <row r="256" spans="1:10">
      <c r="A256" s="44" t="s">
        <v>11</v>
      </c>
      <c r="B256" s="45" t="s">
        <v>755</v>
      </c>
      <c r="C256" s="45" t="s">
        <v>9</v>
      </c>
      <c r="D256" s="45" t="s">
        <v>754</v>
      </c>
      <c r="E256" s="45" t="s">
        <v>12</v>
      </c>
      <c r="F256" s="45" t="s">
        <v>13</v>
      </c>
      <c r="G256" s="45" t="s">
        <v>14</v>
      </c>
      <c r="H256" s="45" t="s">
        <v>4</v>
      </c>
      <c r="I256" s="45" t="s">
        <v>7</v>
      </c>
      <c r="J256" s="46" t="s">
        <v>148</v>
      </c>
    </row>
    <row r="257" spans="1:10" ht="13.8">
      <c r="A257" s="261" t="s">
        <v>156</v>
      </c>
      <c r="B257" s="215">
        <v>5.1200000000000001E-6</v>
      </c>
      <c r="C257" s="274" t="s">
        <v>17</v>
      </c>
      <c r="D257" s="216">
        <v>1</v>
      </c>
      <c r="E257" s="281">
        <f>D257*B257</f>
        <v>5.1200000000000001E-6</v>
      </c>
      <c r="F257" s="248" t="s">
        <v>144</v>
      </c>
      <c r="G257" s="208" t="s">
        <v>3</v>
      </c>
      <c r="H257" s="248" t="s">
        <v>5</v>
      </c>
      <c r="I257" s="248" t="s">
        <v>16</v>
      </c>
      <c r="J257" s="212" t="s">
        <v>157</v>
      </c>
    </row>
    <row r="258" spans="1:10" ht="13.8">
      <c r="A258" s="261" t="s">
        <v>146</v>
      </c>
      <c r="B258" s="215">
        <v>2.1611200000000001E-6</v>
      </c>
      <c r="C258" s="274" t="s">
        <v>17</v>
      </c>
      <c r="D258" s="208">
        <v>3</v>
      </c>
      <c r="E258" s="281">
        <f>D258*B258</f>
        <v>6.4833600000000002E-6</v>
      </c>
      <c r="F258" s="248" t="s">
        <v>144</v>
      </c>
      <c r="G258" s="208" t="s">
        <v>3</v>
      </c>
      <c r="H258" s="248" t="s">
        <v>5</v>
      </c>
      <c r="I258" s="248" t="s">
        <v>16</v>
      </c>
      <c r="J258" s="212" t="s">
        <v>171</v>
      </c>
    </row>
    <row r="259" spans="1:10" ht="13.8">
      <c r="A259" s="261" t="s">
        <v>146</v>
      </c>
      <c r="B259" s="215">
        <v>4.8129500000000002E-6</v>
      </c>
      <c r="C259" s="274" t="s">
        <v>17</v>
      </c>
      <c r="D259" s="208">
        <v>3</v>
      </c>
      <c r="E259" s="281">
        <f>D259*B259</f>
        <v>1.4438850000000002E-5</v>
      </c>
      <c r="F259" s="248" t="s">
        <v>144</v>
      </c>
      <c r="G259" s="208" t="s">
        <v>3</v>
      </c>
      <c r="H259" s="248" t="s">
        <v>5</v>
      </c>
      <c r="I259" s="248" t="s">
        <v>16</v>
      </c>
      <c r="J259" s="212" t="s">
        <v>175</v>
      </c>
    </row>
    <row r="260" spans="1:10" ht="13.8">
      <c r="A260" s="261" t="s">
        <v>183</v>
      </c>
      <c r="B260" s="215">
        <v>3.7832800000000001E-6</v>
      </c>
      <c r="C260" s="274" t="s">
        <v>17</v>
      </c>
      <c r="D260" s="208">
        <v>1</v>
      </c>
      <c r="E260" s="281">
        <f t="shared" ref="E260" si="10">D260*B260</f>
        <v>3.7832800000000001E-6</v>
      </c>
      <c r="F260" s="248" t="s">
        <v>144</v>
      </c>
      <c r="G260" s="208" t="s">
        <v>3</v>
      </c>
      <c r="H260" s="248" t="s">
        <v>5</v>
      </c>
      <c r="I260" s="248" t="s">
        <v>16</v>
      </c>
      <c r="J260" s="212" t="s">
        <v>189</v>
      </c>
    </row>
    <row r="261" spans="1:10" ht="13.8">
      <c r="A261" s="261" t="s">
        <v>190</v>
      </c>
      <c r="B261" s="215">
        <v>7.4969700000000008E-6</v>
      </c>
      <c r="C261" s="274" t="s">
        <v>17</v>
      </c>
      <c r="D261" s="216">
        <v>1</v>
      </c>
      <c r="E261" s="281">
        <f>D261*B261</f>
        <v>7.4969700000000008E-6</v>
      </c>
      <c r="F261" s="248" t="s">
        <v>144</v>
      </c>
      <c r="G261" s="208" t="s">
        <v>3</v>
      </c>
      <c r="H261" s="248" t="s">
        <v>5</v>
      </c>
      <c r="I261" s="248" t="s">
        <v>16</v>
      </c>
      <c r="J261" s="212" t="s">
        <v>191</v>
      </c>
    </row>
    <row r="262" spans="1:10" ht="13.8">
      <c r="A262" s="261" t="s">
        <v>202</v>
      </c>
      <c r="B262" s="208">
        <v>1.0698E-4</v>
      </c>
      <c r="C262" s="274" t="s">
        <v>17</v>
      </c>
      <c r="D262" s="208">
        <v>1</v>
      </c>
      <c r="E262" s="284">
        <f t="shared" ref="E262" si="11">D262*B262</f>
        <v>1.0698E-4</v>
      </c>
      <c r="F262" s="248" t="s">
        <v>144</v>
      </c>
      <c r="G262" s="208" t="s">
        <v>3</v>
      </c>
      <c r="H262" s="248" t="s">
        <v>5</v>
      </c>
      <c r="I262" s="248" t="s">
        <v>16</v>
      </c>
      <c r="J262" s="212" t="s">
        <v>210</v>
      </c>
    </row>
    <row r="263" spans="1:10" ht="14.4" thickBot="1">
      <c r="A263" s="262" t="str">
        <f>B249</f>
        <v>Protection Control</v>
      </c>
      <c r="B263" s="53">
        <v>1</v>
      </c>
      <c r="C263" s="275" t="s">
        <v>9</v>
      </c>
      <c r="D263" s="220">
        <v>1</v>
      </c>
      <c r="E263" s="283">
        <f>B263/D263</f>
        <v>1</v>
      </c>
      <c r="F263" s="275" t="str">
        <f>$B$2</f>
        <v>eFuse_Microchip</v>
      </c>
      <c r="G263" s="53" t="s">
        <v>3</v>
      </c>
      <c r="H263" s="283" t="s">
        <v>5</v>
      </c>
      <c r="I263" s="283" t="s">
        <v>26</v>
      </c>
      <c r="J263" s="54"/>
    </row>
    <row r="264" spans="1:10" ht="15" thickBot="1">
      <c r="A264"/>
      <c r="B264"/>
      <c r="C264"/>
      <c r="D264"/>
      <c r="E264"/>
      <c r="F264"/>
      <c r="G264"/>
      <c r="H264"/>
      <c r="I264"/>
      <c r="J264"/>
    </row>
    <row r="265" spans="1:10">
      <c r="A265" s="34" t="s">
        <v>1</v>
      </c>
      <c r="B265" s="35" t="s">
        <v>762</v>
      </c>
      <c r="C265" s="36"/>
      <c r="D265" s="37"/>
      <c r="E265" s="37"/>
      <c r="F265" s="37"/>
      <c r="G265" s="37"/>
      <c r="H265" s="36"/>
      <c r="I265" s="35"/>
      <c r="J265" s="38"/>
    </row>
    <row r="266" spans="1:10">
      <c r="A266" s="39" t="s">
        <v>2</v>
      </c>
      <c r="B266" s="40" t="s">
        <v>3</v>
      </c>
      <c r="C266" s="41"/>
      <c r="D266" s="41"/>
      <c r="E266" s="41"/>
      <c r="F266" s="41"/>
      <c r="G266" s="41"/>
      <c r="H266" s="41"/>
      <c r="I266" s="32"/>
      <c r="J266" s="42"/>
    </row>
    <row r="267" spans="1:10">
      <c r="A267" s="39" t="s">
        <v>4</v>
      </c>
      <c r="B267" s="41" t="s">
        <v>5</v>
      </c>
      <c r="C267" s="41"/>
      <c r="D267" s="41"/>
      <c r="E267" s="41"/>
      <c r="F267" s="41"/>
      <c r="G267" s="41"/>
      <c r="H267" s="41"/>
      <c r="I267" s="32"/>
      <c r="J267" s="42"/>
    </row>
    <row r="268" spans="1:10">
      <c r="A268" s="39" t="s">
        <v>6</v>
      </c>
      <c r="B268" s="41">
        <f>1</f>
        <v>1</v>
      </c>
      <c r="C268" s="41"/>
      <c r="D268" s="41"/>
      <c r="E268" s="41"/>
      <c r="F268" s="41"/>
      <c r="G268" s="41"/>
      <c r="H268" s="41"/>
      <c r="I268" s="32"/>
      <c r="J268" s="42"/>
    </row>
    <row r="269" spans="1:10">
      <c r="A269" s="39" t="s">
        <v>7</v>
      </c>
      <c r="B269" s="41" t="s">
        <v>8</v>
      </c>
      <c r="C269" s="41"/>
      <c r="D269" s="41"/>
      <c r="E269" s="41"/>
      <c r="F269" s="41"/>
      <c r="G269" s="41"/>
      <c r="H269" s="41"/>
      <c r="I269" s="32"/>
      <c r="J269" s="42"/>
    </row>
    <row r="270" spans="1:10">
      <c r="A270" s="39" t="s">
        <v>9</v>
      </c>
      <c r="B270" s="41" t="s">
        <v>9</v>
      </c>
      <c r="C270" s="41"/>
      <c r="D270" s="41"/>
      <c r="E270" s="41"/>
      <c r="F270" s="41"/>
      <c r="G270" s="41"/>
      <c r="H270" s="41"/>
      <c r="I270" s="32"/>
      <c r="J270" s="42"/>
    </row>
    <row r="271" spans="1:10">
      <c r="A271" s="43" t="s">
        <v>10</v>
      </c>
      <c r="B271" s="41"/>
      <c r="C271" s="41"/>
      <c r="D271" s="41"/>
      <c r="E271" s="41"/>
      <c r="F271" s="41"/>
      <c r="G271" s="41"/>
      <c r="H271" s="41"/>
      <c r="I271" s="32"/>
      <c r="J271" s="42"/>
    </row>
    <row r="272" spans="1:10">
      <c r="A272" s="44" t="s">
        <v>11</v>
      </c>
      <c r="B272" s="45" t="s">
        <v>755</v>
      </c>
      <c r="C272" s="45" t="s">
        <v>9</v>
      </c>
      <c r="D272" s="45" t="s">
        <v>754</v>
      </c>
      <c r="E272" s="45" t="s">
        <v>12</v>
      </c>
      <c r="F272" s="45" t="s">
        <v>13</v>
      </c>
      <c r="G272" s="45" t="s">
        <v>14</v>
      </c>
      <c r="H272" s="45" t="s">
        <v>4</v>
      </c>
      <c r="I272" s="45" t="s">
        <v>7</v>
      </c>
      <c r="J272" s="46" t="s">
        <v>148</v>
      </c>
    </row>
    <row r="273" spans="1:10" ht="13.8">
      <c r="A273" s="261" t="s">
        <v>146</v>
      </c>
      <c r="B273" s="215">
        <v>2.4734299999999999E-6</v>
      </c>
      <c r="C273" s="274" t="s">
        <v>17</v>
      </c>
      <c r="D273" s="208">
        <v>1</v>
      </c>
      <c r="E273" s="281">
        <f>D273*B273</f>
        <v>2.4734299999999999E-6</v>
      </c>
      <c r="F273" s="248" t="s">
        <v>144</v>
      </c>
      <c r="G273" s="208" t="s">
        <v>3</v>
      </c>
      <c r="H273" s="248" t="s">
        <v>5</v>
      </c>
      <c r="I273" s="248" t="s">
        <v>16</v>
      </c>
      <c r="J273" s="212" t="s">
        <v>168</v>
      </c>
    </row>
    <row r="274" spans="1:10" ht="13.8">
      <c r="A274" s="261" t="s">
        <v>146</v>
      </c>
      <c r="B274" s="215">
        <v>2.1399999999999998E-6</v>
      </c>
      <c r="C274" s="274" t="s">
        <v>17</v>
      </c>
      <c r="D274" s="218">
        <v>1</v>
      </c>
      <c r="E274" s="281">
        <f>D274*B274</f>
        <v>2.1399999999999998E-6</v>
      </c>
      <c r="F274" s="248" t="s">
        <v>144</v>
      </c>
      <c r="G274" s="208" t="s">
        <v>3</v>
      </c>
      <c r="H274" s="248" t="s">
        <v>5</v>
      </c>
      <c r="I274" s="248" t="s">
        <v>16</v>
      </c>
      <c r="J274" s="219" t="s">
        <v>180</v>
      </c>
    </row>
    <row r="275" spans="1:10" ht="13.8">
      <c r="A275" s="261" t="s">
        <v>146</v>
      </c>
      <c r="B275" s="215">
        <v>1.9999999999999999E-6</v>
      </c>
      <c r="C275" s="274" t="s">
        <v>17</v>
      </c>
      <c r="D275" s="218">
        <v>1</v>
      </c>
      <c r="E275" s="281">
        <f>D275*B275</f>
        <v>1.9999999999999999E-6</v>
      </c>
      <c r="F275" s="248" t="s">
        <v>144</v>
      </c>
      <c r="G275" s="208" t="s">
        <v>3</v>
      </c>
      <c r="H275" s="248" t="s">
        <v>5</v>
      </c>
      <c r="I275" s="248" t="s">
        <v>16</v>
      </c>
      <c r="J275" s="219" t="s">
        <v>177</v>
      </c>
    </row>
    <row r="276" spans="1:10" ht="13.8">
      <c r="A276" s="261" t="s">
        <v>156</v>
      </c>
      <c r="B276" s="215">
        <v>4.51E-6</v>
      </c>
      <c r="C276" s="274" t="s">
        <v>17</v>
      </c>
      <c r="D276" s="208">
        <v>1</v>
      </c>
      <c r="E276" s="281">
        <f t="shared" ref="E276" si="12">D276*B276</f>
        <v>4.51E-6</v>
      </c>
      <c r="F276" s="248" t="s">
        <v>144</v>
      </c>
      <c r="G276" s="208" t="s">
        <v>3</v>
      </c>
      <c r="H276" s="248" t="s">
        <v>5</v>
      </c>
      <c r="I276" s="248" t="s">
        <v>16</v>
      </c>
      <c r="J276" s="212" t="s">
        <v>164</v>
      </c>
    </row>
    <row r="277" spans="1:10" ht="13.8">
      <c r="A277" s="261" t="s">
        <v>156</v>
      </c>
      <c r="B277" s="215">
        <v>5.1200000000000001E-6</v>
      </c>
      <c r="C277" s="274" t="s">
        <v>17</v>
      </c>
      <c r="D277" s="216">
        <v>1</v>
      </c>
      <c r="E277" s="281">
        <f>D277*B277</f>
        <v>5.1200000000000001E-6</v>
      </c>
      <c r="F277" s="248" t="s">
        <v>144</v>
      </c>
      <c r="G277" s="208" t="s">
        <v>3</v>
      </c>
      <c r="H277" s="248" t="s">
        <v>5</v>
      </c>
      <c r="I277" s="248" t="s">
        <v>16</v>
      </c>
      <c r="J277" s="212" t="s">
        <v>157</v>
      </c>
    </row>
    <row r="278" spans="1:10" ht="13.8">
      <c r="A278" s="261" t="s">
        <v>156</v>
      </c>
      <c r="B278" s="215">
        <v>6.0100000000000001E-6</v>
      </c>
      <c r="C278" s="274" t="s">
        <v>17</v>
      </c>
      <c r="D278" s="208">
        <v>1</v>
      </c>
      <c r="E278" s="281">
        <f t="shared" ref="E278" si="13">D278*B278</f>
        <v>6.0100000000000001E-6</v>
      </c>
      <c r="F278" s="248" t="s">
        <v>144</v>
      </c>
      <c r="G278" s="208" t="s">
        <v>3</v>
      </c>
      <c r="H278" s="248" t="s">
        <v>5</v>
      </c>
      <c r="I278" s="248" t="s">
        <v>16</v>
      </c>
      <c r="J278" s="212" t="s">
        <v>165</v>
      </c>
    </row>
    <row r="279" spans="1:10" ht="13.8">
      <c r="A279" s="261" t="s">
        <v>146</v>
      </c>
      <c r="B279" s="215">
        <v>1.9999999999999999E-6</v>
      </c>
      <c r="C279" s="274" t="s">
        <v>17</v>
      </c>
      <c r="D279" s="218">
        <v>2</v>
      </c>
      <c r="E279" s="281">
        <f>D279*B279</f>
        <v>3.9999999999999998E-6</v>
      </c>
      <c r="F279" s="248" t="s">
        <v>144</v>
      </c>
      <c r="G279" s="208" t="s">
        <v>3</v>
      </c>
      <c r="H279" s="248" t="s">
        <v>5</v>
      </c>
      <c r="I279" s="248" t="s">
        <v>16</v>
      </c>
      <c r="J279" s="219" t="s">
        <v>179</v>
      </c>
    </row>
    <row r="280" spans="1:10" ht="13.8">
      <c r="A280" s="261" t="s">
        <v>146</v>
      </c>
      <c r="B280" s="221">
        <v>4.6999999999999999E-6</v>
      </c>
      <c r="C280" s="248" t="s">
        <v>17</v>
      </c>
      <c r="D280" s="218">
        <v>1</v>
      </c>
      <c r="E280" s="285">
        <f>D280*B280</f>
        <v>4.6999999999999999E-6</v>
      </c>
      <c r="F280" s="248" t="s">
        <v>144</v>
      </c>
      <c r="G280" s="208" t="s">
        <v>3</v>
      </c>
      <c r="H280" s="248" t="s">
        <v>5</v>
      </c>
      <c r="I280" s="248" t="s">
        <v>16</v>
      </c>
      <c r="J280" s="219" t="s">
        <v>206</v>
      </c>
    </row>
    <row r="281" spans="1:10" ht="13.8">
      <c r="A281" s="261" t="s">
        <v>202</v>
      </c>
      <c r="B281" s="208">
        <v>1.6419999999999998E-4</v>
      </c>
      <c r="C281" s="274" t="s">
        <v>17</v>
      </c>
      <c r="D281" s="208">
        <v>1</v>
      </c>
      <c r="E281" s="285">
        <f t="shared" ref="E281" si="14">D281*B281</f>
        <v>1.6419999999999998E-4</v>
      </c>
      <c r="F281" s="248" t="s">
        <v>144</v>
      </c>
      <c r="G281" s="208" t="s">
        <v>3</v>
      </c>
      <c r="H281" s="248" t="s">
        <v>5</v>
      </c>
      <c r="I281" s="248" t="s">
        <v>16</v>
      </c>
      <c r="J281" s="212" t="s">
        <v>212</v>
      </c>
    </row>
    <row r="282" spans="1:10" ht="13.8">
      <c r="A282" s="261" t="s">
        <v>181</v>
      </c>
      <c r="B282" s="215">
        <v>1.6000000000000001E-6</v>
      </c>
      <c r="C282" s="274" t="s">
        <v>17</v>
      </c>
      <c r="D282" s="216">
        <v>1</v>
      </c>
      <c r="E282" s="281">
        <f>D282*B282</f>
        <v>1.6000000000000001E-6</v>
      </c>
      <c r="F282" s="248" t="s">
        <v>144</v>
      </c>
      <c r="G282" s="208" t="s">
        <v>3</v>
      </c>
      <c r="H282" s="248" t="s">
        <v>5</v>
      </c>
      <c r="I282" s="248" t="s">
        <v>16</v>
      </c>
      <c r="J282" s="212" t="s">
        <v>182</v>
      </c>
    </row>
    <row r="283" spans="1:10" ht="14.4" thickBot="1">
      <c r="A283" s="262" t="str">
        <f>B265</f>
        <v>Protection Command</v>
      </c>
      <c r="B283" s="53">
        <v>1</v>
      </c>
      <c r="C283" s="275" t="s">
        <v>9</v>
      </c>
      <c r="D283" s="220">
        <v>1</v>
      </c>
      <c r="E283" s="283">
        <f>B283/D283</f>
        <v>1</v>
      </c>
      <c r="F283" s="275" t="str">
        <f>$B$2</f>
        <v>eFuse_Microchip</v>
      </c>
      <c r="G283" s="53" t="s">
        <v>3</v>
      </c>
      <c r="H283" s="283" t="s">
        <v>5</v>
      </c>
      <c r="I283" s="283" t="s">
        <v>26</v>
      </c>
      <c r="J283" s="54"/>
    </row>
    <row r="284" spans="1:10" ht="15" thickBot="1">
      <c r="A284"/>
      <c r="B284"/>
      <c r="C284"/>
      <c r="D284"/>
      <c r="E284"/>
      <c r="F284"/>
      <c r="G284"/>
      <c r="H284"/>
      <c r="I284"/>
      <c r="J284"/>
    </row>
    <row r="285" spans="1:10">
      <c r="A285" s="34" t="s">
        <v>1</v>
      </c>
      <c r="B285" s="35" t="s">
        <v>765</v>
      </c>
      <c r="C285" s="36"/>
      <c r="D285" s="37"/>
      <c r="E285" s="37"/>
      <c r="F285" s="37"/>
      <c r="G285" s="37"/>
      <c r="H285" s="36"/>
      <c r="I285" s="35"/>
      <c r="J285" s="38"/>
    </row>
    <row r="286" spans="1:10">
      <c r="A286" s="39" t="s">
        <v>2</v>
      </c>
      <c r="B286" s="40" t="s">
        <v>3</v>
      </c>
      <c r="C286" s="41"/>
      <c r="D286" s="41"/>
      <c r="E286" s="41"/>
      <c r="F286" s="41"/>
      <c r="G286" s="41"/>
      <c r="H286" s="41"/>
      <c r="I286" s="32"/>
      <c r="J286" s="42"/>
    </row>
    <row r="287" spans="1:10">
      <c r="A287" s="39" t="s">
        <v>4</v>
      </c>
      <c r="B287" s="41" t="s">
        <v>5</v>
      </c>
      <c r="C287" s="41"/>
      <c r="D287" s="41"/>
      <c r="E287" s="41"/>
      <c r="F287" s="41"/>
      <c r="G287" s="41"/>
      <c r="H287" s="41"/>
      <c r="I287" s="32"/>
      <c r="J287" s="42"/>
    </row>
    <row r="288" spans="1:10">
      <c r="A288" s="39" t="s">
        <v>6</v>
      </c>
      <c r="B288" s="41">
        <f>1</f>
        <v>1</v>
      </c>
      <c r="C288" s="41"/>
      <c r="D288" s="41"/>
      <c r="E288" s="41"/>
      <c r="F288" s="41"/>
      <c r="G288" s="41"/>
      <c r="H288" s="41"/>
      <c r="I288" s="32"/>
      <c r="J288" s="42"/>
    </row>
    <row r="289" spans="1:10">
      <c r="A289" s="39" t="s">
        <v>7</v>
      </c>
      <c r="B289" s="41" t="s">
        <v>8</v>
      </c>
      <c r="C289" s="41"/>
      <c r="D289" s="41"/>
      <c r="E289" s="41"/>
      <c r="F289" s="41"/>
      <c r="G289" s="41"/>
      <c r="H289" s="41"/>
      <c r="I289" s="32"/>
      <c r="J289" s="42"/>
    </row>
    <row r="290" spans="1:10">
      <c r="A290" s="39" t="s">
        <v>9</v>
      </c>
      <c r="B290" s="41" t="s">
        <v>9</v>
      </c>
      <c r="C290" s="41"/>
      <c r="D290" s="41"/>
      <c r="E290" s="41"/>
      <c r="F290" s="41"/>
      <c r="G290" s="41"/>
      <c r="H290" s="41"/>
      <c r="I290" s="32"/>
      <c r="J290" s="42"/>
    </row>
    <row r="291" spans="1:10">
      <c r="A291" s="43" t="s">
        <v>10</v>
      </c>
      <c r="B291" s="41"/>
      <c r="C291" s="41"/>
      <c r="D291" s="41"/>
      <c r="E291" s="41"/>
      <c r="F291" s="41"/>
      <c r="G291" s="41"/>
      <c r="H291" s="41"/>
      <c r="I291" s="32"/>
      <c r="J291" s="42"/>
    </row>
    <row r="292" spans="1:10">
      <c r="A292" s="44" t="s">
        <v>11</v>
      </c>
      <c r="B292" s="45" t="s">
        <v>755</v>
      </c>
      <c r="C292" s="45" t="s">
        <v>9</v>
      </c>
      <c r="D292" s="45" t="s">
        <v>754</v>
      </c>
      <c r="E292" s="45" t="s">
        <v>12</v>
      </c>
      <c r="F292" s="45" t="s">
        <v>13</v>
      </c>
      <c r="G292" s="45" t="s">
        <v>14</v>
      </c>
      <c r="H292" s="45" t="s">
        <v>4</v>
      </c>
      <c r="I292" s="45" t="s">
        <v>7</v>
      </c>
      <c r="J292" s="46" t="s">
        <v>148</v>
      </c>
    </row>
    <row r="293" spans="1:10" ht="13.8">
      <c r="A293" s="261" t="s">
        <v>156</v>
      </c>
      <c r="B293" s="215">
        <v>1.897E-5</v>
      </c>
      <c r="C293" s="274" t="s">
        <v>17</v>
      </c>
      <c r="D293" s="208">
        <v>1</v>
      </c>
      <c r="E293" s="281">
        <f t="shared" ref="E293:E295" si="15">D293*B293</f>
        <v>1.897E-5</v>
      </c>
      <c r="F293" s="248" t="s">
        <v>144</v>
      </c>
      <c r="G293" s="208" t="s">
        <v>3</v>
      </c>
      <c r="H293" s="248" t="s">
        <v>5</v>
      </c>
      <c r="I293" s="248" t="s">
        <v>16</v>
      </c>
      <c r="J293" s="212" t="s">
        <v>158</v>
      </c>
    </row>
    <row r="294" spans="1:10" ht="13.8">
      <c r="A294" s="261" t="s">
        <v>183</v>
      </c>
      <c r="B294" s="222">
        <v>9.2999999999999997E-5</v>
      </c>
      <c r="C294" s="274" t="s">
        <v>17</v>
      </c>
      <c r="D294" s="208">
        <v>1</v>
      </c>
      <c r="E294" s="281">
        <f t="shared" si="15"/>
        <v>9.2999999999999997E-5</v>
      </c>
      <c r="F294" s="248" t="s">
        <v>144</v>
      </c>
      <c r="G294" s="208" t="s">
        <v>3</v>
      </c>
      <c r="H294" s="248" t="s">
        <v>5</v>
      </c>
      <c r="I294" s="248" t="s">
        <v>16</v>
      </c>
      <c r="J294" s="212" t="s">
        <v>185</v>
      </c>
    </row>
    <row r="295" spans="1:10" ht="13.8">
      <c r="A295" s="261" t="s">
        <v>146</v>
      </c>
      <c r="B295" s="215">
        <v>4.5399999999999997E-6</v>
      </c>
      <c r="C295" s="274" t="s">
        <v>17</v>
      </c>
      <c r="D295" s="208">
        <v>2</v>
      </c>
      <c r="E295" s="281">
        <f t="shared" si="15"/>
        <v>9.0799999999999995E-6</v>
      </c>
      <c r="F295" s="248" t="s">
        <v>144</v>
      </c>
      <c r="G295" s="208" t="s">
        <v>3</v>
      </c>
      <c r="H295" s="248" t="s">
        <v>5</v>
      </c>
      <c r="I295" s="248" t="s">
        <v>16</v>
      </c>
      <c r="J295" s="212" t="s">
        <v>170</v>
      </c>
    </row>
    <row r="296" spans="1:10" ht="13.8">
      <c r="A296" s="261" t="s">
        <v>146</v>
      </c>
      <c r="B296" s="215">
        <v>9.8657600000000002E-6</v>
      </c>
      <c r="C296" s="274" t="s">
        <v>17</v>
      </c>
      <c r="D296" s="216">
        <v>1</v>
      </c>
      <c r="E296" s="281">
        <f>D296*B296</f>
        <v>9.8657600000000002E-6</v>
      </c>
      <c r="F296" s="248" t="s">
        <v>144</v>
      </c>
      <c r="G296" s="208" t="s">
        <v>3</v>
      </c>
      <c r="H296" s="248" t="s">
        <v>5</v>
      </c>
      <c r="I296" s="248" t="s">
        <v>16</v>
      </c>
      <c r="J296" s="212" t="s">
        <v>167</v>
      </c>
    </row>
    <row r="297" spans="1:10" ht="13.8">
      <c r="A297" s="261" t="s">
        <v>183</v>
      </c>
      <c r="B297" s="215">
        <v>6.3999999999999997E-5</v>
      </c>
      <c r="C297" s="274" t="s">
        <v>17</v>
      </c>
      <c r="D297" s="208">
        <v>1</v>
      </c>
      <c r="E297" s="281">
        <f t="shared" ref="E297:E298" si="16">D297*B297</f>
        <v>6.3999999999999997E-5</v>
      </c>
      <c r="F297" s="248" t="s">
        <v>144</v>
      </c>
      <c r="G297" s="208" t="s">
        <v>3</v>
      </c>
      <c r="H297" s="248" t="s">
        <v>5</v>
      </c>
      <c r="I297" s="248" t="s">
        <v>16</v>
      </c>
      <c r="J297" s="212" t="s">
        <v>184</v>
      </c>
    </row>
    <row r="298" spans="1:10" ht="13.8">
      <c r="A298" s="261" t="s">
        <v>156</v>
      </c>
      <c r="B298" s="215">
        <v>4.0960000000000001E-5</v>
      </c>
      <c r="C298" s="274" t="s">
        <v>17</v>
      </c>
      <c r="D298" s="208">
        <v>1</v>
      </c>
      <c r="E298" s="281">
        <f t="shared" si="16"/>
        <v>4.0960000000000001E-5</v>
      </c>
      <c r="F298" s="248" t="s">
        <v>144</v>
      </c>
      <c r="G298" s="208" t="s">
        <v>3</v>
      </c>
      <c r="H298" s="248" t="s">
        <v>5</v>
      </c>
      <c r="I298" s="248" t="s">
        <v>16</v>
      </c>
      <c r="J298" s="212" t="s">
        <v>159</v>
      </c>
    </row>
    <row r="299" spans="1:10" ht="13.8">
      <c r="A299" s="261" t="s">
        <v>156</v>
      </c>
      <c r="B299" s="215">
        <v>5.1200000000000001E-6</v>
      </c>
      <c r="C299" s="274" t="s">
        <v>17</v>
      </c>
      <c r="D299" s="216">
        <v>2</v>
      </c>
      <c r="E299" s="281">
        <f>D299*B299</f>
        <v>1.024E-5</v>
      </c>
      <c r="F299" s="248" t="s">
        <v>144</v>
      </c>
      <c r="G299" s="208" t="s">
        <v>3</v>
      </c>
      <c r="H299" s="248" t="s">
        <v>5</v>
      </c>
      <c r="I299" s="248" t="s">
        <v>16</v>
      </c>
      <c r="J299" s="212" t="s">
        <v>157</v>
      </c>
    </row>
    <row r="300" spans="1:10" ht="13.8">
      <c r="A300" s="261" t="s">
        <v>146</v>
      </c>
      <c r="B300" s="215">
        <v>2.4734299999999999E-6</v>
      </c>
      <c r="C300" s="274" t="s">
        <v>17</v>
      </c>
      <c r="D300" s="208">
        <v>1</v>
      </c>
      <c r="E300" s="281">
        <f t="shared" ref="E300:E303" si="17">D300*B300</f>
        <v>2.4734299999999999E-6</v>
      </c>
      <c r="F300" s="248" t="s">
        <v>144</v>
      </c>
      <c r="G300" s="208" t="s">
        <v>3</v>
      </c>
      <c r="H300" s="248" t="s">
        <v>5</v>
      </c>
      <c r="I300" s="248" t="s">
        <v>16</v>
      </c>
      <c r="J300" s="212" t="s">
        <v>168</v>
      </c>
    </row>
    <row r="301" spans="1:10" ht="13.8">
      <c r="A301" s="261" t="s">
        <v>146</v>
      </c>
      <c r="B301" s="215">
        <v>2.1322999999999999E-6</v>
      </c>
      <c r="C301" s="274" t="s">
        <v>17</v>
      </c>
      <c r="D301" s="208">
        <v>1</v>
      </c>
      <c r="E301" s="281">
        <f t="shared" si="17"/>
        <v>2.1322999999999999E-6</v>
      </c>
      <c r="F301" s="248" t="s">
        <v>144</v>
      </c>
      <c r="G301" s="208" t="s">
        <v>3</v>
      </c>
      <c r="H301" s="248" t="s">
        <v>5</v>
      </c>
      <c r="I301" s="248" t="s">
        <v>16</v>
      </c>
      <c r="J301" s="212" t="s">
        <v>169</v>
      </c>
    </row>
    <row r="302" spans="1:10" ht="13.8">
      <c r="A302" s="261" t="s">
        <v>156</v>
      </c>
      <c r="B302" s="215">
        <v>4.7519999999999999E-5</v>
      </c>
      <c r="C302" s="274" t="s">
        <v>17</v>
      </c>
      <c r="D302" s="208">
        <v>1</v>
      </c>
      <c r="E302" s="281">
        <f t="shared" si="17"/>
        <v>4.7519999999999999E-5</v>
      </c>
      <c r="F302" s="248" t="s">
        <v>144</v>
      </c>
      <c r="G302" s="208" t="s">
        <v>3</v>
      </c>
      <c r="H302" s="248" t="s">
        <v>5</v>
      </c>
      <c r="I302" s="248" t="s">
        <v>16</v>
      </c>
      <c r="J302" s="212" t="s">
        <v>160</v>
      </c>
    </row>
    <row r="303" spans="1:10" ht="13.8">
      <c r="A303" s="261" t="s">
        <v>202</v>
      </c>
      <c r="B303" s="208">
        <v>1.6499999999999998E-5</v>
      </c>
      <c r="C303" s="274" t="s">
        <v>17</v>
      </c>
      <c r="D303" s="216">
        <v>1</v>
      </c>
      <c r="E303" s="281">
        <f t="shared" si="17"/>
        <v>1.6499999999999998E-5</v>
      </c>
      <c r="F303" s="248" t="s">
        <v>144</v>
      </c>
      <c r="G303" s="208" t="s">
        <v>3</v>
      </c>
      <c r="H303" s="248" t="s">
        <v>5</v>
      </c>
      <c r="I303" s="248" t="s">
        <v>16</v>
      </c>
      <c r="J303" s="212" t="s">
        <v>204</v>
      </c>
    </row>
    <row r="304" spans="1:10" ht="13.8">
      <c r="A304" s="261" t="s">
        <v>181</v>
      </c>
      <c r="B304" s="215">
        <v>1.6000000000000001E-6</v>
      </c>
      <c r="C304" s="274" t="s">
        <v>17</v>
      </c>
      <c r="D304" s="216">
        <v>1</v>
      </c>
      <c r="E304" s="281">
        <f>D304*B304</f>
        <v>1.6000000000000001E-6</v>
      </c>
      <c r="F304" s="248" t="s">
        <v>144</v>
      </c>
      <c r="G304" s="208" t="s">
        <v>3</v>
      </c>
      <c r="H304" s="248" t="s">
        <v>5</v>
      </c>
      <c r="I304" s="248" t="s">
        <v>16</v>
      </c>
      <c r="J304" s="212" t="s">
        <v>182</v>
      </c>
    </row>
    <row r="305" spans="1:10" ht="14.4" thickBot="1">
      <c r="A305" s="262" t="str">
        <f>B285</f>
        <v>Voltage Converter – LV</v>
      </c>
      <c r="B305" s="53">
        <v>1</v>
      </c>
      <c r="C305" s="275" t="s">
        <v>9</v>
      </c>
      <c r="D305" s="220">
        <v>1</v>
      </c>
      <c r="E305" s="283">
        <f>B305/D305</f>
        <v>1</v>
      </c>
      <c r="F305" s="275" t="str">
        <f>$B$2</f>
        <v>eFuse_Microchip</v>
      </c>
      <c r="G305" s="53" t="s">
        <v>3</v>
      </c>
      <c r="H305" s="283" t="s">
        <v>5</v>
      </c>
      <c r="I305" s="283" t="s">
        <v>26</v>
      </c>
      <c r="J305" s="54"/>
    </row>
    <row r="306" spans="1:10" ht="15" thickBot="1">
      <c r="A306"/>
      <c r="B306"/>
      <c r="C306"/>
      <c r="D306"/>
      <c r="E306"/>
      <c r="F306"/>
      <c r="G306"/>
      <c r="H306"/>
      <c r="I306"/>
      <c r="J306"/>
    </row>
    <row r="307" spans="1:10">
      <c r="A307" s="34" t="s">
        <v>1</v>
      </c>
      <c r="B307" s="35" t="s">
        <v>770</v>
      </c>
      <c r="C307" s="36"/>
      <c r="D307" s="37"/>
      <c r="E307" s="37"/>
      <c r="F307" s="37"/>
      <c r="G307" s="37"/>
      <c r="H307" s="36"/>
      <c r="I307" s="35"/>
      <c r="J307" s="38"/>
    </row>
    <row r="308" spans="1:10">
      <c r="A308" s="39" t="s">
        <v>2</v>
      </c>
      <c r="B308" s="40" t="s">
        <v>3</v>
      </c>
      <c r="C308" s="41"/>
      <c r="D308" s="41"/>
      <c r="E308" s="41"/>
      <c r="F308" s="41"/>
      <c r="G308" s="41"/>
      <c r="H308" s="41"/>
      <c r="I308" s="32"/>
      <c r="J308" s="42"/>
    </row>
    <row r="309" spans="1:10">
      <c r="A309" s="39" t="s">
        <v>4</v>
      </c>
      <c r="B309" s="41" t="s">
        <v>5</v>
      </c>
      <c r="C309" s="41"/>
      <c r="D309" s="41"/>
      <c r="E309" s="41"/>
      <c r="F309" s="41"/>
      <c r="G309" s="41"/>
      <c r="H309" s="41"/>
      <c r="I309" s="32"/>
      <c r="J309" s="42"/>
    </row>
    <row r="310" spans="1:10">
      <c r="A310" s="39" t="s">
        <v>6</v>
      </c>
      <c r="B310" s="41">
        <f>1</f>
        <v>1</v>
      </c>
      <c r="C310" s="41"/>
      <c r="D310" s="41"/>
      <c r="E310" s="41"/>
      <c r="F310" s="41"/>
      <c r="G310" s="41"/>
      <c r="H310" s="41"/>
      <c r="I310" s="32"/>
      <c r="J310" s="42"/>
    </row>
    <row r="311" spans="1:10">
      <c r="A311" s="39" t="s">
        <v>7</v>
      </c>
      <c r="B311" s="41" t="s">
        <v>8</v>
      </c>
      <c r="C311" s="41"/>
      <c r="D311" s="41"/>
      <c r="E311" s="41"/>
      <c r="F311" s="41"/>
      <c r="G311" s="41"/>
      <c r="H311" s="41"/>
      <c r="I311" s="32"/>
      <c r="J311" s="42"/>
    </row>
    <row r="312" spans="1:10">
      <c r="A312" s="39" t="s">
        <v>9</v>
      </c>
      <c r="B312" s="41" t="s">
        <v>9</v>
      </c>
      <c r="C312" s="41"/>
      <c r="D312" s="41"/>
      <c r="E312" s="41"/>
      <c r="F312" s="41"/>
      <c r="G312" s="41"/>
      <c r="H312" s="41"/>
      <c r="I312" s="32"/>
      <c r="J312" s="42"/>
    </row>
    <row r="313" spans="1:10">
      <c r="A313" s="43" t="s">
        <v>10</v>
      </c>
      <c r="B313" s="41"/>
      <c r="C313" s="41"/>
      <c r="D313" s="41"/>
      <c r="E313" s="41"/>
      <c r="F313" s="41"/>
      <c r="G313" s="41"/>
      <c r="H313" s="41"/>
      <c r="I313" s="32"/>
      <c r="J313" s="42"/>
    </row>
    <row r="314" spans="1:10">
      <c r="A314" s="44" t="s">
        <v>11</v>
      </c>
      <c r="B314" s="45" t="s">
        <v>755</v>
      </c>
      <c r="C314" s="45" t="s">
        <v>9</v>
      </c>
      <c r="D314" s="45" t="s">
        <v>754</v>
      </c>
      <c r="E314" s="45" t="s">
        <v>12</v>
      </c>
      <c r="F314" s="45" t="s">
        <v>13</v>
      </c>
      <c r="G314" s="45" t="s">
        <v>14</v>
      </c>
      <c r="H314" s="45" t="s">
        <v>4</v>
      </c>
      <c r="I314" s="45" t="s">
        <v>7</v>
      </c>
      <c r="J314" s="46" t="s">
        <v>148</v>
      </c>
    </row>
    <row r="315" spans="1:10" ht="13.8">
      <c r="A315" s="263" t="s">
        <v>202</v>
      </c>
      <c r="B315" s="218">
        <v>1.7E-5</v>
      </c>
      <c r="C315" s="280" t="s">
        <v>17</v>
      </c>
      <c r="D315" s="218">
        <v>1</v>
      </c>
      <c r="E315" s="285">
        <f t="shared" ref="E315:E336" si="18">D315*B315</f>
        <v>1.7E-5</v>
      </c>
      <c r="F315" s="282" t="s">
        <v>144</v>
      </c>
      <c r="G315" s="218" t="s">
        <v>3</v>
      </c>
      <c r="H315" s="282" t="s">
        <v>5</v>
      </c>
      <c r="I315" s="282" t="s">
        <v>16</v>
      </c>
      <c r="J315" s="219" t="s">
        <v>207</v>
      </c>
    </row>
    <row r="316" spans="1:10" thickBot="1">
      <c r="A316" s="264" t="s">
        <v>192</v>
      </c>
      <c r="B316" s="223">
        <f>0.338*10^(-3)*0.1962*0.45</f>
        <v>2.9842020000000005E-5</v>
      </c>
      <c r="C316" s="277" t="s">
        <v>17</v>
      </c>
      <c r="D316" s="224">
        <v>1</v>
      </c>
      <c r="E316" s="286">
        <f t="shared" si="18"/>
        <v>2.9842020000000005E-5</v>
      </c>
      <c r="F316" s="287" t="s">
        <v>144</v>
      </c>
      <c r="G316" s="225" t="s">
        <v>3</v>
      </c>
      <c r="H316" s="287" t="s">
        <v>5</v>
      </c>
      <c r="I316" s="287" t="s">
        <v>16</v>
      </c>
      <c r="J316" s="226" t="s">
        <v>193</v>
      </c>
    </row>
    <row r="317" spans="1:10" thickTop="1">
      <c r="A317" s="265" t="s">
        <v>28</v>
      </c>
      <c r="B317" s="227">
        <f>0.338*10^(-3)*0.028*0.07+0.338*10^(-3)*0.025*0.96+0.338*10^(-3)*0.003*0.5+0.338*10^(-3)*0.025*0.98</f>
        <v>1.7562479999999999E-5</v>
      </c>
      <c r="C317" s="279" t="s">
        <v>17</v>
      </c>
      <c r="D317" s="228">
        <v>1</v>
      </c>
      <c r="E317" s="288">
        <f t="shared" si="18"/>
        <v>1.7562479999999999E-5</v>
      </c>
      <c r="F317" s="289" t="s">
        <v>144</v>
      </c>
      <c r="G317" s="229" t="s">
        <v>3</v>
      </c>
      <c r="H317" s="290" t="s">
        <v>5</v>
      </c>
      <c r="I317" s="290" t="s">
        <v>16</v>
      </c>
      <c r="J317" s="230" t="s">
        <v>193</v>
      </c>
    </row>
    <row r="318" spans="1:10" ht="15">
      <c r="A318" s="266" t="s">
        <v>19</v>
      </c>
      <c r="B318" s="231">
        <f>0.338*10^(-3)*0.028*0.925+0.338*10^(-3)*0.1083678+0.338*10^(-3)*0.025*0.02</f>
        <v>4.555151640000001E-5</v>
      </c>
      <c r="C318" s="274" t="s">
        <v>17</v>
      </c>
      <c r="D318" s="216">
        <v>1</v>
      </c>
      <c r="E318" s="281">
        <f t="shared" si="18"/>
        <v>4.555151640000001E-5</v>
      </c>
      <c r="F318" s="248" t="s">
        <v>144</v>
      </c>
      <c r="G318" s="208" t="s">
        <v>3</v>
      </c>
      <c r="H318" s="282" t="s">
        <v>5</v>
      </c>
      <c r="I318" s="282" t="s">
        <v>16</v>
      </c>
      <c r="J318" s="219" t="s">
        <v>193</v>
      </c>
    </row>
    <row r="319" spans="1:10" ht="15">
      <c r="A319" s="266" t="s">
        <v>22</v>
      </c>
      <c r="B319" s="232">
        <f>0.338*10^(-3)*0.003*0.5</f>
        <v>5.0700000000000008E-7</v>
      </c>
      <c r="C319" s="274" t="s">
        <v>17</v>
      </c>
      <c r="D319" s="216">
        <v>1</v>
      </c>
      <c r="E319" s="281">
        <f t="shared" si="18"/>
        <v>5.0700000000000008E-7</v>
      </c>
      <c r="F319" s="248" t="s">
        <v>144</v>
      </c>
      <c r="G319" s="208" t="s">
        <v>3</v>
      </c>
      <c r="H319" s="282" t="s">
        <v>5</v>
      </c>
      <c r="I319" s="282" t="s">
        <v>16</v>
      </c>
      <c r="J319" s="219" t="s">
        <v>193</v>
      </c>
    </row>
    <row r="320" spans="1:10" ht="15">
      <c r="A320" s="266" t="s">
        <v>194</v>
      </c>
      <c r="B320" s="232">
        <f>0.338*10^(-3)*0.025*0.04</f>
        <v>3.3800000000000004E-7</v>
      </c>
      <c r="C320" s="274" t="s">
        <v>17</v>
      </c>
      <c r="D320" s="216">
        <v>1</v>
      </c>
      <c r="E320" s="281">
        <f t="shared" si="18"/>
        <v>3.3800000000000004E-7</v>
      </c>
      <c r="F320" s="248" t="s">
        <v>144</v>
      </c>
      <c r="G320" s="208" t="s">
        <v>3</v>
      </c>
      <c r="H320" s="282" t="s">
        <v>5</v>
      </c>
      <c r="I320" s="282" t="s">
        <v>16</v>
      </c>
      <c r="J320" s="219" t="s">
        <v>193</v>
      </c>
    </row>
    <row r="321" spans="1:10" ht="15">
      <c r="A321" s="266" t="s">
        <v>195</v>
      </c>
      <c r="B321" s="232">
        <f>0.338*10^(-3)*0.028*0.005</f>
        <v>4.7320000000000009E-8</v>
      </c>
      <c r="C321" s="274" t="s">
        <v>17</v>
      </c>
      <c r="D321" s="216">
        <v>1</v>
      </c>
      <c r="E321" s="281">
        <f t="shared" si="18"/>
        <v>4.7320000000000009E-8</v>
      </c>
      <c r="F321" s="248" t="s">
        <v>144</v>
      </c>
      <c r="G321" s="208" t="s">
        <v>3</v>
      </c>
      <c r="H321" s="282" t="s">
        <v>5</v>
      </c>
      <c r="I321" s="282" t="s">
        <v>16</v>
      </c>
      <c r="J321" s="219" t="s">
        <v>193</v>
      </c>
    </row>
    <row r="322" spans="1:10" ht="15">
      <c r="A322" s="266" t="s">
        <v>24</v>
      </c>
      <c r="B322" s="232">
        <f>0.338*10^(-3)*0.5302*0.13</f>
        <v>2.3296988000000001E-5</v>
      </c>
      <c r="C322" s="274" t="s">
        <v>17</v>
      </c>
      <c r="D322" s="216">
        <v>1</v>
      </c>
      <c r="E322" s="281">
        <f t="shared" si="18"/>
        <v>2.3296988000000001E-5</v>
      </c>
      <c r="F322" s="248" t="s">
        <v>144</v>
      </c>
      <c r="G322" s="208" t="s">
        <v>3</v>
      </c>
      <c r="H322" s="282" t="s">
        <v>5</v>
      </c>
      <c r="I322" s="282" t="s">
        <v>16</v>
      </c>
      <c r="J322" s="219" t="s">
        <v>193</v>
      </c>
    </row>
    <row r="323" spans="1:10" ht="15">
      <c r="A323" s="266" t="s">
        <v>196</v>
      </c>
      <c r="B323" s="232">
        <f>0.338*10^(-3)*0.5302*0.17</f>
        <v>3.0465292000000003E-5</v>
      </c>
      <c r="C323" s="274" t="s">
        <v>17</v>
      </c>
      <c r="D323" s="216">
        <v>1</v>
      </c>
      <c r="E323" s="281">
        <f t="shared" si="18"/>
        <v>3.0465292000000003E-5</v>
      </c>
      <c r="F323" s="248" t="s">
        <v>144</v>
      </c>
      <c r="G323" s="208" t="s">
        <v>3</v>
      </c>
      <c r="H323" s="282" t="s">
        <v>5</v>
      </c>
      <c r="I323" s="282" t="s">
        <v>16</v>
      </c>
      <c r="J323" s="219" t="s">
        <v>193</v>
      </c>
    </row>
    <row r="324" spans="1:10" ht="15">
      <c r="A324" s="266" t="s">
        <v>197</v>
      </c>
      <c r="B324" s="232">
        <f>0.338*10^(-3)*0.0005*0.254</f>
        <v>4.2926000000000003E-8</v>
      </c>
      <c r="C324" s="274" t="s">
        <v>17</v>
      </c>
      <c r="D324" s="216">
        <v>1</v>
      </c>
      <c r="E324" s="281">
        <f t="shared" si="18"/>
        <v>4.2926000000000003E-8</v>
      </c>
      <c r="F324" s="248" t="s">
        <v>144</v>
      </c>
      <c r="G324" s="208" t="s">
        <v>3</v>
      </c>
      <c r="H324" s="282" t="s">
        <v>23</v>
      </c>
      <c r="I324" s="282" t="s">
        <v>16</v>
      </c>
      <c r="J324" s="219" t="s">
        <v>193</v>
      </c>
    </row>
    <row r="325" spans="1:10" ht="15">
      <c r="A325" s="266" t="s">
        <v>198</v>
      </c>
      <c r="B325" s="232">
        <f>0.338*10^(-3)*0.1962*0.25</f>
        <v>1.6578900000000001E-5</v>
      </c>
      <c r="C325" s="274" t="s">
        <v>17</v>
      </c>
      <c r="D325" s="216">
        <v>1</v>
      </c>
      <c r="E325" s="281">
        <f t="shared" si="18"/>
        <v>1.6578900000000001E-5</v>
      </c>
      <c r="F325" s="248" t="s">
        <v>144</v>
      </c>
      <c r="G325" s="208" t="s">
        <v>3</v>
      </c>
      <c r="H325" s="282" t="s">
        <v>23</v>
      </c>
      <c r="I325" s="282" t="s">
        <v>16</v>
      </c>
      <c r="J325" s="219" t="s">
        <v>193</v>
      </c>
    </row>
    <row r="326" spans="1:10" ht="15">
      <c r="A326" s="266" t="s">
        <v>25</v>
      </c>
      <c r="B326" s="232">
        <f>0.338*10^(-3)*0.1962*0.3</f>
        <v>1.989468E-5</v>
      </c>
      <c r="C326" s="274" t="s">
        <v>17</v>
      </c>
      <c r="D326" s="216">
        <v>1</v>
      </c>
      <c r="E326" s="281">
        <f t="shared" si="18"/>
        <v>1.989468E-5</v>
      </c>
      <c r="F326" s="248" t="s">
        <v>144</v>
      </c>
      <c r="G326" s="208" t="s">
        <v>3</v>
      </c>
      <c r="H326" s="282" t="s">
        <v>5</v>
      </c>
      <c r="I326" s="282" t="s">
        <v>16</v>
      </c>
      <c r="J326" s="219" t="s">
        <v>193</v>
      </c>
    </row>
    <row r="327" spans="1:10" ht="15">
      <c r="A327" s="266" t="s">
        <v>199</v>
      </c>
      <c r="B327" s="232">
        <f>0.338*10^(-3)*0.0005*0.746</f>
        <v>1.2607400000000002E-7</v>
      </c>
      <c r="C327" s="274" t="s">
        <v>17</v>
      </c>
      <c r="D327" s="216">
        <v>1</v>
      </c>
      <c r="E327" s="281">
        <f t="shared" si="18"/>
        <v>1.2607400000000002E-7</v>
      </c>
      <c r="F327" s="248" t="s">
        <v>144</v>
      </c>
      <c r="G327" s="208" t="s">
        <v>3</v>
      </c>
      <c r="H327" s="282" t="s">
        <v>23</v>
      </c>
      <c r="I327" s="282" t="s">
        <v>16</v>
      </c>
      <c r="J327" s="219" t="s">
        <v>193</v>
      </c>
    </row>
    <row r="328" spans="1:10" ht="15">
      <c r="A328" s="266" t="s">
        <v>200</v>
      </c>
      <c r="B328" s="232">
        <f>0.338*10^(-3)*0.0731*0.96</f>
        <v>2.3719487999999999E-5</v>
      </c>
      <c r="C328" s="274" t="s">
        <v>17</v>
      </c>
      <c r="D328" s="216">
        <v>1</v>
      </c>
      <c r="E328" s="281">
        <f t="shared" si="18"/>
        <v>2.3719487999999999E-5</v>
      </c>
      <c r="F328" s="248" t="s">
        <v>144</v>
      </c>
      <c r="G328" s="208" t="s">
        <v>3</v>
      </c>
      <c r="H328" s="282" t="s">
        <v>5</v>
      </c>
      <c r="I328" s="282" t="s">
        <v>16</v>
      </c>
      <c r="J328" s="219" t="s">
        <v>193</v>
      </c>
    </row>
    <row r="329" spans="1:10" thickBot="1">
      <c r="A329" s="267" t="s">
        <v>201</v>
      </c>
      <c r="B329" s="223">
        <f>0.338*10^(-3)</f>
        <v>3.3800000000000003E-4</v>
      </c>
      <c r="C329" s="277" t="s">
        <v>17</v>
      </c>
      <c r="D329" s="224">
        <v>1</v>
      </c>
      <c r="E329" s="286">
        <f t="shared" si="18"/>
        <v>3.3800000000000003E-4</v>
      </c>
      <c r="F329" s="287" t="s">
        <v>144</v>
      </c>
      <c r="G329" s="225" t="s">
        <v>3</v>
      </c>
      <c r="H329" s="287" t="s">
        <v>5</v>
      </c>
      <c r="I329" s="287" t="s">
        <v>16</v>
      </c>
      <c r="J329" s="226" t="s">
        <v>193</v>
      </c>
    </row>
    <row r="330" spans="1:10" ht="14.4" thickTop="1">
      <c r="A330" s="268" t="s">
        <v>146</v>
      </c>
      <c r="B330" s="233">
        <v>2.4734299999999999E-6</v>
      </c>
      <c r="C330" s="279" t="s">
        <v>17</v>
      </c>
      <c r="D330" s="229">
        <v>1</v>
      </c>
      <c r="E330" s="288">
        <f t="shared" si="18"/>
        <v>2.4734299999999999E-6</v>
      </c>
      <c r="F330" s="289" t="s">
        <v>144</v>
      </c>
      <c r="G330" s="229" t="s">
        <v>3</v>
      </c>
      <c r="H330" s="289" t="s">
        <v>5</v>
      </c>
      <c r="I330" s="289" t="s">
        <v>16</v>
      </c>
      <c r="J330" s="234" t="s">
        <v>168</v>
      </c>
    </row>
    <row r="331" spans="1:10" ht="13.8">
      <c r="A331" s="261" t="s">
        <v>146</v>
      </c>
      <c r="B331" s="215">
        <v>2.1611200000000001E-6</v>
      </c>
      <c r="C331" s="274" t="s">
        <v>17</v>
      </c>
      <c r="D331" s="208">
        <v>3</v>
      </c>
      <c r="E331" s="281">
        <f t="shared" si="18"/>
        <v>6.4833600000000002E-6</v>
      </c>
      <c r="F331" s="248" t="s">
        <v>144</v>
      </c>
      <c r="G331" s="208" t="s">
        <v>3</v>
      </c>
      <c r="H331" s="248" t="s">
        <v>5</v>
      </c>
      <c r="I331" s="248" t="s">
        <v>16</v>
      </c>
      <c r="J331" s="212" t="s">
        <v>171</v>
      </c>
    </row>
    <row r="332" spans="1:10" ht="13.8">
      <c r="A332" s="261" t="s">
        <v>156</v>
      </c>
      <c r="B332" s="215">
        <v>1.897E-5</v>
      </c>
      <c r="C332" s="274" t="s">
        <v>17</v>
      </c>
      <c r="D332" s="208">
        <v>1</v>
      </c>
      <c r="E332" s="281">
        <f t="shared" si="18"/>
        <v>1.897E-5</v>
      </c>
      <c r="F332" s="248" t="s">
        <v>144</v>
      </c>
      <c r="G332" s="208" t="s">
        <v>3</v>
      </c>
      <c r="H332" s="248" t="s">
        <v>5</v>
      </c>
      <c r="I332" s="248" t="s">
        <v>16</v>
      </c>
      <c r="J332" s="212" t="s">
        <v>161</v>
      </c>
    </row>
    <row r="333" spans="1:10" ht="13.8">
      <c r="A333" s="261" t="s">
        <v>183</v>
      </c>
      <c r="B333" s="215">
        <v>7.9999999999999996E-6</v>
      </c>
      <c r="C333" s="274" t="s">
        <v>17</v>
      </c>
      <c r="D333" s="208">
        <v>1</v>
      </c>
      <c r="E333" s="281">
        <f t="shared" si="18"/>
        <v>7.9999999999999996E-6</v>
      </c>
      <c r="F333" s="248" t="s">
        <v>144</v>
      </c>
      <c r="G333" s="208" t="s">
        <v>3</v>
      </c>
      <c r="H333" s="248" t="s">
        <v>5</v>
      </c>
      <c r="I333" s="248" t="s">
        <v>16</v>
      </c>
      <c r="J333" s="212" t="s">
        <v>186</v>
      </c>
    </row>
    <row r="334" spans="1:10" ht="13.8">
      <c r="A334" s="261" t="s">
        <v>156</v>
      </c>
      <c r="B334" s="215">
        <v>4.0960000000000001E-5</v>
      </c>
      <c r="C334" s="274" t="s">
        <v>17</v>
      </c>
      <c r="D334" s="208">
        <v>2</v>
      </c>
      <c r="E334" s="281">
        <f t="shared" si="18"/>
        <v>8.1920000000000002E-5</v>
      </c>
      <c r="F334" s="248" t="s">
        <v>144</v>
      </c>
      <c r="G334" s="208" t="s">
        <v>3</v>
      </c>
      <c r="H334" s="248" t="s">
        <v>5</v>
      </c>
      <c r="I334" s="248" t="s">
        <v>16</v>
      </c>
      <c r="J334" s="212" t="s">
        <v>159</v>
      </c>
    </row>
    <row r="335" spans="1:10" ht="13.8">
      <c r="A335" s="261" t="s">
        <v>156</v>
      </c>
      <c r="B335" s="215">
        <v>6.0000000000000002E-6</v>
      </c>
      <c r="C335" s="274" t="s">
        <v>17</v>
      </c>
      <c r="D335" s="208">
        <v>1</v>
      </c>
      <c r="E335" s="281">
        <f t="shared" si="18"/>
        <v>6.0000000000000002E-6</v>
      </c>
      <c r="F335" s="248" t="s">
        <v>144</v>
      </c>
      <c r="G335" s="208" t="s">
        <v>3</v>
      </c>
      <c r="H335" s="248" t="s">
        <v>5</v>
      </c>
      <c r="I335" s="248" t="s">
        <v>16</v>
      </c>
      <c r="J335" s="212" t="s">
        <v>162</v>
      </c>
    </row>
    <row r="336" spans="1:10" ht="13.8">
      <c r="A336" s="261" t="s">
        <v>190</v>
      </c>
      <c r="B336" s="215">
        <v>1.1050000000000001E-5</v>
      </c>
      <c r="C336" s="274" t="s">
        <v>17</v>
      </c>
      <c r="D336" s="208">
        <v>1</v>
      </c>
      <c r="E336" s="281">
        <f t="shared" si="18"/>
        <v>1.1050000000000001E-5</v>
      </c>
      <c r="F336" s="248" t="s">
        <v>144</v>
      </c>
      <c r="G336" s="208" t="s">
        <v>3</v>
      </c>
      <c r="H336" s="248" t="s">
        <v>5</v>
      </c>
      <c r="I336" s="248" t="s">
        <v>16</v>
      </c>
      <c r="J336" s="212" t="s">
        <v>205</v>
      </c>
    </row>
    <row r="337" spans="1:10" ht="13.8">
      <c r="A337" s="261" t="s">
        <v>190</v>
      </c>
      <c r="B337" s="215">
        <v>7.4969700000000008E-6</v>
      </c>
      <c r="C337" s="274" t="s">
        <v>17</v>
      </c>
      <c r="D337" s="216">
        <v>2</v>
      </c>
      <c r="E337" s="281">
        <f>D337*B337</f>
        <v>1.4993940000000002E-5</v>
      </c>
      <c r="F337" s="248" t="s">
        <v>144</v>
      </c>
      <c r="G337" s="208" t="s">
        <v>3</v>
      </c>
      <c r="H337" s="248" t="s">
        <v>5</v>
      </c>
      <c r="I337" s="248" t="s">
        <v>16</v>
      </c>
      <c r="J337" s="212" t="s">
        <v>191</v>
      </c>
    </row>
    <row r="338" spans="1:10" ht="13.8">
      <c r="A338" s="261" t="s">
        <v>156</v>
      </c>
      <c r="B338" s="215">
        <v>5.1200000000000001E-6</v>
      </c>
      <c r="C338" s="274" t="s">
        <v>17</v>
      </c>
      <c r="D338" s="216">
        <v>1</v>
      </c>
      <c r="E338" s="281">
        <f>D338*B338</f>
        <v>5.1200000000000001E-6</v>
      </c>
      <c r="F338" s="248" t="s">
        <v>144</v>
      </c>
      <c r="G338" s="208" t="s">
        <v>3</v>
      </c>
      <c r="H338" s="248" t="s">
        <v>5</v>
      </c>
      <c r="I338" s="248" t="s">
        <v>16</v>
      </c>
      <c r="J338" s="212" t="s">
        <v>157</v>
      </c>
    </row>
    <row r="339" spans="1:10" ht="14.4" thickBot="1">
      <c r="A339" s="262" t="str">
        <f>B307</f>
        <v>Transformer - LV-HV Zone</v>
      </c>
      <c r="B339" s="53">
        <v>1</v>
      </c>
      <c r="C339" s="275" t="s">
        <v>9</v>
      </c>
      <c r="D339" s="220">
        <v>1</v>
      </c>
      <c r="E339" s="283">
        <f>B339/D339</f>
        <v>1</v>
      </c>
      <c r="F339" s="275" t="str">
        <f>$B$2</f>
        <v>eFuse_Microchip</v>
      </c>
      <c r="G339" s="53" t="s">
        <v>3</v>
      </c>
      <c r="H339" s="283" t="s">
        <v>5</v>
      </c>
      <c r="I339" s="283" t="s">
        <v>26</v>
      </c>
      <c r="J339" s="54"/>
    </row>
    <row r="340" spans="1:10" ht="15" thickBot="1">
      <c r="A340"/>
      <c r="B340"/>
      <c r="C340"/>
      <c r="D340"/>
      <c r="E340"/>
      <c r="F340"/>
      <c r="G340"/>
      <c r="H340"/>
      <c r="I340"/>
      <c r="J340"/>
    </row>
    <row r="341" spans="1:10">
      <c r="A341" s="34" t="s">
        <v>1</v>
      </c>
      <c r="B341" s="35" t="s">
        <v>768</v>
      </c>
      <c r="C341" s="36"/>
      <c r="D341" s="37"/>
      <c r="E341" s="37"/>
      <c r="F341" s="37"/>
      <c r="G341" s="37"/>
      <c r="H341" s="36"/>
      <c r="I341" s="35"/>
      <c r="J341" s="38"/>
    </row>
    <row r="342" spans="1:10">
      <c r="A342" s="39" t="s">
        <v>2</v>
      </c>
      <c r="B342" s="40" t="s">
        <v>3</v>
      </c>
      <c r="C342" s="41"/>
      <c r="D342" s="41"/>
      <c r="E342" s="41"/>
      <c r="F342" s="41"/>
      <c r="G342" s="41"/>
      <c r="H342" s="41"/>
      <c r="I342" s="32"/>
      <c r="J342" s="42"/>
    </row>
    <row r="343" spans="1:10">
      <c r="A343" s="39" t="s">
        <v>4</v>
      </c>
      <c r="B343" s="41" t="s">
        <v>5</v>
      </c>
      <c r="C343" s="41"/>
      <c r="D343" s="41"/>
      <c r="E343" s="41"/>
      <c r="F343" s="41"/>
      <c r="G343" s="41"/>
      <c r="H343" s="41"/>
      <c r="I343" s="32"/>
      <c r="J343" s="49"/>
    </row>
    <row r="344" spans="1:10">
      <c r="A344" s="39" t="s">
        <v>6</v>
      </c>
      <c r="B344" s="41">
        <f>1</f>
        <v>1</v>
      </c>
      <c r="C344" s="41"/>
      <c r="D344" s="41"/>
      <c r="E344" s="41"/>
      <c r="F344" s="41"/>
      <c r="G344" s="41"/>
      <c r="H344" s="41"/>
      <c r="I344" s="32"/>
      <c r="J344" s="49"/>
    </row>
    <row r="345" spans="1:10">
      <c r="A345" s="39" t="s">
        <v>7</v>
      </c>
      <c r="B345" s="41" t="s">
        <v>8</v>
      </c>
      <c r="C345" s="41"/>
      <c r="D345" s="41"/>
      <c r="E345" s="41"/>
      <c r="F345" s="41"/>
      <c r="G345" s="41"/>
      <c r="H345" s="41"/>
      <c r="I345" s="32"/>
      <c r="J345" s="49"/>
    </row>
    <row r="346" spans="1:10">
      <c r="A346" s="39" t="s">
        <v>9</v>
      </c>
      <c r="B346" s="41" t="s">
        <v>9</v>
      </c>
      <c r="C346" s="41"/>
      <c r="D346" s="41"/>
      <c r="E346" s="41"/>
      <c r="F346" s="41"/>
      <c r="G346" s="41"/>
      <c r="H346" s="41"/>
      <c r="I346" s="32"/>
      <c r="J346" s="49"/>
    </row>
    <row r="347" spans="1:10">
      <c r="A347" s="43" t="s">
        <v>10</v>
      </c>
      <c r="B347" s="41"/>
      <c r="C347" s="41"/>
      <c r="D347" s="41"/>
      <c r="E347" s="41"/>
      <c r="F347" s="41"/>
      <c r="G347" s="41"/>
      <c r="H347" s="41"/>
      <c r="I347" s="32"/>
      <c r="J347" s="49"/>
    </row>
    <row r="348" spans="1:10">
      <c r="A348" s="45" t="s">
        <v>11</v>
      </c>
      <c r="B348" s="190" t="s">
        <v>755</v>
      </c>
      <c r="C348" s="45" t="s">
        <v>9</v>
      </c>
      <c r="D348" s="190" t="s">
        <v>754</v>
      </c>
      <c r="E348" s="45" t="s">
        <v>12</v>
      </c>
      <c r="F348" s="45" t="s">
        <v>13</v>
      </c>
      <c r="G348" s="45" t="s">
        <v>14</v>
      </c>
      <c r="H348" s="45" t="s">
        <v>4</v>
      </c>
      <c r="I348" s="45" t="s">
        <v>7</v>
      </c>
      <c r="J348" s="46" t="s">
        <v>148</v>
      </c>
    </row>
    <row r="349" spans="1:10" customFormat="1" ht="14.4">
      <c r="A349" s="261" t="s">
        <v>156</v>
      </c>
      <c r="B349" s="215">
        <v>5.1200000000000001E-6</v>
      </c>
      <c r="C349" s="274" t="s">
        <v>17</v>
      </c>
      <c r="D349" s="216">
        <v>3</v>
      </c>
      <c r="E349" s="281">
        <f>D349*B349</f>
        <v>1.5360000000000002E-5</v>
      </c>
      <c r="F349" s="248" t="s">
        <v>144</v>
      </c>
      <c r="G349" s="208" t="s">
        <v>3</v>
      </c>
      <c r="H349" s="248" t="s">
        <v>5</v>
      </c>
      <c r="I349" s="248" t="s">
        <v>16</v>
      </c>
      <c r="J349" s="212" t="s">
        <v>157</v>
      </c>
    </row>
    <row r="350" spans="1:10" customFormat="1" ht="14.4">
      <c r="A350" s="261" t="s">
        <v>146</v>
      </c>
      <c r="B350" s="215">
        <v>2.4734299999999999E-6</v>
      </c>
      <c r="C350" s="274" t="s">
        <v>17</v>
      </c>
      <c r="D350" s="208">
        <v>3</v>
      </c>
      <c r="E350" s="281">
        <f t="shared" ref="E350:E357" si="19">D350*B350</f>
        <v>7.4202900000000001E-6</v>
      </c>
      <c r="F350" s="248" t="s">
        <v>144</v>
      </c>
      <c r="G350" s="208" t="s">
        <v>3</v>
      </c>
      <c r="H350" s="248" t="s">
        <v>5</v>
      </c>
      <c r="I350" s="248" t="s">
        <v>16</v>
      </c>
      <c r="J350" s="212" t="s">
        <v>168</v>
      </c>
    </row>
    <row r="351" spans="1:10" customFormat="1" ht="14.4">
      <c r="A351" s="261" t="s">
        <v>146</v>
      </c>
      <c r="B351" s="215">
        <v>2.1611200000000001E-6</v>
      </c>
      <c r="C351" s="274" t="s">
        <v>17</v>
      </c>
      <c r="D351" s="208">
        <v>2</v>
      </c>
      <c r="E351" s="281">
        <f t="shared" si="19"/>
        <v>4.3222400000000001E-6</v>
      </c>
      <c r="F351" s="248" t="s">
        <v>144</v>
      </c>
      <c r="G351" s="208" t="s">
        <v>3</v>
      </c>
      <c r="H351" s="248" t="s">
        <v>5</v>
      </c>
      <c r="I351" s="248" t="s">
        <v>16</v>
      </c>
      <c r="J351" s="212" t="s">
        <v>172</v>
      </c>
    </row>
    <row r="352" spans="1:10" customFormat="1" ht="14.4">
      <c r="A352" s="261" t="s">
        <v>146</v>
      </c>
      <c r="B352" s="215">
        <v>2.4734299999999999E-6</v>
      </c>
      <c r="C352" s="274" t="s">
        <v>17</v>
      </c>
      <c r="D352" s="208">
        <v>5</v>
      </c>
      <c r="E352" s="281">
        <f t="shared" si="19"/>
        <v>1.2367149999999999E-5</v>
      </c>
      <c r="F352" s="248" t="s">
        <v>144</v>
      </c>
      <c r="G352" s="208" t="s">
        <v>3</v>
      </c>
      <c r="H352" s="248" t="s">
        <v>5</v>
      </c>
      <c r="I352" s="248" t="s">
        <v>16</v>
      </c>
      <c r="J352" s="212" t="s">
        <v>173</v>
      </c>
    </row>
    <row r="353" spans="1:10" customFormat="1" ht="14.4">
      <c r="A353" s="261" t="s">
        <v>146</v>
      </c>
      <c r="B353" s="215">
        <v>2.1611200000000001E-6</v>
      </c>
      <c r="C353" s="274" t="s">
        <v>17</v>
      </c>
      <c r="D353" s="208">
        <v>1</v>
      </c>
      <c r="E353" s="281">
        <f t="shared" si="19"/>
        <v>2.1611200000000001E-6</v>
      </c>
      <c r="F353" s="248" t="s">
        <v>144</v>
      </c>
      <c r="G353" s="208" t="s">
        <v>3</v>
      </c>
      <c r="H353" s="248" t="s">
        <v>5</v>
      </c>
      <c r="I353" s="248" t="s">
        <v>16</v>
      </c>
      <c r="J353" s="212" t="s">
        <v>171</v>
      </c>
    </row>
    <row r="354" spans="1:10" customFormat="1" ht="14.4">
      <c r="A354" s="261" t="s">
        <v>156</v>
      </c>
      <c r="B354" s="215">
        <v>1.2E-5</v>
      </c>
      <c r="C354" s="274" t="s">
        <v>17</v>
      </c>
      <c r="D354" s="208">
        <v>1</v>
      </c>
      <c r="E354" s="281">
        <f t="shared" si="19"/>
        <v>1.2E-5</v>
      </c>
      <c r="F354" s="248" t="s">
        <v>144</v>
      </c>
      <c r="G354" s="208" t="s">
        <v>3</v>
      </c>
      <c r="H354" s="248" t="s">
        <v>5</v>
      </c>
      <c r="I354" s="248" t="s">
        <v>16</v>
      </c>
      <c r="J354" s="212" t="s">
        <v>163</v>
      </c>
    </row>
    <row r="355" spans="1:10" customFormat="1" ht="14.4">
      <c r="A355" s="261" t="s">
        <v>183</v>
      </c>
      <c r="B355" s="215">
        <v>4.1984999999999997E-6</v>
      </c>
      <c r="C355" s="274" t="s">
        <v>17</v>
      </c>
      <c r="D355" s="208">
        <v>1</v>
      </c>
      <c r="E355" s="281">
        <f t="shared" si="19"/>
        <v>4.1984999999999997E-6</v>
      </c>
      <c r="F355" s="248" t="s">
        <v>144</v>
      </c>
      <c r="G355" s="208" t="s">
        <v>3</v>
      </c>
      <c r="H355" s="248" t="s">
        <v>5</v>
      </c>
      <c r="I355" s="248" t="s">
        <v>16</v>
      </c>
      <c r="J355" s="212" t="s">
        <v>187</v>
      </c>
    </row>
    <row r="356" spans="1:10" customFormat="1" ht="14.4">
      <c r="A356" s="261" t="s">
        <v>202</v>
      </c>
      <c r="B356" s="208">
        <v>7.4999999999999993E-5</v>
      </c>
      <c r="C356" s="274" t="s">
        <v>17</v>
      </c>
      <c r="D356" s="208">
        <v>1</v>
      </c>
      <c r="E356" s="285">
        <f t="shared" si="19"/>
        <v>7.4999999999999993E-5</v>
      </c>
      <c r="F356" s="248" t="s">
        <v>144</v>
      </c>
      <c r="G356" s="208" t="s">
        <v>3</v>
      </c>
      <c r="H356" s="248" t="s">
        <v>5</v>
      </c>
      <c r="I356" s="248" t="s">
        <v>16</v>
      </c>
      <c r="J356" s="212" t="s">
        <v>209</v>
      </c>
    </row>
    <row r="357" spans="1:10" customFormat="1" ht="14.4">
      <c r="A357" s="261" t="s">
        <v>202</v>
      </c>
      <c r="B357" s="208">
        <v>6.2694357000000003E-4</v>
      </c>
      <c r="C357" s="274" t="s">
        <v>17</v>
      </c>
      <c r="D357" s="216">
        <v>1</v>
      </c>
      <c r="E357" s="284">
        <f t="shared" si="19"/>
        <v>6.2694357000000003E-4</v>
      </c>
      <c r="F357" s="248" t="s">
        <v>144</v>
      </c>
      <c r="G357" s="208" t="s">
        <v>3</v>
      </c>
      <c r="H357" s="248" t="s">
        <v>5</v>
      </c>
      <c r="I357" s="248" t="s">
        <v>16</v>
      </c>
      <c r="J357" s="212" t="s">
        <v>208</v>
      </c>
    </row>
    <row r="358" spans="1:10" ht="15" thickBot="1">
      <c r="A358" s="247" t="str">
        <f>B341</f>
        <v>Communication - Protocol LIN</v>
      </c>
      <c r="B358" s="47">
        <v>1</v>
      </c>
      <c r="C358" s="251" t="s">
        <v>9</v>
      </c>
      <c r="D358" s="211">
        <v>1</v>
      </c>
      <c r="E358" s="291">
        <v>1</v>
      </c>
      <c r="F358" s="251" t="str">
        <f>$B$2</f>
        <v>eFuse_Microchip</v>
      </c>
      <c r="G358" s="47" t="s">
        <v>3</v>
      </c>
      <c r="H358" s="252" t="s">
        <v>5</v>
      </c>
      <c r="I358" s="252" t="s">
        <v>26</v>
      </c>
      <c r="J358" s="48"/>
    </row>
    <row r="359" spans="1:10" ht="15" thickBot="1">
      <c r="A359"/>
      <c r="B359"/>
      <c r="C359"/>
      <c r="D359"/>
      <c r="E359"/>
      <c r="F359"/>
      <c r="G359"/>
      <c r="H359"/>
      <c r="I359"/>
      <c r="J359"/>
    </row>
    <row r="360" spans="1:10">
      <c r="A360" s="34" t="s">
        <v>1</v>
      </c>
      <c r="B360" s="35" t="s">
        <v>213</v>
      </c>
      <c r="C360" s="36"/>
      <c r="D360" s="37"/>
      <c r="E360" s="37"/>
      <c r="F360" s="37"/>
      <c r="G360" s="37"/>
      <c r="H360" s="36"/>
      <c r="I360" s="35"/>
      <c r="J360" s="38"/>
    </row>
    <row r="361" spans="1:10">
      <c r="A361" s="39" t="s">
        <v>2</v>
      </c>
      <c r="B361" s="40" t="s">
        <v>3</v>
      </c>
      <c r="C361" s="41"/>
      <c r="D361" s="41"/>
      <c r="E361" s="41"/>
      <c r="F361" s="41"/>
      <c r="G361" s="41"/>
      <c r="H361" s="41"/>
      <c r="I361" s="32"/>
      <c r="J361" s="42"/>
    </row>
    <row r="362" spans="1:10">
      <c r="A362" s="39" t="s">
        <v>4</v>
      </c>
      <c r="B362" s="41" t="s">
        <v>5</v>
      </c>
      <c r="C362" s="41"/>
      <c r="D362" s="41"/>
      <c r="E362" s="41"/>
      <c r="F362" s="41"/>
      <c r="G362" s="41"/>
      <c r="H362" s="41"/>
      <c r="I362" s="32"/>
      <c r="J362" s="49"/>
    </row>
    <row r="363" spans="1:10">
      <c r="A363" s="39" t="s">
        <v>6</v>
      </c>
      <c r="B363" s="41">
        <f>1</f>
        <v>1</v>
      </c>
      <c r="C363" s="41"/>
      <c r="D363" s="41"/>
      <c r="E363" s="41"/>
      <c r="F363" s="41"/>
      <c r="G363" s="41"/>
      <c r="H363" s="41"/>
      <c r="I363" s="32"/>
      <c r="J363" s="49"/>
    </row>
    <row r="364" spans="1:10">
      <c r="A364" s="39" t="s">
        <v>7</v>
      </c>
      <c r="B364" s="41" t="s">
        <v>8</v>
      </c>
      <c r="C364" s="41"/>
      <c r="D364" s="41"/>
      <c r="E364" s="41"/>
      <c r="F364" s="41"/>
      <c r="G364" s="41"/>
      <c r="H364" s="41"/>
      <c r="I364" s="32"/>
      <c r="J364" s="49"/>
    </row>
    <row r="365" spans="1:10">
      <c r="A365" s="39" t="s">
        <v>9</v>
      </c>
      <c r="B365" s="41" t="s">
        <v>9</v>
      </c>
      <c r="C365" s="41"/>
      <c r="D365" s="41"/>
      <c r="E365" s="41"/>
      <c r="F365" s="41"/>
      <c r="G365" s="41"/>
      <c r="H365" s="41"/>
      <c r="I365" s="32"/>
      <c r="J365" s="49"/>
    </row>
    <row r="366" spans="1:10">
      <c r="A366" s="43" t="s">
        <v>10</v>
      </c>
      <c r="B366" s="41"/>
      <c r="C366" s="41"/>
      <c r="D366" s="41"/>
      <c r="E366" s="41"/>
      <c r="F366" s="41"/>
      <c r="G366" s="41"/>
      <c r="H366" s="41"/>
      <c r="I366" s="32"/>
      <c r="J366" s="42"/>
    </row>
    <row r="367" spans="1:10" ht="16.2" thickBot="1">
      <c r="A367" s="50" t="s">
        <v>11</v>
      </c>
      <c r="B367" s="190" t="s">
        <v>755</v>
      </c>
      <c r="C367" s="51" t="s">
        <v>9</v>
      </c>
      <c r="D367" s="190" t="s">
        <v>754</v>
      </c>
      <c r="E367" s="45" t="s">
        <v>12</v>
      </c>
      <c r="F367" s="51" t="s">
        <v>13</v>
      </c>
      <c r="G367" s="51" t="s">
        <v>14</v>
      </c>
      <c r="H367" s="51" t="s">
        <v>4</v>
      </c>
      <c r="I367" s="51" t="s">
        <v>7</v>
      </c>
      <c r="J367" s="52" t="s">
        <v>148</v>
      </c>
    </row>
    <row r="368" spans="1:10" ht="13.8">
      <c r="A368" s="269" t="s">
        <v>214</v>
      </c>
      <c r="B368" s="235">
        <v>3.0249999999999999E-3</v>
      </c>
      <c r="C368" s="276" t="s">
        <v>15</v>
      </c>
      <c r="D368" s="236">
        <v>1</v>
      </c>
      <c r="E368" s="292">
        <f t="shared" ref="E368:E375" si="20">D368*B368</f>
        <v>3.0249999999999999E-3</v>
      </c>
      <c r="F368" s="293" t="s">
        <v>144</v>
      </c>
      <c r="G368" s="237" t="s">
        <v>3</v>
      </c>
      <c r="H368" s="293" t="s">
        <v>5</v>
      </c>
      <c r="I368" s="293" t="s">
        <v>16</v>
      </c>
      <c r="J368" s="238" t="s">
        <v>215</v>
      </c>
    </row>
    <row r="369" spans="1:10" ht="14.4" thickBot="1">
      <c r="A369" s="270" t="s">
        <v>216</v>
      </c>
      <c r="B369" s="223">
        <f>0.000108/3</f>
        <v>3.6000000000000001E-5</v>
      </c>
      <c r="C369" s="277" t="s">
        <v>15</v>
      </c>
      <c r="D369" s="224">
        <v>1</v>
      </c>
      <c r="E369" s="286">
        <f t="shared" si="20"/>
        <v>3.6000000000000001E-5</v>
      </c>
      <c r="F369" s="287" t="s">
        <v>144</v>
      </c>
      <c r="G369" s="225" t="s">
        <v>3</v>
      </c>
      <c r="H369" s="287" t="s">
        <v>5</v>
      </c>
      <c r="I369" s="287" t="s">
        <v>16</v>
      </c>
      <c r="J369" s="226" t="s">
        <v>215</v>
      </c>
    </row>
    <row r="370" spans="1:10" ht="14.4" thickTop="1">
      <c r="A370" s="271" t="s">
        <v>27</v>
      </c>
      <c r="B370" s="239">
        <v>1.81E-3</v>
      </c>
      <c r="C370" s="278" t="s">
        <v>17</v>
      </c>
      <c r="D370" s="240">
        <v>2</v>
      </c>
      <c r="E370" s="294">
        <f t="shared" si="20"/>
        <v>3.62E-3</v>
      </c>
      <c r="F370" s="295" t="s">
        <v>144</v>
      </c>
      <c r="G370" s="241" t="s">
        <v>3</v>
      </c>
      <c r="H370" s="295" t="s">
        <v>23</v>
      </c>
      <c r="I370" s="295" t="s">
        <v>16</v>
      </c>
      <c r="J370" s="242" t="s">
        <v>220</v>
      </c>
    </row>
    <row r="371" spans="1:10" thickBot="1">
      <c r="A371" s="272" t="s">
        <v>221</v>
      </c>
      <c r="B371" s="223">
        <v>0</v>
      </c>
      <c r="C371" s="277" t="s">
        <v>17</v>
      </c>
      <c r="D371" s="224">
        <v>2</v>
      </c>
      <c r="E371" s="286">
        <f t="shared" si="20"/>
        <v>0</v>
      </c>
      <c r="F371" s="287" t="s">
        <v>144</v>
      </c>
      <c r="G371" s="225" t="s">
        <v>3</v>
      </c>
      <c r="H371" s="287" t="s">
        <v>5</v>
      </c>
      <c r="I371" s="287" t="s">
        <v>16</v>
      </c>
      <c r="J371" s="226" t="s">
        <v>220</v>
      </c>
    </row>
    <row r="372" spans="1:10" ht="14.4" thickTop="1">
      <c r="A372" s="268" t="s">
        <v>24</v>
      </c>
      <c r="B372" s="243">
        <f>0.9*10^-3</f>
        <v>9.0000000000000008E-4</v>
      </c>
      <c r="C372" s="279" t="s">
        <v>17</v>
      </c>
      <c r="D372" s="228">
        <v>2</v>
      </c>
      <c r="E372" s="288">
        <f t="shared" si="20"/>
        <v>1.8000000000000002E-3</v>
      </c>
      <c r="F372" s="289" t="s">
        <v>144</v>
      </c>
      <c r="G372" s="229" t="s">
        <v>3</v>
      </c>
      <c r="H372" s="289" t="s">
        <v>5</v>
      </c>
      <c r="I372" s="289" t="s">
        <v>16</v>
      </c>
      <c r="J372" s="234" t="s">
        <v>217</v>
      </c>
    </row>
    <row r="373" spans="1:10" ht="15">
      <c r="A373" s="266" t="s">
        <v>218</v>
      </c>
      <c r="B373" s="215">
        <f>2.2*10^-3</f>
        <v>2.2000000000000001E-3</v>
      </c>
      <c r="C373" s="274" t="s">
        <v>17</v>
      </c>
      <c r="D373" s="216">
        <v>2</v>
      </c>
      <c r="E373" s="281">
        <f t="shared" si="20"/>
        <v>4.4000000000000003E-3</v>
      </c>
      <c r="F373" s="248" t="s">
        <v>144</v>
      </c>
      <c r="G373" s="208" t="s">
        <v>3</v>
      </c>
      <c r="H373" s="248" t="s">
        <v>5</v>
      </c>
      <c r="I373" s="248" t="s">
        <v>16</v>
      </c>
      <c r="J373" s="212" t="s">
        <v>217</v>
      </c>
    </row>
    <row r="374" spans="1:10" ht="15">
      <c r="A374" s="266" t="s">
        <v>28</v>
      </c>
      <c r="B374" s="215">
        <f>1.2*10^-3</f>
        <v>1.1999999999999999E-3</v>
      </c>
      <c r="C374" s="274" t="s">
        <v>17</v>
      </c>
      <c r="D374" s="216">
        <v>2</v>
      </c>
      <c r="E374" s="281">
        <f t="shared" si="20"/>
        <v>2.3999999999999998E-3</v>
      </c>
      <c r="F374" s="248" t="s">
        <v>144</v>
      </c>
      <c r="G374" s="208" t="s">
        <v>3</v>
      </c>
      <c r="H374" s="248" t="s">
        <v>5</v>
      </c>
      <c r="I374" s="248" t="s">
        <v>16</v>
      </c>
      <c r="J374" s="212" t="s">
        <v>217</v>
      </c>
    </row>
    <row r="375" spans="1:10" ht="15">
      <c r="A375" s="266" t="s">
        <v>219</v>
      </c>
      <c r="B375" s="215">
        <f>1.2*10^-3</f>
        <v>1.1999999999999999E-3</v>
      </c>
      <c r="C375" s="274" t="s">
        <v>17</v>
      </c>
      <c r="D375" s="216">
        <v>2</v>
      </c>
      <c r="E375" s="281">
        <f t="shared" si="20"/>
        <v>2.3999999999999998E-3</v>
      </c>
      <c r="F375" s="248" t="s">
        <v>144</v>
      </c>
      <c r="G375" s="208" t="s">
        <v>3</v>
      </c>
      <c r="H375" s="248" t="s">
        <v>23</v>
      </c>
      <c r="I375" s="248" t="s">
        <v>16</v>
      </c>
      <c r="J375" s="212" t="s">
        <v>217</v>
      </c>
    </row>
    <row r="376" spans="1:10" ht="14.4" thickBot="1">
      <c r="A376" s="262" t="str">
        <f>B360</f>
        <v>Board</v>
      </c>
      <c r="B376" s="53">
        <v>1</v>
      </c>
      <c r="C376" s="275" t="s">
        <v>9</v>
      </c>
      <c r="D376" s="220">
        <v>1</v>
      </c>
      <c r="E376" s="283">
        <f>B376/D376</f>
        <v>1</v>
      </c>
      <c r="F376" s="275" t="str">
        <f>$B$2</f>
        <v>eFuse_Microchip</v>
      </c>
      <c r="G376" s="53" t="s">
        <v>3</v>
      </c>
      <c r="H376" s="283" t="s">
        <v>5</v>
      </c>
      <c r="I376" s="283" t="s">
        <v>26</v>
      </c>
      <c r="J376" s="54"/>
    </row>
    <row r="377" spans="1:10" ht="15" thickBot="1">
      <c r="A377"/>
      <c r="B377"/>
      <c r="C377"/>
      <c r="D377"/>
      <c r="E377"/>
      <c r="F377"/>
      <c r="G377"/>
      <c r="H377"/>
      <c r="I377"/>
      <c r="J377"/>
    </row>
    <row r="378" spans="1:10">
      <c r="A378" s="34" t="s">
        <v>1</v>
      </c>
      <c r="B378" s="35" t="s">
        <v>227</v>
      </c>
      <c r="C378" s="36"/>
      <c r="D378" s="37"/>
      <c r="E378" s="37"/>
      <c r="F378" s="37"/>
      <c r="G378" s="37"/>
      <c r="H378" s="36"/>
      <c r="I378" s="35"/>
      <c r="J378" s="38"/>
    </row>
    <row r="379" spans="1:10">
      <c r="A379" s="39" t="s">
        <v>2</v>
      </c>
      <c r="B379" s="40" t="s">
        <v>3</v>
      </c>
      <c r="C379" s="41"/>
      <c r="D379" s="41"/>
      <c r="E379" s="41"/>
      <c r="F379" s="41"/>
      <c r="G379" s="41"/>
      <c r="H379" s="41"/>
      <c r="I379" s="32"/>
      <c r="J379" s="42"/>
    </row>
    <row r="380" spans="1:10">
      <c r="A380" s="39" t="s">
        <v>4</v>
      </c>
      <c r="B380" s="41" t="s">
        <v>5</v>
      </c>
      <c r="C380" s="41"/>
      <c r="D380" s="41"/>
      <c r="E380" s="41"/>
      <c r="F380" s="41"/>
      <c r="G380" s="41"/>
      <c r="H380" s="41"/>
      <c r="I380" s="32"/>
      <c r="J380" s="49"/>
    </row>
    <row r="381" spans="1:10">
      <c r="A381" s="39" t="s">
        <v>6</v>
      </c>
      <c r="B381" s="41">
        <f>1</f>
        <v>1</v>
      </c>
      <c r="C381" s="41"/>
      <c r="D381" s="41"/>
      <c r="E381" s="41"/>
      <c r="F381" s="41"/>
      <c r="G381" s="41"/>
      <c r="H381" s="41"/>
      <c r="I381" s="32"/>
      <c r="J381" s="49"/>
    </row>
    <row r="382" spans="1:10">
      <c r="A382" s="39" t="s">
        <v>7</v>
      </c>
      <c r="B382" s="41" t="s">
        <v>8</v>
      </c>
      <c r="C382" s="41"/>
      <c r="D382" s="41"/>
      <c r="E382" s="41"/>
      <c r="F382" s="41"/>
      <c r="G382" s="41"/>
      <c r="H382" s="41"/>
      <c r="I382" s="32"/>
      <c r="J382" s="49"/>
    </row>
    <row r="383" spans="1:10">
      <c r="A383" s="39" t="s">
        <v>9</v>
      </c>
      <c r="B383" s="41" t="s">
        <v>9</v>
      </c>
      <c r="C383" s="41"/>
      <c r="D383" s="41"/>
      <c r="E383" s="41"/>
      <c r="F383" s="41"/>
      <c r="G383" s="41"/>
      <c r="H383" s="41"/>
      <c r="I383" s="32"/>
      <c r="J383" s="49"/>
    </row>
    <row r="384" spans="1:10">
      <c r="A384" s="43" t="s">
        <v>10</v>
      </c>
      <c r="B384" s="41"/>
      <c r="C384" s="41"/>
      <c r="D384" s="41"/>
      <c r="E384" s="41"/>
      <c r="F384" s="41"/>
      <c r="G384" s="41"/>
      <c r="H384" s="41"/>
      <c r="I384" s="32"/>
      <c r="J384" s="49"/>
    </row>
    <row r="385" spans="1:10">
      <c r="A385" s="44" t="s">
        <v>11</v>
      </c>
      <c r="B385" s="190" t="s">
        <v>755</v>
      </c>
      <c r="C385" s="45" t="s">
        <v>9</v>
      </c>
      <c r="D385" s="190" t="s">
        <v>754</v>
      </c>
      <c r="E385" s="45" t="s">
        <v>12</v>
      </c>
      <c r="F385" s="45" t="s">
        <v>13</v>
      </c>
      <c r="G385" s="45" t="s">
        <v>14</v>
      </c>
      <c r="H385" s="45" t="s">
        <v>4</v>
      </c>
      <c r="I385" s="45" t="s">
        <v>7</v>
      </c>
      <c r="J385" s="46" t="s">
        <v>148</v>
      </c>
    </row>
    <row r="386" spans="1:10" ht="15">
      <c r="A386" s="266" t="s">
        <v>222</v>
      </c>
      <c r="B386" s="215">
        <f>0.3689*10^(-3)*11000</f>
        <v>4.0579000000000001</v>
      </c>
      <c r="C386" s="274" t="s">
        <v>223</v>
      </c>
      <c r="D386" s="216">
        <v>1</v>
      </c>
      <c r="E386" s="281">
        <f>D386*B386</f>
        <v>4.0579000000000001</v>
      </c>
      <c r="F386" s="248" t="s">
        <v>144</v>
      </c>
      <c r="G386" s="208" t="s">
        <v>3</v>
      </c>
      <c r="H386" s="248" t="s">
        <v>5</v>
      </c>
      <c r="I386" s="248" t="s">
        <v>16</v>
      </c>
      <c r="J386" s="212"/>
    </row>
    <row r="387" spans="1:10" ht="15">
      <c r="A387" s="266" t="s">
        <v>224</v>
      </c>
      <c r="B387" s="215">
        <f>0.3689*10^(-3)*(6970+702)</f>
        <v>2.8302008000000001</v>
      </c>
      <c r="C387" s="274" t="s">
        <v>223</v>
      </c>
      <c r="D387" s="216">
        <v>1</v>
      </c>
      <c r="E387" s="281">
        <f t="shared" ref="E387:E389" si="21">D387*B387</f>
        <v>2.8302008000000001</v>
      </c>
      <c r="F387" s="248" t="s">
        <v>144</v>
      </c>
      <c r="G387" s="208" t="s">
        <v>3</v>
      </c>
      <c r="H387" s="248" t="s">
        <v>5</v>
      </c>
      <c r="I387" s="248" t="s">
        <v>16</v>
      </c>
      <c r="J387" s="212"/>
    </row>
    <row r="388" spans="1:10" ht="15">
      <c r="A388" s="266" t="s">
        <v>225</v>
      </c>
      <c r="B388" s="215">
        <f>0.3689*10^(-3)*(3051+178+15114)</f>
        <v>6.7667327000000004</v>
      </c>
      <c r="C388" s="274" t="s">
        <v>223</v>
      </c>
      <c r="D388" s="216">
        <v>1</v>
      </c>
      <c r="E388" s="281">
        <f t="shared" si="21"/>
        <v>6.7667327000000004</v>
      </c>
      <c r="F388" s="248" t="s">
        <v>144</v>
      </c>
      <c r="G388" s="208" t="s">
        <v>3</v>
      </c>
      <c r="H388" s="248" t="s">
        <v>21</v>
      </c>
      <c r="I388" s="248" t="s">
        <v>16</v>
      </c>
      <c r="J388" s="212"/>
    </row>
    <row r="389" spans="1:10" ht="15">
      <c r="A389" s="266" t="s">
        <v>226</v>
      </c>
      <c r="B389" s="215">
        <f>0.3689*10^(-3)*15</f>
        <v>5.5335000000000002E-3</v>
      </c>
      <c r="C389" s="274" t="s">
        <v>223</v>
      </c>
      <c r="D389" s="216">
        <v>1</v>
      </c>
      <c r="E389" s="281">
        <f t="shared" si="21"/>
        <v>5.5335000000000002E-3</v>
      </c>
      <c r="F389" s="248" t="s">
        <v>144</v>
      </c>
      <c r="G389" s="208" t="s">
        <v>3</v>
      </c>
      <c r="H389" s="248" t="s">
        <v>21</v>
      </c>
      <c r="I389" s="248" t="s">
        <v>16</v>
      </c>
      <c r="J389" s="212"/>
    </row>
    <row r="390" spans="1:10" ht="15" thickBot="1">
      <c r="A390" s="262" t="str">
        <f>B378</f>
        <v>Transport</v>
      </c>
      <c r="B390" s="53">
        <v>1</v>
      </c>
      <c r="C390" s="275" t="s">
        <v>9</v>
      </c>
      <c r="D390" s="220">
        <v>1</v>
      </c>
      <c r="E390" s="291">
        <v>1</v>
      </c>
      <c r="F390" s="251" t="str">
        <f>$B$2</f>
        <v>eFuse_Microchip</v>
      </c>
      <c r="G390" s="53" t="s">
        <v>3</v>
      </c>
      <c r="H390" s="283" t="s">
        <v>5</v>
      </c>
      <c r="I390" s="283" t="s">
        <v>26</v>
      </c>
      <c r="J390" s="54"/>
    </row>
    <row r="391" spans="1:10" ht="14.4" thickBot="1">
      <c r="G391" s="33"/>
    </row>
    <row r="392" spans="1:10">
      <c r="A392" s="34" t="s">
        <v>1</v>
      </c>
      <c r="B392" s="35" t="s">
        <v>231</v>
      </c>
      <c r="C392" s="36"/>
      <c r="D392" s="37"/>
      <c r="E392" s="37"/>
      <c r="F392" s="37"/>
      <c r="G392" s="37"/>
      <c r="H392" s="36"/>
      <c r="I392" s="35"/>
      <c r="J392" s="38"/>
    </row>
    <row r="393" spans="1:10">
      <c r="A393" s="39" t="s">
        <v>2</v>
      </c>
      <c r="B393" s="40" t="s">
        <v>3</v>
      </c>
      <c r="C393" s="41"/>
      <c r="D393" s="41"/>
      <c r="E393" s="41"/>
      <c r="F393" s="41"/>
      <c r="G393" s="41"/>
      <c r="H393" s="41"/>
      <c r="I393" s="32"/>
      <c r="J393" s="42"/>
    </row>
    <row r="394" spans="1:10">
      <c r="A394" s="39" t="s">
        <v>4</v>
      </c>
      <c r="B394" s="41" t="s">
        <v>5</v>
      </c>
      <c r="C394" s="41"/>
      <c r="D394" s="41"/>
      <c r="E394" s="41"/>
      <c r="F394" s="41"/>
      <c r="G394" s="41"/>
      <c r="H394" s="41"/>
      <c r="I394" s="32"/>
      <c r="J394" s="49"/>
    </row>
    <row r="395" spans="1:10">
      <c r="A395" s="39" t="s">
        <v>6</v>
      </c>
      <c r="B395" s="41">
        <f>1</f>
        <v>1</v>
      </c>
      <c r="C395" s="41"/>
      <c r="D395" s="41"/>
      <c r="E395" s="41"/>
      <c r="F395" s="41"/>
      <c r="G395" s="41"/>
      <c r="H395" s="41"/>
      <c r="I395" s="32"/>
      <c r="J395" s="49"/>
    </row>
    <row r="396" spans="1:10">
      <c r="A396" s="39" t="s">
        <v>7</v>
      </c>
      <c r="B396" s="41" t="s">
        <v>8</v>
      </c>
      <c r="C396" s="41"/>
      <c r="D396" s="41"/>
      <c r="E396" s="41"/>
      <c r="F396" s="41"/>
      <c r="G396" s="41"/>
      <c r="H396" s="41"/>
      <c r="I396" s="32"/>
      <c r="J396" s="49"/>
    </row>
    <row r="397" spans="1:10">
      <c r="A397" s="39" t="s">
        <v>9</v>
      </c>
      <c r="B397" s="41" t="s">
        <v>9</v>
      </c>
      <c r="C397" s="41"/>
      <c r="D397" s="41"/>
      <c r="E397" s="41"/>
      <c r="F397" s="41"/>
      <c r="G397" s="41"/>
      <c r="H397" s="41"/>
      <c r="I397" s="32"/>
      <c r="J397" s="49"/>
    </row>
    <row r="398" spans="1:10">
      <c r="A398" s="43" t="s">
        <v>10</v>
      </c>
      <c r="B398" s="41"/>
      <c r="C398" s="41"/>
      <c r="D398" s="41"/>
      <c r="E398" s="41"/>
      <c r="F398" s="41"/>
      <c r="G398" s="41"/>
      <c r="H398" s="41"/>
      <c r="I398" s="32"/>
      <c r="J398" s="49"/>
    </row>
    <row r="399" spans="1:10">
      <c r="A399" s="44" t="s">
        <v>11</v>
      </c>
      <c r="B399" s="190" t="s">
        <v>755</v>
      </c>
      <c r="C399" s="45" t="s">
        <v>9</v>
      </c>
      <c r="D399" s="190" t="s">
        <v>754</v>
      </c>
      <c r="E399" s="45" t="s">
        <v>12</v>
      </c>
      <c r="F399" s="45" t="s">
        <v>13</v>
      </c>
      <c r="G399" s="45" t="s">
        <v>14</v>
      </c>
      <c r="H399" s="45" t="s">
        <v>4</v>
      </c>
      <c r="I399" s="45" t="s">
        <v>7</v>
      </c>
      <c r="J399" s="46" t="s">
        <v>148</v>
      </c>
    </row>
    <row r="400" spans="1:10" ht="15">
      <c r="A400" s="260" t="s">
        <v>775</v>
      </c>
      <c r="B400" s="215">
        <v>0.14504</v>
      </c>
      <c r="C400" s="274" t="s">
        <v>17</v>
      </c>
      <c r="D400" s="216">
        <v>1</v>
      </c>
      <c r="E400" s="281">
        <f>D400*B400</f>
        <v>0.14504</v>
      </c>
      <c r="F400" s="248" t="s">
        <v>144</v>
      </c>
      <c r="G400" s="208" t="s">
        <v>3</v>
      </c>
      <c r="H400" s="248" t="s">
        <v>5</v>
      </c>
      <c r="I400" s="248" t="s">
        <v>16</v>
      </c>
      <c r="J400" s="219"/>
    </row>
    <row r="401" spans="1:10" ht="15">
      <c r="A401" s="259" t="s">
        <v>229</v>
      </c>
      <c r="B401" s="215">
        <v>0</v>
      </c>
      <c r="C401" s="274" t="s">
        <v>17</v>
      </c>
      <c r="D401" s="216">
        <v>1</v>
      </c>
      <c r="E401" s="281">
        <f t="shared" ref="E401:E402" si="22">D401*B401</f>
        <v>0</v>
      </c>
      <c r="F401" s="248" t="s">
        <v>144</v>
      </c>
      <c r="G401" s="208" t="s">
        <v>3</v>
      </c>
      <c r="H401" s="248" t="s">
        <v>23</v>
      </c>
      <c r="I401" s="248" t="s">
        <v>16</v>
      </c>
      <c r="J401" s="219"/>
    </row>
    <row r="402" spans="1:10" ht="15">
      <c r="A402" s="273" t="s">
        <v>230</v>
      </c>
      <c r="B402" s="221">
        <f>0.00708+0.0114</f>
        <v>1.848E-2</v>
      </c>
      <c r="C402" s="274" t="s">
        <v>17</v>
      </c>
      <c r="D402" s="216">
        <v>1</v>
      </c>
      <c r="E402" s="281">
        <f t="shared" si="22"/>
        <v>1.848E-2</v>
      </c>
      <c r="F402" s="248" t="s">
        <v>144</v>
      </c>
      <c r="G402" s="208" t="s">
        <v>3</v>
      </c>
      <c r="H402" s="282" t="s">
        <v>5</v>
      </c>
      <c r="I402" s="248" t="s">
        <v>16</v>
      </c>
      <c r="J402" s="219"/>
    </row>
    <row r="403" spans="1:10" ht="15" thickBot="1">
      <c r="A403" s="247" t="str">
        <f>B392</f>
        <v>Package</v>
      </c>
      <c r="B403" s="47">
        <v>1</v>
      </c>
      <c r="C403" s="251" t="s">
        <v>9</v>
      </c>
      <c r="D403" s="211">
        <v>1</v>
      </c>
      <c r="E403" s="291">
        <v>1</v>
      </c>
      <c r="F403" s="251" t="str">
        <f>$B$2</f>
        <v>eFuse_Microchip</v>
      </c>
      <c r="G403" s="47" t="s">
        <v>3</v>
      </c>
      <c r="H403" s="252" t="s">
        <v>5</v>
      </c>
      <c r="I403" s="252" t="s">
        <v>26</v>
      </c>
      <c r="J403" s="48"/>
    </row>
    <row r="404" spans="1:10" ht="14.4" thickBot="1">
      <c r="G404" s="33"/>
    </row>
    <row r="405" spans="1:10">
      <c r="A405" s="34" t="s">
        <v>1</v>
      </c>
      <c r="B405" s="35" t="s">
        <v>235</v>
      </c>
      <c r="C405" s="36"/>
      <c r="D405" s="37"/>
      <c r="E405" s="37"/>
      <c r="F405" s="37"/>
      <c r="G405" s="37"/>
      <c r="H405" s="36"/>
      <c r="I405" s="35"/>
      <c r="J405" s="38"/>
    </row>
    <row r="406" spans="1:10">
      <c r="A406" s="39" t="s">
        <v>2</v>
      </c>
      <c r="B406" s="40" t="s">
        <v>3</v>
      </c>
      <c r="C406" s="41"/>
      <c r="D406" s="41"/>
      <c r="E406" s="41"/>
      <c r="F406" s="41"/>
      <c r="G406" s="41"/>
      <c r="H406" s="41"/>
      <c r="I406" s="32"/>
      <c r="J406" s="42"/>
    </row>
    <row r="407" spans="1:10">
      <c r="A407" s="39" t="s">
        <v>4</v>
      </c>
      <c r="B407" s="41" t="s">
        <v>5</v>
      </c>
      <c r="C407" s="41"/>
      <c r="D407" s="41"/>
      <c r="E407" s="41"/>
      <c r="F407" s="41"/>
      <c r="G407" s="41"/>
      <c r="H407" s="41"/>
      <c r="I407" s="32"/>
      <c r="J407" s="49"/>
    </row>
    <row r="408" spans="1:10">
      <c r="A408" s="39" t="s">
        <v>6</v>
      </c>
      <c r="B408" s="41">
        <f>1</f>
        <v>1</v>
      </c>
      <c r="C408" s="41"/>
      <c r="D408" s="41"/>
      <c r="E408" s="41"/>
      <c r="F408" s="41"/>
      <c r="G408" s="41"/>
      <c r="H408" s="41"/>
      <c r="I408" s="32"/>
      <c r="J408" s="49"/>
    </row>
    <row r="409" spans="1:10">
      <c r="A409" s="39" t="s">
        <v>7</v>
      </c>
      <c r="B409" s="41" t="s">
        <v>8</v>
      </c>
      <c r="C409" s="41"/>
      <c r="D409" s="41"/>
      <c r="E409" s="41"/>
      <c r="F409" s="41"/>
      <c r="G409" s="41"/>
      <c r="H409" s="41"/>
      <c r="I409" s="32"/>
      <c r="J409" s="49"/>
    </row>
    <row r="410" spans="1:10">
      <c r="A410" s="39" t="s">
        <v>9</v>
      </c>
      <c r="B410" s="41" t="s">
        <v>9</v>
      </c>
      <c r="C410" s="41"/>
      <c r="D410" s="41"/>
      <c r="E410" s="41"/>
      <c r="F410" s="41"/>
      <c r="G410" s="41"/>
      <c r="H410" s="41"/>
      <c r="I410" s="32"/>
      <c r="J410" s="49"/>
    </row>
    <row r="411" spans="1:10">
      <c r="A411" s="43" t="s">
        <v>10</v>
      </c>
      <c r="B411" s="41"/>
      <c r="C411" s="41"/>
      <c r="D411" s="41"/>
      <c r="E411" s="41"/>
      <c r="F411" s="41"/>
      <c r="G411" s="41"/>
      <c r="H411" s="41"/>
      <c r="I411" s="32"/>
      <c r="J411" s="49"/>
    </row>
    <row r="412" spans="1:10">
      <c r="A412" s="45" t="s">
        <v>11</v>
      </c>
      <c r="B412" s="190" t="s">
        <v>755</v>
      </c>
      <c r="C412" s="45" t="s">
        <v>9</v>
      </c>
      <c r="D412" s="190" t="s">
        <v>754</v>
      </c>
      <c r="E412" s="45" t="s">
        <v>12</v>
      </c>
      <c r="F412" s="45" t="s">
        <v>13</v>
      </c>
      <c r="G412" s="45" t="s">
        <v>14</v>
      </c>
      <c r="H412" s="45" t="s">
        <v>4</v>
      </c>
      <c r="I412" s="45" t="s">
        <v>7</v>
      </c>
      <c r="J412" s="46" t="s">
        <v>148</v>
      </c>
    </row>
    <row r="413" spans="1:10" ht="15">
      <c r="A413" s="260" t="s">
        <v>232</v>
      </c>
      <c r="B413" s="215">
        <v>0.10836</v>
      </c>
      <c r="C413" s="274" t="s">
        <v>17</v>
      </c>
      <c r="D413" s="216">
        <v>1</v>
      </c>
      <c r="E413" s="281">
        <f>D413*B413</f>
        <v>0.10836</v>
      </c>
      <c r="F413" s="248" t="s">
        <v>144</v>
      </c>
      <c r="G413" s="208" t="s">
        <v>3</v>
      </c>
      <c r="H413" s="248" t="s">
        <v>5</v>
      </c>
      <c r="I413" s="248" t="s">
        <v>16</v>
      </c>
      <c r="J413" s="212"/>
    </row>
    <row r="414" spans="1:10" ht="15">
      <c r="A414" s="260" t="s">
        <v>233</v>
      </c>
      <c r="B414" s="215">
        <f>B400+B401</f>
        <v>0.14504</v>
      </c>
      <c r="C414" s="274" t="s">
        <v>17</v>
      </c>
      <c r="D414" s="216">
        <v>1</v>
      </c>
      <c r="E414" s="281">
        <f t="shared" ref="E414:E415" si="23">D414*B414</f>
        <v>0.14504</v>
      </c>
      <c r="F414" s="248" t="s">
        <v>144</v>
      </c>
      <c r="G414" s="208" t="s">
        <v>3</v>
      </c>
      <c r="H414" s="248" t="s">
        <v>234</v>
      </c>
      <c r="I414" s="248" t="s">
        <v>16</v>
      </c>
      <c r="J414" s="219"/>
    </row>
    <row r="415" spans="1:10" ht="15">
      <c r="A415" s="260" t="s">
        <v>230</v>
      </c>
      <c r="B415" s="215">
        <f>B402</f>
        <v>1.848E-2</v>
      </c>
      <c r="C415" s="274" t="s">
        <v>17</v>
      </c>
      <c r="D415" s="216">
        <v>1</v>
      </c>
      <c r="E415" s="281">
        <f t="shared" si="23"/>
        <v>1.848E-2</v>
      </c>
      <c r="F415" s="248" t="s">
        <v>144</v>
      </c>
      <c r="G415" s="208" t="s">
        <v>3</v>
      </c>
      <c r="H415" s="248" t="s">
        <v>5</v>
      </c>
      <c r="I415" s="248" t="s">
        <v>16</v>
      </c>
      <c r="J415" s="219"/>
    </row>
    <row r="416" spans="1:10" ht="15" thickBot="1">
      <c r="A416" s="247" t="str">
        <f>B405</f>
        <v>EOL</v>
      </c>
      <c r="B416" s="47">
        <v>1</v>
      </c>
      <c r="C416" s="251" t="s">
        <v>9</v>
      </c>
      <c r="D416" s="211">
        <v>1</v>
      </c>
      <c r="E416" s="291">
        <v>1</v>
      </c>
      <c r="F416" s="251" t="str">
        <f>$B$2</f>
        <v>eFuse_Microchip</v>
      </c>
      <c r="G416" s="47" t="s">
        <v>3</v>
      </c>
      <c r="H416" s="252" t="s">
        <v>5</v>
      </c>
      <c r="I416" s="252" t="s">
        <v>26</v>
      </c>
      <c r="J416" s="48"/>
    </row>
  </sheetData>
  <mergeCells count="1">
    <mergeCell ref="B1:H1"/>
  </mergeCells>
  <phoneticPr fontId="8" type="noConversion"/>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5"/>
  <sheetViews>
    <sheetView zoomScale="131" zoomScaleNormal="100" workbookViewId="0">
      <selection activeCell="B44" sqref="B44"/>
    </sheetView>
  </sheetViews>
  <sheetFormatPr baseColWidth="10" defaultColWidth="10.6640625" defaultRowHeight="14.4"/>
  <cols>
    <col min="1" max="1" width="28" customWidth="1"/>
    <col min="4" max="4" width="12.44140625" bestFit="1" customWidth="1"/>
    <col min="6" max="6" width="31.44140625" bestFit="1" customWidth="1"/>
  </cols>
  <sheetData>
    <row r="1" spans="1:23" ht="15.6">
      <c r="A1" s="192" t="s">
        <v>1</v>
      </c>
      <c r="B1" s="193" t="s">
        <v>749</v>
      </c>
      <c r="C1" s="194"/>
      <c r="D1" s="194"/>
      <c r="E1" s="194"/>
      <c r="F1" s="194"/>
      <c r="G1" s="193"/>
      <c r="H1" s="194"/>
      <c r="I1" s="194"/>
      <c r="J1" s="195"/>
    </row>
    <row r="2" spans="1:23" ht="15.6">
      <c r="A2" s="196" t="s">
        <v>2</v>
      </c>
      <c r="B2" t="s">
        <v>3</v>
      </c>
      <c r="G2" s="1"/>
      <c r="J2" s="197"/>
    </row>
    <row r="3" spans="1:23" ht="15.6">
      <c r="A3" s="196" t="s">
        <v>4</v>
      </c>
      <c r="B3" t="s">
        <v>5</v>
      </c>
      <c r="G3" s="1"/>
      <c r="J3" s="197"/>
    </row>
    <row r="4" spans="1:23" ht="15.6">
      <c r="A4" s="196" t="s">
        <v>6</v>
      </c>
      <c r="B4">
        <f>1</f>
        <v>1</v>
      </c>
      <c r="G4" s="1"/>
      <c r="J4" s="197"/>
      <c r="W4" s="29"/>
    </row>
    <row r="5" spans="1:23" ht="15.6">
      <c r="A5" s="196" t="s">
        <v>7</v>
      </c>
      <c r="B5" t="s">
        <v>8</v>
      </c>
      <c r="G5" s="1"/>
      <c r="J5" s="197"/>
      <c r="U5" s="30"/>
    </row>
    <row r="6" spans="1:23" ht="15.6">
      <c r="A6" s="196" t="s">
        <v>9</v>
      </c>
      <c r="B6" t="s">
        <v>9</v>
      </c>
      <c r="G6" s="1"/>
      <c r="J6" s="197"/>
      <c r="T6" s="29"/>
      <c r="U6" s="30"/>
    </row>
    <row r="7" spans="1:23" ht="15.6">
      <c r="A7" s="198" t="s">
        <v>10</v>
      </c>
      <c r="G7" s="1"/>
      <c r="J7" s="197"/>
      <c r="T7" s="29"/>
      <c r="U7" s="30"/>
    </row>
    <row r="8" spans="1:23" ht="15.6">
      <c r="A8" s="44" t="s">
        <v>11</v>
      </c>
      <c r="B8" s="45" t="s">
        <v>755</v>
      </c>
      <c r="C8" s="45" t="s">
        <v>9</v>
      </c>
      <c r="D8" s="45" t="s">
        <v>754</v>
      </c>
      <c r="E8" s="45" t="s">
        <v>12</v>
      </c>
      <c r="F8" s="45" t="s">
        <v>13</v>
      </c>
      <c r="G8" s="45" t="s">
        <v>14</v>
      </c>
      <c r="H8" s="45" t="s">
        <v>4</v>
      </c>
      <c r="I8" s="45" t="s">
        <v>7</v>
      </c>
      <c r="J8" s="46" t="s">
        <v>148</v>
      </c>
    </row>
    <row r="9" spans="1:23">
      <c r="A9" s="300" t="s">
        <v>237</v>
      </c>
      <c r="B9" s="296">
        <v>2.218935E-3</v>
      </c>
      <c r="C9" s="250" t="s">
        <v>20</v>
      </c>
      <c r="D9" s="210">
        <v>1</v>
      </c>
      <c r="E9" s="304">
        <f>D9*B9</f>
        <v>2.218935E-3</v>
      </c>
      <c r="F9" s="302" t="s">
        <v>144</v>
      </c>
      <c r="G9" s="210" t="s">
        <v>3</v>
      </c>
      <c r="H9" s="250" t="s">
        <v>234</v>
      </c>
      <c r="I9" s="250" t="s">
        <v>16</v>
      </c>
      <c r="J9" s="297" t="s">
        <v>236</v>
      </c>
    </row>
    <row r="10" spans="1:23" ht="15" thickBot="1">
      <c r="A10" s="301" t="str">
        <f>B1</f>
        <v>Energy - SiC MOSFET Transistor #1</v>
      </c>
      <c r="B10" s="199">
        <v>1</v>
      </c>
      <c r="C10" s="303" t="s">
        <v>9</v>
      </c>
      <c r="D10" s="298">
        <v>1</v>
      </c>
      <c r="E10" s="303">
        <f>B10/D10</f>
        <v>1</v>
      </c>
      <c r="F10" s="303" t="str">
        <f>'Inventory - Manufacturing'!B2</f>
        <v>eFuse_Microchip</v>
      </c>
      <c r="G10" s="200" t="s">
        <v>3</v>
      </c>
      <c r="H10" s="303" t="s">
        <v>5</v>
      </c>
      <c r="I10" s="303" t="s">
        <v>26</v>
      </c>
      <c r="J10" s="201"/>
      <c r="T10" s="31"/>
    </row>
    <row r="11" spans="1:23" ht="15" thickBot="1"/>
    <row r="12" spans="1:23" ht="15.6">
      <c r="A12" s="192" t="s">
        <v>1</v>
      </c>
      <c r="B12" s="193" t="s">
        <v>750</v>
      </c>
      <c r="C12" s="194"/>
      <c r="D12" s="194"/>
      <c r="E12" s="194"/>
      <c r="F12" s="194"/>
      <c r="G12" s="193"/>
      <c r="H12" s="194"/>
      <c r="I12" s="194"/>
      <c r="J12" s="195"/>
    </row>
    <row r="13" spans="1:23" ht="15.6">
      <c r="A13" s="196" t="s">
        <v>2</v>
      </c>
      <c r="B13" t="s">
        <v>3</v>
      </c>
      <c r="G13" s="1"/>
      <c r="J13" s="197"/>
    </row>
    <row r="14" spans="1:23" ht="15.6">
      <c r="A14" s="196" t="s">
        <v>4</v>
      </c>
      <c r="B14" t="s">
        <v>5</v>
      </c>
      <c r="G14" s="1"/>
      <c r="J14" s="197"/>
    </row>
    <row r="15" spans="1:23" ht="15.6">
      <c r="A15" s="196" t="s">
        <v>6</v>
      </c>
      <c r="B15">
        <f>1</f>
        <v>1</v>
      </c>
      <c r="G15" s="1"/>
      <c r="J15" s="197"/>
      <c r="W15" s="29"/>
    </row>
    <row r="16" spans="1:23" ht="15.6">
      <c r="A16" s="196" t="s">
        <v>7</v>
      </c>
      <c r="B16" t="s">
        <v>8</v>
      </c>
      <c r="G16" s="1"/>
      <c r="J16" s="197"/>
      <c r="U16" s="30"/>
    </row>
    <row r="17" spans="1:23" ht="15.6">
      <c r="A17" s="196" t="s">
        <v>9</v>
      </c>
      <c r="B17" t="s">
        <v>9</v>
      </c>
      <c r="G17" s="1"/>
      <c r="J17" s="197"/>
      <c r="T17" s="29"/>
      <c r="U17" s="30"/>
    </row>
    <row r="18" spans="1:23" ht="15.6">
      <c r="A18" s="198" t="s">
        <v>10</v>
      </c>
      <c r="G18" s="1"/>
      <c r="J18" s="197"/>
      <c r="T18" s="29"/>
      <c r="U18" s="30"/>
    </row>
    <row r="19" spans="1:23" ht="15.6">
      <c r="A19" s="44" t="s">
        <v>11</v>
      </c>
      <c r="B19" s="45" t="s">
        <v>755</v>
      </c>
      <c r="C19" s="45" t="s">
        <v>9</v>
      </c>
      <c r="D19" s="45" t="s">
        <v>754</v>
      </c>
      <c r="E19" s="45" t="s">
        <v>12</v>
      </c>
      <c r="F19" s="45" t="s">
        <v>13</v>
      </c>
      <c r="G19" s="45" t="s">
        <v>14</v>
      </c>
      <c r="H19" s="45" t="s">
        <v>4</v>
      </c>
      <c r="I19" s="45" t="s">
        <v>7</v>
      </c>
      <c r="J19" s="46" t="s">
        <v>148</v>
      </c>
    </row>
    <row r="20" spans="1:23">
      <c r="A20" s="300" t="s">
        <v>237</v>
      </c>
      <c r="B20" s="296">
        <v>2.218935E-3</v>
      </c>
      <c r="C20" s="250" t="s">
        <v>20</v>
      </c>
      <c r="D20" s="210">
        <v>1</v>
      </c>
      <c r="E20" s="304">
        <f>D20*B20</f>
        <v>2.218935E-3</v>
      </c>
      <c r="F20" s="302" t="s">
        <v>144</v>
      </c>
      <c r="G20" s="210" t="s">
        <v>3</v>
      </c>
      <c r="H20" s="250" t="s">
        <v>234</v>
      </c>
      <c r="I20" s="250" t="s">
        <v>16</v>
      </c>
      <c r="J20" s="297" t="s">
        <v>236</v>
      </c>
    </row>
    <row r="21" spans="1:23" ht="15" thickBot="1">
      <c r="A21" s="301" t="str">
        <f>B12</f>
        <v>Energy - SiC MOSFET Transistor #2</v>
      </c>
      <c r="B21" s="199">
        <v>1</v>
      </c>
      <c r="C21" s="303" t="s">
        <v>9</v>
      </c>
      <c r="D21" s="298">
        <v>1</v>
      </c>
      <c r="E21" s="303">
        <f>B21/D21</f>
        <v>1</v>
      </c>
      <c r="F21" s="303" t="str">
        <f>'Inventory - Manufacturing'!B2</f>
        <v>eFuse_Microchip</v>
      </c>
      <c r="G21" s="200" t="s">
        <v>3</v>
      </c>
      <c r="H21" s="303" t="s">
        <v>5</v>
      </c>
      <c r="I21" s="303" t="s">
        <v>26</v>
      </c>
      <c r="J21" s="201"/>
      <c r="T21" s="31"/>
    </row>
    <row r="22" spans="1:23" ht="15" thickBot="1"/>
    <row r="23" spans="1:23" ht="15.6">
      <c r="A23" s="192" t="s">
        <v>1</v>
      </c>
      <c r="B23" s="193" t="s">
        <v>758</v>
      </c>
      <c r="C23" s="194"/>
      <c r="D23" s="194"/>
      <c r="E23" s="194"/>
      <c r="F23" s="194"/>
      <c r="G23" s="193"/>
      <c r="H23" s="194"/>
      <c r="I23" s="194"/>
      <c r="J23" s="195"/>
    </row>
    <row r="24" spans="1:23" ht="15.6">
      <c r="A24" s="196" t="s">
        <v>2</v>
      </c>
      <c r="B24" t="s">
        <v>3</v>
      </c>
      <c r="G24" s="1"/>
      <c r="J24" s="197"/>
    </row>
    <row r="25" spans="1:23" ht="15.6">
      <c r="A25" s="196" t="s">
        <v>4</v>
      </c>
      <c r="B25" t="s">
        <v>5</v>
      </c>
      <c r="G25" s="1"/>
      <c r="J25" s="197"/>
    </row>
    <row r="26" spans="1:23" ht="15.6">
      <c r="A26" s="196" t="s">
        <v>6</v>
      </c>
      <c r="B26">
        <f>1</f>
        <v>1</v>
      </c>
      <c r="G26" s="1"/>
      <c r="J26" s="197"/>
      <c r="W26" s="29"/>
    </row>
    <row r="27" spans="1:23" ht="15.6">
      <c r="A27" s="196" t="s">
        <v>7</v>
      </c>
      <c r="B27" t="s">
        <v>8</v>
      </c>
      <c r="G27" s="1"/>
      <c r="J27" s="197"/>
      <c r="U27" s="30"/>
    </row>
    <row r="28" spans="1:23" ht="15.6">
      <c r="A28" s="196" t="s">
        <v>9</v>
      </c>
      <c r="B28" t="s">
        <v>9</v>
      </c>
      <c r="G28" s="1"/>
      <c r="J28" s="197"/>
      <c r="T28" s="29"/>
      <c r="U28" s="30"/>
    </row>
    <row r="29" spans="1:23" ht="15.6">
      <c r="A29" s="198" t="s">
        <v>10</v>
      </c>
      <c r="G29" s="1"/>
      <c r="J29" s="197"/>
      <c r="T29" s="29"/>
      <c r="U29" s="30"/>
    </row>
    <row r="30" spans="1:23" ht="15.6">
      <c r="A30" s="44" t="s">
        <v>11</v>
      </c>
      <c r="B30" s="45" t="s">
        <v>755</v>
      </c>
      <c r="C30" s="45" t="s">
        <v>9</v>
      </c>
      <c r="D30" s="45" t="s">
        <v>754</v>
      </c>
      <c r="E30" s="45" t="s">
        <v>12</v>
      </c>
      <c r="F30" s="45" t="s">
        <v>13</v>
      </c>
      <c r="G30" s="45" t="s">
        <v>14</v>
      </c>
      <c r="H30" s="45" t="s">
        <v>4</v>
      </c>
      <c r="I30" s="45" t="s">
        <v>7</v>
      </c>
      <c r="J30" s="46" t="s">
        <v>148</v>
      </c>
    </row>
    <row r="31" spans="1:23">
      <c r="A31" s="300" t="s">
        <v>237</v>
      </c>
      <c r="B31" s="299">
        <v>7.0699999999999995E-4</v>
      </c>
      <c r="C31" s="250" t="s">
        <v>20</v>
      </c>
      <c r="D31" s="210">
        <v>1</v>
      </c>
      <c r="E31" s="305">
        <f>D31*B31</f>
        <v>7.0699999999999995E-4</v>
      </c>
      <c r="F31" s="302" t="s">
        <v>144</v>
      </c>
      <c r="G31" s="210" t="s">
        <v>3</v>
      </c>
      <c r="H31" s="250" t="s">
        <v>234</v>
      </c>
      <c r="I31" s="250" t="s">
        <v>16</v>
      </c>
      <c r="J31" s="297" t="s">
        <v>147</v>
      </c>
    </row>
    <row r="32" spans="1:23" ht="15" thickBot="1">
      <c r="A32" s="301" t="str">
        <f>B23</f>
        <v>Energy - Current Measurement</v>
      </c>
      <c r="B32" s="199">
        <v>1</v>
      </c>
      <c r="C32" s="303" t="s">
        <v>9</v>
      </c>
      <c r="D32" s="298">
        <v>1</v>
      </c>
      <c r="E32" s="303">
        <f>B32/D32</f>
        <v>1</v>
      </c>
      <c r="F32" s="303" t="str">
        <f>'Inventory - Manufacturing'!B2</f>
        <v>eFuse_Microchip</v>
      </c>
      <c r="G32" s="200" t="s">
        <v>3</v>
      </c>
      <c r="H32" s="303" t="s">
        <v>5</v>
      </c>
      <c r="I32" s="303" t="s">
        <v>26</v>
      </c>
      <c r="J32" s="201"/>
      <c r="T32" s="31"/>
    </row>
    <row r="33" spans="1:20" ht="15" thickBot="1">
      <c r="O33" s="29"/>
      <c r="T33" s="30"/>
    </row>
    <row r="34" spans="1:20" ht="15.6">
      <c r="A34" s="192" t="s">
        <v>1</v>
      </c>
      <c r="B34" s="193" t="s">
        <v>772</v>
      </c>
      <c r="C34" s="194"/>
      <c r="D34" s="194"/>
      <c r="E34" s="194"/>
      <c r="F34" s="194"/>
      <c r="G34" s="193"/>
      <c r="H34" s="194"/>
      <c r="I34" s="194"/>
      <c r="J34" s="195"/>
      <c r="O34" s="29"/>
      <c r="T34" s="30"/>
    </row>
    <row r="35" spans="1:20" ht="15.6">
      <c r="A35" s="196" t="s">
        <v>2</v>
      </c>
      <c r="B35" t="s">
        <v>3</v>
      </c>
      <c r="G35" s="1"/>
      <c r="J35" s="197"/>
      <c r="T35" s="30"/>
    </row>
    <row r="36" spans="1:20" ht="15.6">
      <c r="A36" s="196" t="s">
        <v>4</v>
      </c>
      <c r="B36" t="s">
        <v>5</v>
      </c>
      <c r="G36" s="1"/>
      <c r="J36" s="197"/>
    </row>
    <row r="37" spans="1:20" ht="15.6">
      <c r="A37" s="196" t="s">
        <v>6</v>
      </c>
      <c r="B37">
        <f>1</f>
        <v>1</v>
      </c>
      <c r="G37" s="1"/>
      <c r="J37" s="197"/>
    </row>
    <row r="38" spans="1:20">
      <c r="A38" s="196" t="s">
        <v>7</v>
      </c>
      <c r="B38" t="s">
        <v>8</v>
      </c>
      <c r="J38" s="197"/>
    </row>
    <row r="39" spans="1:20" ht="15.6">
      <c r="A39" s="196" t="s">
        <v>9</v>
      </c>
      <c r="B39" t="s">
        <v>9</v>
      </c>
      <c r="G39" s="1"/>
      <c r="J39" s="197"/>
    </row>
    <row r="40" spans="1:20" ht="15.6">
      <c r="A40" s="198" t="s">
        <v>10</v>
      </c>
      <c r="G40" s="1"/>
      <c r="J40" s="197"/>
    </row>
    <row r="41" spans="1:20" ht="15.6">
      <c r="A41" s="44" t="s">
        <v>11</v>
      </c>
      <c r="B41" s="45" t="s">
        <v>755</v>
      </c>
      <c r="C41" s="45" t="s">
        <v>9</v>
      </c>
      <c r="D41" s="45" t="s">
        <v>754</v>
      </c>
      <c r="E41" s="45" t="s">
        <v>12</v>
      </c>
      <c r="F41" s="45" t="s">
        <v>13</v>
      </c>
      <c r="G41" s="45" t="s">
        <v>14</v>
      </c>
      <c r="H41" s="45" t="s">
        <v>4</v>
      </c>
      <c r="I41" s="45" t="s">
        <v>7</v>
      </c>
      <c r="J41" s="46" t="s">
        <v>148</v>
      </c>
    </row>
    <row r="42" spans="1:20">
      <c r="A42" s="300" t="s">
        <v>237</v>
      </c>
      <c r="B42" s="299">
        <v>6.2E-4</v>
      </c>
      <c r="C42" s="250" t="s">
        <v>20</v>
      </c>
      <c r="D42" s="210">
        <v>1</v>
      </c>
      <c r="E42" s="305">
        <f>D42*B42</f>
        <v>6.2E-4</v>
      </c>
      <c r="F42" s="302" t="s">
        <v>144</v>
      </c>
      <c r="G42" s="210" t="s">
        <v>3</v>
      </c>
      <c r="H42" s="250" t="s">
        <v>234</v>
      </c>
      <c r="I42" s="250" t="s">
        <v>16</v>
      </c>
      <c r="J42" s="297" t="s">
        <v>773</v>
      </c>
    </row>
    <row r="43" spans="1:20" ht="15" thickBot="1">
      <c r="A43" s="301" t="str">
        <f>B34</f>
        <v>Energy - Integrated circuits</v>
      </c>
      <c r="B43" s="199">
        <v>1</v>
      </c>
      <c r="C43" s="303" t="s">
        <v>9</v>
      </c>
      <c r="D43" s="298">
        <v>1</v>
      </c>
      <c r="E43" s="303">
        <f>B43/D43</f>
        <v>1</v>
      </c>
      <c r="F43" s="303" t="str">
        <f>'Inventory - Manufacturing'!B2</f>
        <v>eFuse_Microchip</v>
      </c>
      <c r="G43" s="200" t="s">
        <v>3</v>
      </c>
      <c r="H43" s="303" t="s">
        <v>5</v>
      </c>
      <c r="I43" s="303" t="s">
        <v>26</v>
      </c>
      <c r="J43" s="207"/>
    </row>
    <row r="45" spans="1:20">
      <c r="B45" s="2"/>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zoomScale="110" zoomScaleNormal="100" workbookViewId="0">
      <selection activeCell="B26" sqref="B26"/>
    </sheetView>
  </sheetViews>
  <sheetFormatPr baseColWidth="10" defaultColWidth="10.6640625" defaultRowHeight="14.4"/>
  <cols>
    <col min="1" max="1" width="37.77734375" bestFit="1" customWidth="1"/>
    <col min="2" max="2" width="77.109375" bestFit="1" customWidth="1"/>
    <col min="3" max="3" width="86.33203125" customWidth="1"/>
  </cols>
  <sheetData>
    <row r="1" spans="1:3">
      <c r="A1" t="s">
        <v>29</v>
      </c>
      <c r="C1" s="3" t="s">
        <v>30</v>
      </c>
    </row>
    <row r="2" spans="1:3" ht="28.8">
      <c r="A2" s="4" t="s">
        <v>31</v>
      </c>
      <c r="B2" s="5" t="s">
        <v>788</v>
      </c>
      <c r="C2" s="6" t="s">
        <v>32</v>
      </c>
    </row>
    <row r="3" spans="1:3">
      <c r="C3" s="7"/>
    </row>
    <row r="4" spans="1:3" ht="43.2">
      <c r="A4" s="4" t="s">
        <v>33</v>
      </c>
      <c r="B4" s="8" t="s">
        <v>34</v>
      </c>
      <c r="C4" s="7" t="s">
        <v>35</v>
      </c>
    </row>
    <row r="5" spans="1:3" ht="43.2">
      <c r="A5" s="4" t="s">
        <v>36</v>
      </c>
      <c r="B5" s="9" t="str">
        <f>'Inventory - Manufacturing'!B2</f>
        <v>eFuse_Microchip</v>
      </c>
      <c r="C5" s="7" t="s">
        <v>37</v>
      </c>
    </row>
    <row r="6" spans="1:3">
      <c r="C6" s="7"/>
    </row>
    <row r="7" spans="1:3" ht="28.8">
      <c r="A7" s="4" t="s">
        <v>38</v>
      </c>
      <c r="B7" s="8" t="s">
        <v>144</v>
      </c>
      <c r="C7" s="7" t="s">
        <v>39</v>
      </c>
    </row>
    <row r="8" spans="1:3">
      <c r="A8" s="4" t="s">
        <v>40</v>
      </c>
      <c r="B8" s="28" t="s">
        <v>787</v>
      </c>
      <c r="C8" s="7" t="s">
        <v>41</v>
      </c>
    </row>
    <row r="9" spans="1:3">
      <c r="C9" s="7"/>
    </row>
    <row r="10" spans="1:3" ht="28.8">
      <c r="A10" s="4" t="s">
        <v>42</v>
      </c>
      <c r="B10" s="9" t="s">
        <v>43</v>
      </c>
      <c r="C10" s="7" t="s">
        <v>44</v>
      </c>
    </row>
    <row r="11" spans="1:3">
      <c r="A11" s="4" t="s">
        <v>45</v>
      </c>
      <c r="B11" s="9">
        <v>10</v>
      </c>
      <c r="C11" s="7" t="s">
        <v>46</v>
      </c>
    </row>
  </sheetData>
  <dataValidations count="1">
    <dataValidation type="list" allowBlank="1" showInputMessage="1" showErrorMessage="1" sqref="B10" xr:uid="{00000000-0002-0000-0200-000000000000}">
      <formula1>"Analysis,Monte Carlo"</formula1>
      <formula2>0</formula2>
    </dataValidation>
  </dataValidation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zoomScaleNormal="100" workbookViewId="0">
      <selection activeCell="A16" sqref="A16"/>
    </sheetView>
  </sheetViews>
  <sheetFormatPr baseColWidth="10" defaultColWidth="10.6640625" defaultRowHeight="14.4"/>
  <cols>
    <col min="2" max="2" width="16.77734375" customWidth="1"/>
    <col min="3" max="3" width="62.44140625" customWidth="1"/>
    <col min="4" max="4" width="69.77734375" customWidth="1"/>
    <col min="5" max="5" width="18.44140625" customWidth="1"/>
    <col min="6" max="6" width="84.6640625" customWidth="1"/>
  </cols>
  <sheetData>
    <row r="1" spans="1:6">
      <c r="A1" t="s">
        <v>29</v>
      </c>
      <c r="F1" s="15" t="s">
        <v>30</v>
      </c>
    </row>
    <row r="2" spans="1:6">
      <c r="A2" s="10" t="s">
        <v>47</v>
      </c>
      <c r="B2" s="10" t="s">
        <v>48</v>
      </c>
      <c r="C2" s="10" t="s">
        <v>49</v>
      </c>
      <c r="D2" s="10" t="s">
        <v>50</v>
      </c>
      <c r="E2" s="10" t="s">
        <v>51</v>
      </c>
      <c r="F2" s="7" t="s">
        <v>52</v>
      </c>
    </row>
    <row r="3" spans="1:6">
      <c r="A3" s="11" t="s">
        <v>53</v>
      </c>
      <c r="B3" s="11" t="s">
        <v>54</v>
      </c>
      <c r="C3" s="11" t="s">
        <v>55</v>
      </c>
      <c r="D3" s="11" t="s">
        <v>56</v>
      </c>
      <c r="E3" s="11" t="s">
        <v>57</v>
      </c>
      <c r="F3" s="26"/>
    </row>
    <row r="4" spans="1:6">
      <c r="A4" s="11" t="s">
        <v>58</v>
      </c>
      <c r="B4" s="11" t="s">
        <v>54</v>
      </c>
      <c r="C4" s="11" t="s">
        <v>59</v>
      </c>
      <c r="D4" s="11" t="s">
        <v>60</v>
      </c>
      <c r="E4" s="11" t="s">
        <v>61</v>
      </c>
      <c r="F4" s="26"/>
    </row>
    <row r="5" spans="1:6">
      <c r="A5" s="11" t="s">
        <v>62</v>
      </c>
      <c r="B5" s="11" t="s">
        <v>54</v>
      </c>
      <c r="C5" s="11" t="s">
        <v>63</v>
      </c>
      <c r="D5" s="11" t="s">
        <v>64</v>
      </c>
      <c r="E5" s="11" t="s">
        <v>65</v>
      </c>
      <c r="F5" s="26"/>
    </row>
    <row r="6" spans="1:6">
      <c r="A6" s="11" t="s">
        <v>66</v>
      </c>
      <c r="B6" s="11" t="s">
        <v>54</v>
      </c>
      <c r="C6" s="11" t="s">
        <v>67</v>
      </c>
      <c r="D6" s="11" t="s">
        <v>64</v>
      </c>
      <c r="E6" s="11" t="s">
        <v>65</v>
      </c>
      <c r="F6" s="26"/>
    </row>
    <row r="7" spans="1:6">
      <c r="A7" s="11" t="s">
        <v>68</v>
      </c>
      <c r="B7" s="11" t="s">
        <v>54</v>
      </c>
      <c r="C7" s="11" t="s">
        <v>69</v>
      </c>
      <c r="D7" s="11" t="s">
        <v>70</v>
      </c>
      <c r="E7" s="12" t="s">
        <v>71</v>
      </c>
      <c r="F7" s="26"/>
    </row>
    <row r="8" spans="1:6">
      <c r="A8" s="11" t="s">
        <v>72</v>
      </c>
      <c r="B8" s="11" t="s">
        <v>54</v>
      </c>
      <c r="C8" s="11" t="s">
        <v>73</v>
      </c>
      <c r="D8" s="11" t="s">
        <v>74</v>
      </c>
      <c r="E8" s="11" t="s">
        <v>75</v>
      </c>
      <c r="F8" s="26"/>
    </row>
    <row r="9" spans="1:6">
      <c r="A9" s="11" t="s">
        <v>76</v>
      </c>
      <c r="B9" s="11" t="s">
        <v>54</v>
      </c>
      <c r="C9" s="11" t="s">
        <v>77</v>
      </c>
      <c r="D9" s="11" t="s">
        <v>78</v>
      </c>
      <c r="E9" s="11" t="s">
        <v>79</v>
      </c>
      <c r="F9" s="26"/>
    </row>
    <row r="10" spans="1:6">
      <c r="A10" s="11" t="s">
        <v>80</v>
      </c>
      <c r="B10" s="11" t="s">
        <v>54</v>
      </c>
      <c r="C10" s="11" t="s">
        <v>81</v>
      </c>
      <c r="D10" s="11" t="s">
        <v>82</v>
      </c>
      <c r="E10" s="11" t="s">
        <v>83</v>
      </c>
      <c r="F10" s="26"/>
    </row>
    <row r="11" spans="1:6">
      <c r="A11" s="11" t="s">
        <v>84</v>
      </c>
      <c r="B11" s="11" t="s">
        <v>54</v>
      </c>
      <c r="C11" s="11" t="s">
        <v>85</v>
      </c>
      <c r="D11" s="11" t="s">
        <v>82</v>
      </c>
      <c r="E11" s="11" t="s">
        <v>86</v>
      </c>
      <c r="F11" s="26"/>
    </row>
    <row r="12" spans="1:6">
      <c r="A12" s="11" t="s">
        <v>87</v>
      </c>
      <c r="B12" s="11" t="s">
        <v>54</v>
      </c>
      <c r="C12" s="11" t="s">
        <v>88</v>
      </c>
      <c r="D12" s="11" t="s">
        <v>89</v>
      </c>
      <c r="E12" s="12" t="s">
        <v>90</v>
      </c>
      <c r="F12" s="26"/>
    </row>
    <row r="13" spans="1:6">
      <c r="A13" s="11" t="s">
        <v>91</v>
      </c>
      <c r="B13" s="11" t="s">
        <v>54</v>
      </c>
      <c r="C13" s="11" t="s">
        <v>92</v>
      </c>
      <c r="D13" s="11" t="s">
        <v>93</v>
      </c>
      <c r="E13" s="11" t="s">
        <v>94</v>
      </c>
      <c r="F13" s="26"/>
    </row>
    <row r="14" spans="1:6">
      <c r="A14" s="11" t="s">
        <v>95</v>
      </c>
      <c r="B14" s="11" t="s">
        <v>54</v>
      </c>
      <c r="C14" s="11" t="s">
        <v>96</v>
      </c>
      <c r="D14" s="11" t="s">
        <v>97</v>
      </c>
      <c r="E14" s="11" t="s">
        <v>98</v>
      </c>
      <c r="F14" s="26"/>
    </row>
    <row r="15" spans="1:6">
      <c r="A15" s="11" t="s">
        <v>99</v>
      </c>
      <c r="B15" s="11" t="s">
        <v>54</v>
      </c>
      <c r="C15" s="11" t="s">
        <v>100</v>
      </c>
      <c r="D15" s="11" t="s">
        <v>101</v>
      </c>
      <c r="E15" s="11" t="s">
        <v>102</v>
      </c>
      <c r="F15" s="26"/>
    </row>
    <row r="16" spans="1:6">
      <c r="A16" s="11" t="s">
        <v>103</v>
      </c>
      <c r="B16" s="11" t="s">
        <v>54</v>
      </c>
      <c r="C16" s="11" t="s">
        <v>104</v>
      </c>
      <c r="D16" s="11" t="s">
        <v>105</v>
      </c>
      <c r="E16" s="11" t="s">
        <v>106</v>
      </c>
      <c r="F16" s="26"/>
    </row>
    <row r="17" spans="1:6">
      <c r="A17" s="11" t="s">
        <v>107</v>
      </c>
      <c r="B17" s="11" t="s">
        <v>54</v>
      </c>
      <c r="C17" s="11" t="s">
        <v>108</v>
      </c>
      <c r="D17" s="11" t="s">
        <v>109</v>
      </c>
      <c r="E17" s="11" t="s">
        <v>110</v>
      </c>
      <c r="F17" s="26"/>
    </row>
    <row r="18" spans="1:6">
      <c r="A18" s="11" t="s">
        <v>111</v>
      </c>
      <c r="B18" s="11" t="s">
        <v>54</v>
      </c>
      <c r="C18" s="11" t="s">
        <v>112</v>
      </c>
      <c r="D18" s="11" t="s">
        <v>113</v>
      </c>
      <c r="E18" s="11" t="s">
        <v>114</v>
      </c>
      <c r="F18" s="26"/>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1"/>
  <sheetViews>
    <sheetView zoomScale="160" zoomScaleNormal="100" workbookViewId="0">
      <selection activeCell="A6" sqref="A6:A19"/>
    </sheetView>
  </sheetViews>
  <sheetFormatPr baseColWidth="10" defaultColWidth="11.44140625" defaultRowHeight="14.4"/>
  <cols>
    <col min="1" max="1" width="24.44140625" bestFit="1" customWidth="1"/>
    <col min="2" max="2" width="18.33203125" bestFit="1" customWidth="1"/>
    <col min="3" max="3" width="24.33203125" bestFit="1" customWidth="1"/>
    <col min="4" max="4" width="26.44140625" bestFit="1" customWidth="1"/>
    <col min="5" max="5" width="25" bestFit="1" customWidth="1"/>
  </cols>
  <sheetData>
    <row r="1" spans="1:6">
      <c r="A1" t="s">
        <v>29</v>
      </c>
    </row>
    <row r="2" spans="1:6" ht="108" customHeight="1">
      <c r="A2" s="27" t="s">
        <v>30</v>
      </c>
      <c r="B2" s="341" t="s">
        <v>777</v>
      </c>
      <c r="C2" s="342"/>
      <c r="D2" s="342"/>
      <c r="E2" s="342"/>
      <c r="F2" s="343"/>
    </row>
    <row r="3" spans="1:6">
      <c r="B3" s="60"/>
      <c r="C3" s="339" t="s">
        <v>243</v>
      </c>
      <c r="D3" s="339"/>
      <c r="E3" s="306" t="s">
        <v>243</v>
      </c>
    </row>
    <row r="4" spans="1:6">
      <c r="C4" s="340">
        <v>31</v>
      </c>
      <c r="D4" s="340"/>
      <c r="E4" s="61">
        <v>0.2016</v>
      </c>
    </row>
    <row r="5" spans="1:6">
      <c r="A5" s="13"/>
      <c r="B5" s="14" t="s">
        <v>115</v>
      </c>
      <c r="C5" s="14" t="s">
        <v>116</v>
      </c>
      <c r="D5" s="14" t="s">
        <v>117</v>
      </c>
      <c r="E5" s="14" t="s">
        <v>776</v>
      </c>
    </row>
    <row r="6" spans="1:6">
      <c r="A6" s="24" t="s">
        <v>745</v>
      </c>
      <c r="B6" s="186">
        <v>39.26</v>
      </c>
      <c r="C6" s="187">
        <v>8.2666666666666657</v>
      </c>
      <c r="D6" s="187">
        <v>23.25</v>
      </c>
      <c r="E6" s="188">
        <f>E4</f>
        <v>0.2016</v>
      </c>
    </row>
    <row r="7" spans="1:6">
      <c r="A7" s="24" t="s">
        <v>746</v>
      </c>
      <c r="B7" s="186">
        <v>39.26</v>
      </c>
      <c r="C7" s="187">
        <v>8.2666666666666657</v>
      </c>
      <c r="D7" s="187">
        <v>23.25</v>
      </c>
      <c r="E7" s="188">
        <f>E4</f>
        <v>0.2016</v>
      </c>
    </row>
    <row r="8" spans="1:6">
      <c r="A8" s="24" t="s">
        <v>149</v>
      </c>
      <c r="B8" s="189">
        <v>3.16</v>
      </c>
      <c r="C8" s="186">
        <v>4.1333333333333329</v>
      </c>
      <c r="D8" s="186">
        <v>11.366666666666665</v>
      </c>
      <c r="E8" s="186">
        <v>0</v>
      </c>
    </row>
    <row r="9" spans="1:6">
      <c r="A9" s="24" t="s">
        <v>756</v>
      </c>
      <c r="B9" s="186">
        <v>1.994</v>
      </c>
      <c r="C9" s="187">
        <v>27.383333333333333</v>
      </c>
      <c r="D9" s="187">
        <v>26.866666666666667</v>
      </c>
      <c r="E9" s="188">
        <v>0</v>
      </c>
    </row>
    <row r="10" spans="1:6">
      <c r="A10" s="24" t="s">
        <v>757</v>
      </c>
      <c r="B10" s="186">
        <v>2.2560000000000002</v>
      </c>
      <c r="C10" s="187">
        <v>48.050000000000004</v>
      </c>
      <c r="D10" s="187">
        <v>47.533333333333339</v>
      </c>
      <c r="E10" s="191">
        <f>E4</f>
        <v>0.2016</v>
      </c>
    </row>
    <row r="11" spans="1:6">
      <c r="A11" s="24" t="s">
        <v>761</v>
      </c>
      <c r="B11" s="186">
        <v>5.5120000000000005</v>
      </c>
      <c r="C11" s="187">
        <v>29.966666666666669</v>
      </c>
      <c r="D11" s="187">
        <v>29.45</v>
      </c>
      <c r="E11" s="186">
        <v>0</v>
      </c>
    </row>
    <row r="12" spans="1:6">
      <c r="A12" s="24" t="s">
        <v>762</v>
      </c>
      <c r="B12" s="186">
        <v>1.7150000000000003</v>
      </c>
      <c r="C12" s="187">
        <v>32.550000000000004</v>
      </c>
      <c r="D12" s="187">
        <v>32.033333333333339</v>
      </c>
      <c r="E12" s="186">
        <v>0</v>
      </c>
    </row>
    <row r="13" spans="1:6">
      <c r="A13" s="24" t="s">
        <v>767</v>
      </c>
      <c r="B13" s="186">
        <v>3.5940000000000007</v>
      </c>
      <c r="C13" s="187">
        <v>40.300000000000004</v>
      </c>
      <c r="D13" s="187">
        <v>39.783333333333339</v>
      </c>
      <c r="E13" s="191">
        <f>E7</f>
        <v>0.2016</v>
      </c>
    </row>
    <row r="14" spans="1:6">
      <c r="A14" s="24" t="s">
        <v>770</v>
      </c>
      <c r="B14" s="186">
        <v>6.8880000000000008</v>
      </c>
      <c r="C14" s="187">
        <v>42.883333333333333</v>
      </c>
      <c r="D14" s="187">
        <v>42.366666666666667</v>
      </c>
      <c r="E14" s="186">
        <v>0</v>
      </c>
    </row>
    <row r="15" spans="1:6">
      <c r="A15" s="24" t="s">
        <v>768</v>
      </c>
      <c r="B15" s="189">
        <v>4.992</v>
      </c>
      <c r="C15" s="189">
        <v>48.050000000000004</v>
      </c>
      <c r="D15" s="189">
        <v>47.533333333333339</v>
      </c>
      <c r="E15" s="189">
        <v>0</v>
      </c>
    </row>
    <row r="16" spans="1:6">
      <c r="A16" s="24" t="s">
        <v>213</v>
      </c>
      <c r="B16" s="186">
        <v>254.88</v>
      </c>
      <c r="C16" s="187">
        <v>-269.18333333333334</v>
      </c>
      <c r="D16" s="187">
        <v>-265.56666666666672</v>
      </c>
      <c r="E16" s="191">
        <v>0</v>
      </c>
    </row>
    <row r="17" spans="1:5">
      <c r="A17" s="24" t="s">
        <v>227</v>
      </c>
      <c r="B17" s="189">
        <v>0</v>
      </c>
      <c r="C17" s="186">
        <v>0</v>
      </c>
      <c r="D17" s="186">
        <v>0</v>
      </c>
      <c r="E17" s="186">
        <v>0</v>
      </c>
    </row>
    <row r="18" spans="1:5">
      <c r="A18" s="24" t="s">
        <v>231</v>
      </c>
      <c r="B18" s="189">
        <v>0</v>
      </c>
      <c r="C18" s="186">
        <v>0</v>
      </c>
      <c r="D18" s="186">
        <v>0</v>
      </c>
      <c r="E18" s="186">
        <v>0</v>
      </c>
    </row>
    <row r="19" spans="1:5">
      <c r="A19" s="24" t="s">
        <v>235</v>
      </c>
      <c r="B19" s="189">
        <v>0</v>
      </c>
      <c r="C19" s="189">
        <v>0</v>
      </c>
      <c r="D19" s="189">
        <v>0</v>
      </c>
      <c r="E19" s="189">
        <v>0</v>
      </c>
    </row>
    <row r="20" spans="1:5">
      <c r="B20" s="62"/>
      <c r="C20" s="62"/>
      <c r="D20" s="62"/>
    </row>
    <row r="21" spans="1:5">
      <c r="B21" s="62"/>
    </row>
  </sheetData>
  <mergeCells count="3">
    <mergeCell ref="C3:D3"/>
    <mergeCell ref="C4:D4"/>
    <mergeCell ref="B2:F2"/>
  </mergeCells>
  <phoneticPr fontId="8" type="noConversion"/>
  <hyperlinks>
    <hyperlink ref="E3" r:id="rId1" xr:uid="{7AD3360E-67E7-7840-BD85-395A4F368923}"/>
    <hyperlink ref="C3:D3" r:id="rId2" display="LINK" xr:uid="{43FC73DC-CDFF-B843-A3C8-41E988435E91}"/>
  </hyperlink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
  <sheetViews>
    <sheetView zoomScale="166" zoomScaleNormal="166" workbookViewId="0">
      <selection activeCell="B16" sqref="B16"/>
    </sheetView>
  </sheetViews>
  <sheetFormatPr baseColWidth="10" defaultColWidth="10.6640625" defaultRowHeight="14.4"/>
  <cols>
    <col min="1" max="1" width="30.77734375" bestFit="1" customWidth="1"/>
    <col min="2" max="2" width="18.44140625" customWidth="1"/>
    <col min="3" max="3" width="138.6640625" customWidth="1"/>
  </cols>
  <sheetData>
    <row r="1" spans="1:3">
      <c r="A1" t="s">
        <v>29</v>
      </c>
      <c r="C1" s="3" t="s">
        <v>30</v>
      </c>
    </row>
    <row r="2" spans="1:3">
      <c r="C2" s="13"/>
    </row>
    <row r="3" spans="1:3">
      <c r="A3" s="16" t="s">
        <v>118</v>
      </c>
      <c r="B3" s="17">
        <v>20</v>
      </c>
      <c r="C3" s="7" t="s">
        <v>119</v>
      </c>
    </row>
    <row r="4" spans="1:3" ht="28.8">
      <c r="A4" s="16" t="s">
        <v>120</v>
      </c>
      <c r="B4" s="17">
        <v>5000</v>
      </c>
      <c r="C4" s="7" t="s">
        <v>121</v>
      </c>
    </row>
    <row r="5" spans="1:3">
      <c r="A5" s="16" t="s">
        <v>122</v>
      </c>
      <c r="B5" s="17">
        <v>1</v>
      </c>
      <c r="C5" s="7" t="s">
        <v>123</v>
      </c>
    </row>
    <row r="6" spans="1:3">
      <c r="C6" s="7"/>
    </row>
    <row r="7" spans="1:3">
      <c r="A7" s="16" t="s">
        <v>124</v>
      </c>
      <c r="B7" s="17" t="s">
        <v>125</v>
      </c>
      <c r="C7" s="7" t="s">
        <v>126</v>
      </c>
    </row>
    <row r="8" spans="1:3">
      <c r="A8" s="16" t="s">
        <v>127</v>
      </c>
      <c r="B8" s="17" t="s">
        <v>125</v>
      </c>
      <c r="C8" s="18" t="s">
        <v>126</v>
      </c>
    </row>
    <row r="9" spans="1:3">
      <c r="A9" s="16" t="s">
        <v>128</v>
      </c>
      <c r="B9" s="17" t="s">
        <v>125</v>
      </c>
      <c r="C9" s="18" t="s">
        <v>126</v>
      </c>
    </row>
    <row r="10" spans="1:3">
      <c r="B10" s="19"/>
      <c r="C10" s="18"/>
    </row>
    <row r="11" spans="1:3">
      <c r="A11" s="16" t="s">
        <v>129</v>
      </c>
      <c r="B11" s="20" t="s">
        <v>125</v>
      </c>
      <c r="C11" s="18" t="s">
        <v>130</v>
      </c>
    </row>
    <row r="12" spans="1:3">
      <c r="C12" s="7"/>
    </row>
    <row r="13" spans="1:3" ht="28.8">
      <c r="A13" s="16" t="s">
        <v>131</v>
      </c>
      <c r="B13" s="17">
        <v>1000</v>
      </c>
      <c r="C13" s="7" t="s">
        <v>132</v>
      </c>
    </row>
    <row r="14" spans="1:3">
      <c r="C14" s="7"/>
    </row>
    <row r="15" spans="1:3" ht="28.8">
      <c r="A15" s="16" t="s">
        <v>133</v>
      </c>
      <c r="B15" s="21">
        <v>16</v>
      </c>
      <c r="C15" s="7" t="s">
        <v>134</v>
      </c>
    </row>
  </sheetData>
  <dataValidations count="1">
    <dataValidation type="list" allowBlank="1" showInputMessage="1" showErrorMessage="1" sqref="B7:B11" xr:uid="{00000000-0002-0000-0500-000000000000}">
      <formula1>"True,False"</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8"/>
  <sheetViews>
    <sheetView zoomScale="167" zoomScaleNormal="180" workbookViewId="0">
      <selection activeCell="A5" sqref="A5:A6"/>
    </sheetView>
  </sheetViews>
  <sheetFormatPr baseColWidth="10" defaultColWidth="10.6640625" defaultRowHeight="14.4"/>
  <cols>
    <col min="1" max="1" width="24.44140625" bestFit="1" customWidth="1"/>
    <col min="2" max="2" width="19.77734375" bestFit="1" customWidth="1"/>
    <col min="3" max="3" width="14.6640625" bestFit="1" customWidth="1"/>
    <col min="4" max="4" width="22.6640625" bestFit="1" customWidth="1"/>
    <col min="5" max="5" width="17.44140625" bestFit="1" customWidth="1"/>
    <col min="6" max="6" width="23.44140625" bestFit="1" customWidth="1"/>
    <col min="7" max="7" width="18.33203125" bestFit="1" customWidth="1"/>
    <col min="8" max="8" width="22.6640625" customWidth="1"/>
  </cols>
  <sheetData>
    <row r="1" spans="1:8">
      <c r="A1" t="s">
        <v>29</v>
      </c>
    </row>
    <row r="2" spans="1:8" ht="77.55" customHeight="1">
      <c r="A2" s="27" t="s">
        <v>30</v>
      </c>
      <c r="B2" s="344" t="s">
        <v>140</v>
      </c>
      <c r="C2" s="344"/>
      <c r="D2" s="344"/>
      <c r="E2" s="344"/>
      <c r="F2" s="344"/>
      <c r="G2" s="344"/>
      <c r="H2" s="344"/>
    </row>
    <row r="3" spans="1:8" ht="15" customHeight="1">
      <c r="A3" s="15"/>
      <c r="B3" s="23"/>
      <c r="C3" s="23"/>
      <c r="D3" s="23"/>
      <c r="E3" s="23"/>
      <c r="F3" s="23"/>
      <c r="G3" s="23"/>
    </row>
    <row r="4" spans="1:8" ht="19.5" customHeight="1">
      <c r="B4" s="24" t="s">
        <v>141</v>
      </c>
      <c r="C4" s="24" t="s">
        <v>135</v>
      </c>
      <c r="D4" s="24" t="s">
        <v>142</v>
      </c>
      <c r="E4" s="24" t="s">
        <v>136</v>
      </c>
      <c r="F4" s="24" t="s">
        <v>143</v>
      </c>
      <c r="G4" s="24" t="s">
        <v>137</v>
      </c>
      <c r="H4" s="24" t="s">
        <v>138</v>
      </c>
    </row>
    <row r="5" spans="1:8">
      <c r="A5" s="24" t="s">
        <v>745</v>
      </c>
      <c r="B5" s="55">
        <v>3424</v>
      </c>
      <c r="C5" s="55">
        <v>0.6</v>
      </c>
      <c r="D5" s="55">
        <v>1141</v>
      </c>
      <c r="E5" s="55">
        <v>1</v>
      </c>
      <c r="F5" s="55">
        <v>14</v>
      </c>
      <c r="G5" s="55">
        <v>7.59</v>
      </c>
      <c r="H5" s="55">
        <v>13</v>
      </c>
    </row>
    <row r="6" spans="1:8">
      <c r="A6" s="24" t="s">
        <v>746</v>
      </c>
      <c r="B6" s="55">
        <v>3424</v>
      </c>
      <c r="C6" s="55">
        <v>0.6</v>
      </c>
      <c r="D6" s="55">
        <v>1141</v>
      </c>
      <c r="E6" s="55">
        <v>1</v>
      </c>
      <c r="F6" s="55">
        <v>14</v>
      </c>
      <c r="G6" s="55">
        <v>7.59</v>
      </c>
      <c r="H6" s="55">
        <v>13</v>
      </c>
    </row>
    <row r="7" spans="1:8">
      <c r="A7" s="24" t="s">
        <v>149</v>
      </c>
      <c r="B7" s="56">
        <v>10000</v>
      </c>
      <c r="C7" s="55">
        <v>0.6</v>
      </c>
      <c r="D7" s="56">
        <v>10000</v>
      </c>
      <c r="E7" s="55">
        <v>1</v>
      </c>
      <c r="F7" s="56">
        <v>10000</v>
      </c>
      <c r="G7" s="55">
        <v>7.59</v>
      </c>
      <c r="H7" s="56">
        <v>10000</v>
      </c>
    </row>
    <row r="8" spans="1:8">
      <c r="A8" s="24" t="s">
        <v>756</v>
      </c>
      <c r="B8" s="56">
        <v>10000</v>
      </c>
      <c r="C8" s="55">
        <v>0.6</v>
      </c>
      <c r="D8" s="57">
        <v>324</v>
      </c>
      <c r="E8" s="55">
        <v>1.0266</v>
      </c>
      <c r="F8" s="56">
        <v>10000</v>
      </c>
      <c r="G8" s="55">
        <v>7.59</v>
      </c>
      <c r="H8" s="56">
        <v>10000</v>
      </c>
    </row>
    <row r="9" spans="1:8">
      <c r="A9" s="24" t="s">
        <v>757</v>
      </c>
      <c r="B9" s="56">
        <v>10000</v>
      </c>
      <c r="C9" s="58">
        <v>0.6</v>
      </c>
      <c r="D9" s="57">
        <v>324</v>
      </c>
      <c r="E9" s="55">
        <v>1.0266</v>
      </c>
      <c r="F9" s="56">
        <v>10000</v>
      </c>
      <c r="G9" s="55">
        <v>7.59</v>
      </c>
      <c r="H9" s="56">
        <v>10000</v>
      </c>
    </row>
    <row r="10" spans="1:8">
      <c r="A10" s="24" t="s">
        <v>761</v>
      </c>
      <c r="B10" s="56">
        <v>10000</v>
      </c>
      <c r="C10" s="55">
        <v>0.6</v>
      </c>
      <c r="D10" s="57">
        <v>324</v>
      </c>
      <c r="E10" s="55">
        <v>1.0266</v>
      </c>
      <c r="F10" s="56">
        <v>10000</v>
      </c>
      <c r="G10" s="55">
        <v>7.59</v>
      </c>
      <c r="H10" s="56">
        <v>10000</v>
      </c>
    </row>
    <row r="11" spans="1:8">
      <c r="A11" s="24" t="s">
        <v>762</v>
      </c>
      <c r="B11" s="56">
        <v>10000</v>
      </c>
      <c r="C11" s="58">
        <v>0.6</v>
      </c>
      <c r="D11" s="57">
        <v>324</v>
      </c>
      <c r="E11" s="55">
        <v>1.0266</v>
      </c>
      <c r="F11" s="56">
        <v>10000</v>
      </c>
      <c r="G11" s="55">
        <v>7.59</v>
      </c>
      <c r="H11" s="56">
        <v>10000</v>
      </c>
    </row>
    <row r="12" spans="1:8">
      <c r="A12" s="24" t="s">
        <v>767</v>
      </c>
      <c r="B12" s="56">
        <v>10000</v>
      </c>
      <c r="C12" s="55">
        <v>0.6</v>
      </c>
      <c r="D12" s="57">
        <v>324</v>
      </c>
      <c r="E12" s="55">
        <v>1.0266</v>
      </c>
      <c r="F12" s="56">
        <v>10000</v>
      </c>
      <c r="G12" s="55">
        <v>7.59</v>
      </c>
      <c r="H12" s="56">
        <v>10000</v>
      </c>
    </row>
    <row r="13" spans="1:8">
      <c r="A13" s="202" t="s">
        <v>770</v>
      </c>
      <c r="B13" s="203">
        <v>10000</v>
      </c>
      <c r="C13" s="204">
        <v>0.6</v>
      </c>
      <c r="D13" s="205">
        <v>324</v>
      </c>
      <c r="E13" s="204">
        <v>1.0266</v>
      </c>
      <c r="F13" s="203">
        <v>10000</v>
      </c>
      <c r="G13" s="204">
        <v>7.59</v>
      </c>
      <c r="H13" s="203">
        <v>10000</v>
      </c>
    </row>
    <row r="14" spans="1:8">
      <c r="A14" s="24" t="s">
        <v>768</v>
      </c>
      <c r="B14" s="56">
        <v>10000</v>
      </c>
      <c r="C14" s="55">
        <v>0.6</v>
      </c>
      <c r="D14" s="57">
        <v>324</v>
      </c>
      <c r="E14" s="55">
        <v>1.0266</v>
      </c>
      <c r="F14" s="56">
        <v>10000</v>
      </c>
      <c r="G14" s="55">
        <v>7.59</v>
      </c>
      <c r="H14" s="56">
        <v>10000</v>
      </c>
    </row>
    <row r="15" spans="1:8">
      <c r="A15" s="24" t="s">
        <v>213</v>
      </c>
      <c r="B15" s="56">
        <v>10000</v>
      </c>
      <c r="C15" s="59">
        <v>0.6</v>
      </c>
      <c r="D15" s="56">
        <v>10000</v>
      </c>
      <c r="E15" s="55">
        <v>1</v>
      </c>
      <c r="F15" s="56">
        <v>10000</v>
      </c>
      <c r="G15" s="55">
        <v>7.59</v>
      </c>
      <c r="H15" s="56">
        <v>10000</v>
      </c>
    </row>
    <row r="16" spans="1:8">
      <c r="A16" s="24" t="s">
        <v>227</v>
      </c>
      <c r="B16" s="56">
        <v>10000</v>
      </c>
      <c r="C16" s="56">
        <v>0.6</v>
      </c>
      <c r="D16" s="56">
        <v>10000</v>
      </c>
      <c r="E16" s="56">
        <v>1</v>
      </c>
      <c r="F16" s="56">
        <v>10000</v>
      </c>
      <c r="G16" s="56">
        <v>8</v>
      </c>
      <c r="H16" s="56">
        <v>10000</v>
      </c>
    </row>
    <row r="17" spans="1:8">
      <c r="A17" s="24" t="s">
        <v>231</v>
      </c>
      <c r="B17" s="56">
        <v>10000</v>
      </c>
      <c r="C17" s="56">
        <v>0.6</v>
      </c>
      <c r="D17" s="56">
        <v>10000</v>
      </c>
      <c r="E17" s="56">
        <v>1</v>
      </c>
      <c r="F17" s="56">
        <v>10000</v>
      </c>
      <c r="G17" s="56">
        <v>8</v>
      </c>
      <c r="H17" s="56">
        <v>10000</v>
      </c>
    </row>
    <row r="18" spans="1:8">
      <c r="A18" s="206" t="s">
        <v>235</v>
      </c>
      <c r="B18" s="56">
        <v>10000</v>
      </c>
      <c r="C18" s="56">
        <v>0.6</v>
      </c>
      <c r="D18" s="56">
        <v>10000</v>
      </c>
      <c r="E18" s="56">
        <v>1</v>
      </c>
      <c r="F18" s="56">
        <v>10000</v>
      </c>
      <c r="G18" s="56">
        <v>8</v>
      </c>
      <c r="H18" s="56">
        <v>10000</v>
      </c>
    </row>
  </sheetData>
  <mergeCells count="1">
    <mergeCell ref="B2:H2"/>
  </mergeCells>
  <phoneticPr fontId="8" type="noConversion"/>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8"/>
  <sheetViews>
    <sheetView zoomScale="115" zoomScaleNormal="100" workbookViewId="0">
      <selection activeCell="D25" sqref="D25"/>
    </sheetView>
  </sheetViews>
  <sheetFormatPr baseColWidth="10" defaultColWidth="10.6640625" defaultRowHeight="14.4"/>
  <cols>
    <col min="1" max="1" width="29" bestFit="1" customWidth="1"/>
    <col min="2" max="3" width="20.109375" bestFit="1" customWidth="1"/>
    <col min="4" max="4" width="19" bestFit="1" customWidth="1"/>
    <col min="5" max="5" width="18.33203125" bestFit="1" customWidth="1"/>
    <col min="6" max="6" width="18.109375" bestFit="1" customWidth="1"/>
    <col min="7" max="8" width="17.6640625" bestFit="1" customWidth="1"/>
    <col min="9" max="9" width="22.44140625" bestFit="1" customWidth="1"/>
    <col min="10" max="10" width="20.77734375" bestFit="1" customWidth="1"/>
    <col min="11" max="11" width="24.44140625" bestFit="1" customWidth="1"/>
  </cols>
  <sheetData>
    <row r="1" spans="1:18">
      <c r="A1" t="s">
        <v>29</v>
      </c>
    </row>
    <row r="2" spans="1:18" ht="81" customHeight="1">
      <c r="A2" s="27" t="s">
        <v>30</v>
      </c>
      <c r="B2" s="345" t="s">
        <v>139</v>
      </c>
      <c r="C2" s="345"/>
      <c r="D2" s="345"/>
      <c r="E2" s="345"/>
      <c r="F2" s="345"/>
      <c r="G2" s="345"/>
      <c r="H2" s="345"/>
      <c r="I2" s="345"/>
      <c r="J2" s="345"/>
      <c r="K2" s="345"/>
      <c r="L2" s="345"/>
      <c r="M2" s="345"/>
      <c r="N2" s="345"/>
      <c r="O2" s="345"/>
      <c r="P2" s="345"/>
      <c r="Q2" s="345"/>
      <c r="R2" s="345"/>
    </row>
    <row r="4" spans="1:18">
      <c r="B4" s="24" t="s">
        <v>745</v>
      </c>
      <c r="C4" s="24" t="s">
        <v>746</v>
      </c>
      <c r="D4" s="24" t="s">
        <v>756</v>
      </c>
      <c r="E4" s="24" t="s">
        <v>757</v>
      </c>
      <c r="F4" s="24" t="s">
        <v>761</v>
      </c>
      <c r="G4" s="24" t="s">
        <v>762</v>
      </c>
      <c r="H4" s="24" t="s">
        <v>765</v>
      </c>
      <c r="I4" s="24" t="s">
        <v>770</v>
      </c>
      <c r="J4" s="24" t="s">
        <v>768</v>
      </c>
      <c r="K4" s="24" t="s">
        <v>149</v>
      </c>
      <c r="L4" s="24" t="s">
        <v>213</v>
      </c>
      <c r="M4" s="24" t="s">
        <v>227</v>
      </c>
      <c r="N4" s="24" t="s">
        <v>231</v>
      </c>
      <c r="O4" s="24" t="s">
        <v>235</v>
      </c>
    </row>
    <row r="5" spans="1:18">
      <c r="A5" s="24" t="s">
        <v>747</v>
      </c>
      <c r="B5" s="25">
        <v>1</v>
      </c>
      <c r="C5" s="25">
        <v>0.5</v>
      </c>
      <c r="D5" s="25">
        <v>0</v>
      </c>
      <c r="E5" s="25">
        <v>0</v>
      </c>
      <c r="F5" s="25">
        <v>0</v>
      </c>
      <c r="G5" s="25">
        <v>0</v>
      </c>
      <c r="H5" s="25">
        <v>0</v>
      </c>
      <c r="I5" s="25">
        <v>0</v>
      </c>
      <c r="J5" s="25">
        <v>0</v>
      </c>
      <c r="K5" s="25">
        <v>0</v>
      </c>
      <c r="L5" s="25">
        <v>0</v>
      </c>
      <c r="M5" s="25">
        <v>0</v>
      </c>
      <c r="N5" s="25">
        <v>0</v>
      </c>
      <c r="O5" s="25">
        <v>0</v>
      </c>
    </row>
    <row r="6" spans="1:18">
      <c r="A6" s="24" t="s">
        <v>748</v>
      </c>
      <c r="B6" s="25">
        <v>0.5</v>
      </c>
      <c r="C6" s="25">
        <v>1</v>
      </c>
      <c r="D6" s="25">
        <v>0</v>
      </c>
      <c r="E6" s="25">
        <v>0</v>
      </c>
      <c r="F6" s="25">
        <v>0</v>
      </c>
      <c r="G6" s="25">
        <v>0</v>
      </c>
      <c r="H6" s="25">
        <v>0</v>
      </c>
      <c r="I6" s="25">
        <v>0</v>
      </c>
      <c r="J6" s="25">
        <v>0</v>
      </c>
      <c r="K6" s="25">
        <v>0</v>
      </c>
      <c r="L6" s="25">
        <v>0</v>
      </c>
      <c r="M6" s="25">
        <v>0</v>
      </c>
      <c r="N6" s="25">
        <v>0</v>
      </c>
      <c r="O6" s="25">
        <v>0</v>
      </c>
    </row>
    <row r="7" spans="1:18">
      <c r="A7" s="24" t="s">
        <v>759</v>
      </c>
      <c r="B7" s="25">
        <v>0</v>
      </c>
      <c r="C7" s="25">
        <v>0</v>
      </c>
      <c r="D7" s="25">
        <v>1</v>
      </c>
      <c r="E7" s="25">
        <v>0</v>
      </c>
      <c r="F7" s="25">
        <v>0</v>
      </c>
      <c r="G7" s="25">
        <v>0</v>
      </c>
      <c r="H7" s="25">
        <v>0</v>
      </c>
      <c r="I7" s="25">
        <v>0</v>
      </c>
      <c r="J7" s="25">
        <v>0</v>
      </c>
      <c r="K7" s="25">
        <v>0</v>
      </c>
      <c r="L7" s="25">
        <v>0</v>
      </c>
      <c r="M7" s="25">
        <v>0</v>
      </c>
      <c r="N7" s="25">
        <v>0</v>
      </c>
      <c r="O7" s="25">
        <v>0</v>
      </c>
    </row>
    <row r="8" spans="1:18">
      <c r="A8" s="24" t="s">
        <v>760</v>
      </c>
      <c r="B8" s="25">
        <v>0</v>
      </c>
      <c r="C8" s="25">
        <v>0</v>
      </c>
      <c r="D8" s="25">
        <v>0</v>
      </c>
      <c r="E8" s="25">
        <v>1</v>
      </c>
      <c r="F8" s="25">
        <v>0</v>
      </c>
      <c r="G8" s="25">
        <v>0</v>
      </c>
      <c r="H8" s="25">
        <v>0</v>
      </c>
      <c r="I8" s="25">
        <v>0</v>
      </c>
      <c r="J8" s="25">
        <v>0</v>
      </c>
      <c r="K8" s="25">
        <v>0</v>
      </c>
      <c r="L8" s="25">
        <v>0</v>
      </c>
      <c r="M8" s="25">
        <v>0</v>
      </c>
      <c r="N8" s="25">
        <v>0</v>
      </c>
      <c r="O8" s="25">
        <v>0</v>
      </c>
    </row>
    <row r="9" spans="1:18">
      <c r="A9" s="24" t="s">
        <v>763</v>
      </c>
      <c r="B9" s="25">
        <v>0</v>
      </c>
      <c r="C9" s="25">
        <v>0</v>
      </c>
      <c r="D9" s="25">
        <v>0</v>
      </c>
      <c r="E9" s="25">
        <v>0</v>
      </c>
      <c r="F9" s="25">
        <v>1</v>
      </c>
      <c r="G9" s="25">
        <v>0</v>
      </c>
      <c r="H9" s="25">
        <v>0</v>
      </c>
      <c r="I9" s="25">
        <v>0</v>
      </c>
      <c r="J9" s="25">
        <v>0</v>
      </c>
      <c r="K9" s="25">
        <v>0</v>
      </c>
      <c r="L9" s="25">
        <v>0</v>
      </c>
      <c r="M9" s="25">
        <v>0</v>
      </c>
      <c r="N9" s="25">
        <v>0</v>
      </c>
      <c r="O9" s="25">
        <v>0</v>
      </c>
    </row>
    <row r="10" spans="1:18">
      <c r="A10" s="24" t="s">
        <v>764</v>
      </c>
      <c r="B10" s="25">
        <v>0</v>
      </c>
      <c r="C10" s="25">
        <v>0</v>
      </c>
      <c r="D10" s="25">
        <v>0</v>
      </c>
      <c r="E10" s="25">
        <v>0</v>
      </c>
      <c r="F10" s="25">
        <v>0</v>
      </c>
      <c r="G10" s="25">
        <v>1</v>
      </c>
      <c r="H10" s="25">
        <v>0</v>
      </c>
      <c r="I10" s="25">
        <v>0</v>
      </c>
      <c r="J10" s="25">
        <v>0</v>
      </c>
      <c r="K10" s="25">
        <v>0</v>
      </c>
      <c r="L10" s="25">
        <v>0</v>
      </c>
      <c r="M10" s="25">
        <v>0</v>
      </c>
      <c r="N10" s="25">
        <v>0</v>
      </c>
      <c r="O10" s="25">
        <v>0</v>
      </c>
    </row>
    <row r="11" spans="1:18">
      <c r="A11" s="24" t="s">
        <v>766</v>
      </c>
      <c r="B11" s="25">
        <v>0</v>
      </c>
      <c r="C11" s="25">
        <v>0</v>
      </c>
      <c r="D11" s="25">
        <v>0</v>
      </c>
      <c r="E11" s="25">
        <v>0</v>
      </c>
      <c r="F11" s="25">
        <v>0</v>
      </c>
      <c r="G11" s="25">
        <v>0</v>
      </c>
      <c r="H11" s="25">
        <v>1</v>
      </c>
      <c r="I11" s="25">
        <v>0</v>
      </c>
      <c r="J11" s="25">
        <v>0</v>
      </c>
      <c r="K11" s="25">
        <v>0</v>
      </c>
      <c r="L11" s="25">
        <v>0</v>
      </c>
      <c r="M11" s="25">
        <v>0</v>
      </c>
      <c r="N11" s="25">
        <v>0</v>
      </c>
      <c r="O11" s="25">
        <v>0</v>
      </c>
    </row>
    <row r="12" spans="1:18">
      <c r="A12" s="24" t="s">
        <v>771</v>
      </c>
      <c r="B12" s="25">
        <v>0</v>
      </c>
      <c r="C12" s="25">
        <v>0</v>
      </c>
      <c r="D12" s="25">
        <v>0</v>
      </c>
      <c r="E12" s="25">
        <v>0</v>
      </c>
      <c r="F12" s="25">
        <v>0</v>
      </c>
      <c r="G12" s="25">
        <v>0</v>
      </c>
      <c r="H12" s="25">
        <v>0</v>
      </c>
      <c r="I12" s="25">
        <v>1</v>
      </c>
      <c r="J12" s="25">
        <v>0</v>
      </c>
      <c r="K12" s="25">
        <v>0</v>
      </c>
      <c r="L12" s="25">
        <v>0</v>
      </c>
      <c r="M12" s="25">
        <v>0</v>
      </c>
      <c r="N12" s="25">
        <v>0</v>
      </c>
      <c r="O12" s="25">
        <v>0</v>
      </c>
    </row>
    <row r="13" spans="1:18">
      <c r="A13" s="24" t="s">
        <v>769</v>
      </c>
      <c r="B13" s="25">
        <v>0</v>
      </c>
      <c r="C13" s="25">
        <v>0</v>
      </c>
      <c r="D13" s="25">
        <v>0</v>
      </c>
      <c r="E13" s="25">
        <v>0</v>
      </c>
      <c r="F13" s="25">
        <v>0</v>
      </c>
      <c r="G13" s="25">
        <v>0</v>
      </c>
      <c r="H13" s="25">
        <v>0</v>
      </c>
      <c r="I13" s="25">
        <v>0</v>
      </c>
      <c r="J13" s="25">
        <v>1</v>
      </c>
      <c r="K13" s="25">
        <v>0</v>
      </c>
      <c r="L13" s="25">
        <v>0</v>
      </c>
      <c r="M13" s="25">
        <v>0</v>
      </c>
      <c r="N13" s="25">
        <v>0</v>
      </c>
      <c r="O13" s="25">
        <v>0</v>
      </c>
    </row>
    <row r="14" spans="1:18">
      <c r="A14" s="24" t="s">
        <v>238</v>
      </c>
      <c r="B14" s="25">
        <v>0</v>
      </c>
      <c r="C14" s="25">
        <v>0</v>
      </c>
      <c r="D14" s="25">
        <v>0</v>
      </c>
      <c r="E14" s="25">
        <v>0</v>
      </c>
      <c r="F14" s="25">
        <v>0</v>
      </c>
      <c r="G14" s="25">
        <v>0</v>
      </c>
      <c r="H14" s="25">
        <v>0</v>
      </c>
      <c r="I14" s="25">
        <v>0</v>
      </c>
      <c r="J14" s="25">
        <v>0</v>
      </c>
      <c r="K14" s="25">
        <v>1</v>
      </c>
      <c r="L14" s="25">
        <v>0</v>
      </c>
      <c r="M14" s="25">
        <v>0</v>
      </c>
      <c r="N14" s="25">
        <v>0</v>
      </c>
      <c r="O14" s="25">
        <v>0</v>
      </c>
    </row>
    <row r="15" spans="1:18">
      <c r="A15" s="24" t="s">
        <v>239</v>
      </c>
      <c r="B15" s="25">
        <v>1</v>
      </c>
      <c r="C15" s="25">
        <v>1</v>
      </c>
      <c r="D15" s="25">
        <v>1</v>
      </c>
      <c r="E15" s="25">
        <v>1</v>
      </c>
      <c r="F15" s="25">
        <v>1</v>
      </c>
      <c r="G15" s="25">
        <v>1</v>
      </c>
      <c r="H15" s="25">
        <v>1</v>
      </c>
      <c r="I15" s="25">
        <v>1</v>
      </c>
      <c r="J15" s="25">
        <v>1</v>
      </c>
      <c r="K15" s="25">
        <v>1</v>
      </c>
      <c r="L15" s="25">
        <v>1</v>
      </c>
      <c r="M15" s="25">
        <v>1</v>
      </c>
      <c r="N15" s="25">
        <v>1</v>
      </c>
      <c r="O15" s="25">
        <v>1</v>
      </c>
    </row>
    <row r="16" spans="1:18">
      <c r="A16" s="24" t="s">
        <v>240</v>
      </c>
      <c r="B16" s="25">
        <v>0</v>
      </c>
      <c r="C16" s="25">
        <v>0</v>
      </c>
      <c r="D16" s="25">
        <v>0</v>
      </c>
      <c r="E16" s="25">
        <v>0</v>
      </c>
      <c r="F16" s="25">
        <v>0</v>
      </c>
      <c r="G16" s="25">
        <v>0</v>
      </c>
      <c r="H16" s="25">
        <v>0</v>
      </c>
      <c r="I16" s="25">
        <v>0</v>
      </c>
      <c r="J16" s="25">
        <v>0</v>
      </c>
      <c r="K16" s="25">
        <v>0</v>
      </c>
      <c r="L16" s="25">
        <v>0</v>
      </c>
      <c r="M16" s="25">
        <v>0</v>
      </c>
      <c r="N16" s="25">
        <v>0</v>
      </c>
      <c r="O16" s="25">
        <v>0</v>
      </c>
    </row>
    <row r="17" spans="1:15">
      <c r="A17" s="24" t="s">
        <v>241</v>
      </c>
      <c r="B17" s="25">
        <v>0</v>
      </c>
      <c r="C17" s="25">
        <v>0</v>
      </c>
      <c r="D17" s="25">
        <v>0</v>
      </c>
      <c r="E17" s="25">
        <v>0</v>
      </c>
      <c r="F17" s="25">
        <v>0</v>
      </c>
      <c r="G17" s="25">
        <v>0</v>
      </c>
      <c r="H17" s="25">
        <v>0</v>
      </c>
      <c r="I17" s="25">
        <v>0</v>
      </c>
      <c r="J17" s="25">
        <v>0</v>
      </c>
      <c r="K17" s="25">
        <v>0</v>
      </c>
      <c r="L17" s="25">
        <v>0</v>
      </c>
      <c r="M17" s="25">
        <v>0</v>
      </c>
      <c r="N17" s="25">
        <v>0</v>
      </c>
      <c r="O17" s="25">
        <v>0</v>
      </c>
    </row>
    <row r="18" spans="1:15">
      <c r="A18" s="24" t="s">
        <v>242</v>
      </c>
      <c r="B18" s="25">
        <v>0</v>
      </c>
      <c r="C18" s="25">
        <v>0</v>
      </c>
      <c r="D18" s="25">
        <v>0</v>
      </c>
      <c r="E18" s="25">
        <v>0</v>
      </c>
      <c r="F18" s="25">
        <v>0</v>
      </c>
      <c r="G18" s="25">
        <v>0</v>
      </c>
      <c r="H18" s="25">
        <v>0</v>
      </c>
      <c r="I18" s="25">
        <v>0</v>
      </c>
      <c r="J18" s="25">
        <v>0</v>
      </c>
      <c r="K18" s="25">
        <v>0</v>
      </c>
      <c r="L18" s="25">
        <v>0</v>
      </c>
      <c r="M18" s="25">
        <v>0</v>
      </c>
      <c r="N18" s="25">
        <v>0</v>
      </c>
      <c r="O18" s="25">
        <v>0</v>
      </c>
    </row>
  </sheetData>
  <mergeCells count="1">
    <mergeCell ref="B2:R2"/>
  </mergeCells>
  <phoneticPr fontId="8" type="noConversion"/>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AAA91-FBC5-F24F-8E2F-06633A7995BE}">
  <sheetPr>
    <pageSetUpPr fitToPage="1"/>
  </sheetPr>
  <dimension ref="A1:O56"/>
  <sheetViews>
    <sheetView zoomScale="139" zoomScaleNormal="139" workbookViewId="0">
      <selection activeCell="C29" sqref="C29"/>
    </sheetView>
  </sheetViews>
  <sheetFormatPr baseColWidth="10" defaultColWidth="10.77734375" defaultRowHeight="14.4"/>
  <cols>
    <col min="1" max="1" width="10.77734375" style="63"/>
    <col min="2" max="2" width="5.6640625" style="63" bestFit="1" customWidth="1"/>
    <col min="3" max="3" width="22" style="63" customWidth="1"/>
    <col min="4" max="4" width="19.6640625" style="63" bestFit="1" customWidth="1"/>
    <col min="5" max="5" width="49" style="63" customWidth="1"/>
    <col min="6" max="6" width="12.33203125" style="63" bestFit="1" customWidth="1"/>
    <col min="7" max="7" width="15.33203125" style="63" bestFit="1" customWidth="1"/>
    <col min="8" max="8" width="12.33203125" style="63" bestFit="1" customWidth="1"/>
    <col min="9" max="9" width="10.77734375" style="64"/>
    <col min="10" max="11" width="10.77734375" style="63"/>
    <col min="12" max="12" width="22.6640625" style="63" customWidth="1"/>
    <col min="13" max="16384" width="10.77734375" style="63"/>
  </cols>
  <sheetData>
    <row r="1" spans="1:15" ht="28.8">
      <c r="B1" s="346" t="s">
        <v>545</v>
      </c>
      <c r="C1" s="346"/>
      <c r="D1" s="346"/>
      <c r="E1" s="346"/>
      <c r="F1" s="346"/>
      <c r="G1" s="346"/>
      <c r="H1" s="346"/>
      <c r="I1" s="346"/>
      <c r="J1" s="346"/>
      <c r="K1" s="346"/>
      <c r="L1" s="346"/>
    </row>
    <row r="3" spans="1:15">
      <c r="C3" s="81" t="s">
        <v>213</v>
      </c>
      <c r="D3" s="80" t="s">
        <v>544</v>
      </c>
      <c r="F3"/>
      <c r="G3"/>
      <c r="H3"/>
      <c r="I3"/>
      <c r="J3"/>
      <c r="K3"/>
    </row>
    <row r="4" spans="1:15">
      <c r="I4" s="79" t="s">
        <v>543</v>
      </c>
      <c r="J4" s="78" cm="1">
        <f t="array" ref="J4">SUM(B6:B54*I6:I54)*10^-3</f>
        <v>101.43414465999999</v>
      </c>
    </row>
    <row r="5" spans="1:15">
      <c r="A5" s="77" t="s">
        <v>148</v>
      </c>
      <c r="B5" s="76" t="s">
        <v>542</v>
      </c>
      <c r="C5" s="76" t="s">
        <v>541</v>
      </c>
      <c r="D5" s="76" t="s">
        <v>540</v>
      </c>
      <c r="E5" s="76" t="s">
        <v>539</v>
      </c>
      <c r="F5" s="76" t="s">
        <v>538</v>
      </c>
      <c r="G5" s="76" t="s">
        <v>537</v>
      </c>
      <c r="H5" s="76" t="s">
        <v>536</v>
      </c>
      <c r="I5" s="76" t="s">
        <v>535</v>
      </c>
      <c r="J5" s="76" t="s">
        <v>534</v>
      </c>
      <c r="K5" s="76" t="s">
        <v>533</v>
      </c>
      <c r="L5" s="76" t="s">
        <v>532</v>
      </c>
      <c r="M5" s="76" t="s">
        <v>531</v>
      </c>
      <c r="N5" s="76" t="s">
        <v>30</v>
      </c>
      <c r="O5" s="76" t="s">
        <v>530</v>
      </c>
    </row>
    <row r="6" spans="1:15" ht="21.6">
      <c r="A6" s="73" t="s">
        <v>157</v>
      </c>
      <c r="B6" s="69">
        <v>12</v>
      </c>
      <c r="C6" s="70" t="s">
        <v>529</v>
      </c>
      <c r="D6" s="69" t="s">
        <v>155</v>
      </c>
      <c r="E6" s="84" t="s">
        <v>528</v>
      </c>
      <c r="F6" s="69" t="s">
        <v>520</v>
      </c>
      <c r="G6" s="68" t="s">
        <v>527</v>
      </c>
      <c r="H6" s="68" t="s">
        <v>293</v>
      </c>
      <c r="I6" s="75">
        <v>5.12</v>
      </c>
      <c r="J6" s="66">
        <f t="shared" ref="J6:J37" si="0">B6*I6</f>
        <v>61.44</v>
      </c>
      <c r="K6" s="66"/>
      <c r="L6" s="85" t="s">
        <v>526</v>
      </c>
      <c r="M6" s="131">
        <f>0.042</f>
        <v>4.2000000000000003E-2</v>
      </c>
      <c r="N6" s="66" t="s">
        <v>298</v>
      </c>
      <c r="O6" s="87">
        <f t="shared" ref="O6:O37" si="1">B6*M6</f>
        <v>0.504</v>
      </c>
    </row>
    <row r="7" spans="1:15">
      <c r="A7" s="73" t="s">
        <v>158</v>
      </c>
      <c r="B7" s="69">
        <v>1</v>
      </c>
      <c r="C7" s="69" t="s">
        <v>525</v>
      </c>
      <c r="D7" s="69" t="s">
        <v>155</v>
      </c>
      <c r="E7" s="84" t="s">
        <v>524</v>
      </c>
      <c r="F7" s="69" t="s">
        <v>495</v>
      </c>
      <c r="G7" s="68" t="s">
        <v>523</v>
      </c>
      <c r="H7" s="68" t="s">
        <v>293</v>
      </c>
      <c r="I7" s="132">
        <v>18.97</v>
      </c>
      <c r="J7" s="66">
        <f t="shared" si="0"/>
        <v>18.97</v>
      </c>
      <c r="K7" s="66"/>
      <c r="L7" s="85" t="s">
        <v>493</v>
      </c>
      <c r="M7" s="131">
        <v>2.8000000000000001E-2</v>
      </c>
      <c r="N7" s="66" t="s">
        <v>298</v>
      </c>
      <c r="O7" s="87">
        <f t="shared" si="1"/>
        <v>2.8000000000000001E-2</v>
      </c>
    </row>
    <row r="8" spans="1:15">
      <c r="A8" s="73" t="s">
        <v>159</v>
      </c>
      <c r="B8" s="69">
        <v>4</v>
      </c>
      <c r="C8" s="69" t="s">
        <v>522</v>
      </c>
      <c r="D8" s="69" t="s">
        <v>155</v>
      </c>
      <c r="E8" s="84" t="s">
        <v>521</v>
      </c>
      <c r="F8" s="69" t="s">
        <v>520</v>
      </c>
      <c r="G8" s="68" t="s">
        <v>519</v>
      </c>
      <c r="H8" s="68" t="s">
        <v>293</v>
      </c>
      <c r="I8" s="132">
        <v>40.96</v>
      </c>
      <c r="J8" s="66">
        <f t="shared" si="0"/>
        <v>163.84</v>
      </c>
      <c r="K8" s="66"/>
      <c r="L8" s="85" t="s">
        <v>518</v>
      </c>
      <c r="M8" s="131">
        <v>0.627</v>
      </c>
      <c r="N8" s="66" t="s">
        <v>298</v>
      </c>
      <c r="O8" s="87">
        <f t="shared" si="1"/>
        <v>2.508</v>
      </c>
    </row>
    <row r="9" spans="1:15">
      <c r="A9" s="73" t="s">
        <v>160</v>
      </c>
      <c r="B9" s="69">
        <v>3</v>
      </c>
      <c r="C9" s="69" t="s">
        <v>517</v>
      </c>
      <c r="D9" s="69" t="s">
        <v>155</v>
      </c>
      <c r="E9" s="84" t="s">
        <v>516</v>
      </c>
      <c r="F9" s="69" t="s">
        <v>495</v>
      </c>
      <c r="G9" s="68" t="s">
        <v>515</v>
      </c>
      <c r="H9" s="68" t="s">
        <v>293</v>
      </c>
      <c r="I9" s="132">
        <v>47.52</v>
      </c>
      <c r="J9" s="66">
        <f t="shared" si="0"/>
        <v>142.56</v>
      </c>
      <c r="K9" s="66"/>
      <c r="L9" s="85" t="s">
        <v>493</v>
      </c>
      <c r="M9" s="131">
        <v>0.21</v>
      </c>
      <c r="N9" s="66" t="s">
        <v>298</v>
      </c>
      <c r="O9" s="87">
        <f t="shared" si="1"/>
        <v>0.63</v>
      </c>
    </row>
    <row r="10" spans="1:15">
      <c r="A10" s="73" t="s">
        <v>161</v>
      </c>
      <c r="B10" s="69">
        <v>1</v>
      </c>
      <c r="C10" s="69" t="s">
        <v>514</v>
      </c>
      <c r="D10" s="69" t="s">
        <v>155</v>
      </c>
      <c r="E10" s="84" t="s">
        <v>513</v>
      </c>
      <c r="F10" s="69" t="s">
        <v>495</v>
      </c>
      <c r="G10" s="68" t="s">
        <v>512</v>
      </c>
      <c r="H10" s="68" t="s">
        <v>293</v>
      </c>
      <c r="I10" s="132">
        <v>18.97</v>
      </c>
      <c r="J10" s="66">
        <f t="shared" si="0"/>
        <v>18.97</v>
      </c>
      <c r="K10" s="66"/>
      <c r="L10" s="85" t="s">
        <v>493</v>
      </c>
      <c r="M10" s="131">
        <v>0.06</v>
      </c>
      <c r="N10" s="66" t="s">
        <v>298</v>
      </c>
      <c r="O10" s="87">
        <f t="shared" si="1"/>
        <v>0.06</v>
      </c>
    </row>
    <row r="11" spans="1:15">
      <c r="A11" s="73" t="s">
        <v>162</v>
      </c>
      <c r="B11" s="69">
        <v>3</v>
      </c>
      <c r="C11" s="69" t="s">
        <v>511</v>
      </c>
      <c r="D11" s="69" t="s">
        <v>155</v>
      </c>
      <c r="E11" s="84" t="s">
        <v>510</v>
      </c>
      <c r="F11" s="69" t="s">
        <v>509</v>
      </c>
      <c r="G11" s="68" t="s">
        <v>508</v>
      </c>
      <c r="H11" s="68" t="s">
        <v>504</v>
      </c>
      <c r="I11" s="132">
        <v>6</v>
      </c>
      <c r="J11" s="66">
        <f t="shared" si="0"/>
        <v>18</v>
      </c>
      <c r="K11" s="66"/>
      <c r="L11" s="85" t="s">
        <v>507</v>
      </c>
      <c r="M11" s="131">
        <v>2</v>
      </c>
      <c r="N11" s="66" t="s">
        <v>298</v>
      </c>
      <c r="O11" s="87">
        <f t="shared" si="1"/>
        <v>6</v>
      </c>
    </row>
    <row r="12" spans="1:15">
      <c r="A12" s="73" t="s">
        <v>163</v>
      </c>
      <c r="B12" s="69">
        <v>1</v>
      </c>
      <c r="C12" s="69" t="s">
        <v>506</v>
      </c>
      <c r="D12" s="69" t="s">
        <v>155</v>
      </c>
      <c r="E12" s="84" t="s">
        <v>505</v>
      </c>
      <c r="F12" s="69" t="s">
        <v>504</v>
      </c>
      <c r="G12" s="68" t="s">
        <v>503</v>
      </c>
      <c r="H12" s="68" t="s">
        <v>293</v>
      </c>
      <c r="I12" s="132">
        <v>12</v>
      </c>
      <c r="J12" s="66">
        <f t="shared" si="0"/>
        <v>12</v>
      </c>
      <c r="K12" s="66"/>
      <c r="L12" s="85" t="s">
        <v>502</v>
      </c>
      <c r="M12" s="131">
        <v>0.128</v>
      </c>
      <c r="N12" s="66" t="s">
        <v>298</v>
      </c>
      <c r="O12" s="87">
        <f t="shared" si="1"/>
        <v>0.128</v>
      </c>
    </row>
    <row r="13" spans="1:15">
      <c r="A13" s="73" t="s">
        <v>164</v>
      </c>
      <c r="B13" s="69">
        <v>3</v>
      </c>
      <c r="C13" s="69" t="s">
        <v>501</v>
      </c>
      <c r="D13" s="69" t="s">
        <v>155</v>
      </c>
      <c r="E13" s="84" t="s">
        <v>500</v>
      </c>
      <c r="F13" s="69" t="s">
        <v>495</v>
      </c>
      <c r="G13" s="68" t="s">
        <v>499</v>
      </c>
      <c r="H13" s="68" t="s">
        <v>293</v>
      </c>
      <c r="I13" s="132">
        <v>4.51</v>
      </c>
      <c r="J13" s="66">
        <f t="shared" si="0"/>
        <v>13.53</v>
      </c>
      <c r="K13" s="66"/>
      <c r="L13" s="85" t="s">
        <v>498</v>
      </c>
      <c r="M13" s="131">
        <v>6.6000000000000003E-2</v>
      </c>
      <c r="N13" s="66" t="s">
        <v>298</v>
      </c>
      <c r="O13" s="87">
        <f t="shared" si="1"/>
        <v>0.19800000000000001</v>
      </c>
    </row>
    <row r="14" spans="1:15">
      <c r="A14" s="73" t="s">
        <v>165</v>
      </c>
      <c r="B14" s="69">
        <v>4</v>
      </c>
      <c r="C14" s="69" t="s">
        <v>497</v>
      </c>
      <c r="D14" s="69" t="s">
        <v>155</v>
      </c>
      <c r="E14" s="84" t="s">
        <v>496</v>
      </c>
      <c r="F14" s="69" t="s">
        <v>495</v>
      </c>
      <c r="G14" s="68" t="s">
        <v>494</v>
      </c>
      <c r="H14" s="68" t="s">
        <v>293</v>
      </c>
      <c r="I14" s="132">
        <v>6.01</v>
      </c>
      <c r="J14" s="66">
        <f t="shared" si="0"/>
        <v>24.04</v>
      </c>
      <c r="K14" s="66"/>
      <c r="L14" s="85" t="s">
        <v>493</v>
      </c>
      <c r="M14" s="131">
        <v>0.05</v>
      </c>
      <c r="N14" s="66" t="s">
        <v>298</v>
      </c>
      <c r="O14" s="87">
        <f t="shared" si="1"/>
        <v>0.2</v>
      </c>
    </row>
    <row r="15" spans="1:15">
      <c r="A15" s="73" t="s">
        <v>184</v>
      </c>
      <c r="B15" s="69">
        <v>1</v>
      </c>
      <c r="C15" s="69" t="s">
        <v>492</v>
      </c>
      <c r="D15" s="69" t="s">
        <v>491</v>
      </c>
      <c r="E15" s="84" t="s">
        <v>490</v>
      </c>
      <c r="F15" s="69" t="s">
        <v>472</v>
      </c>
      <c r="G15" s="68" t="s">
        <v>489</v>
      </c>
      <c r="H15" s="68" t="s">
        <v>293</v>
      </c>
      <c r="I15" s="132">
        <v>64</v>
      </c>
      <c r="J15" s="66">
        <f t="shared" si="0"/>
        <v>64</v>
      </c>
      <c r="K15" s="66"/>
      <c r="L15" s="85" t="s">
        <v>488</v>
      </c>
      <c r="M15" s="131">
        <v>0.11899999999999999</v>
      </c>
      <c r="N15" s="66" t="s">
        <v>298</v>
      </c>
      <c r="O15" s="87">
        <f t="shared" si="1"/>
        <v>0.11899999999999999</v>
      </c>
    </row>
    <row r="16" spans="1:15">
      <c r="A16" s="73" t="s">
        <v>185</v>
      </c>
      <c r="B16" s="69">
        <v>1</v>
      </c>
      <c r="C16" s="69" t="s">
        <v>487</v>
      </c>
      <c r="D16" s="69" t="s">
        <v>486</v>
      </c>
      <c r="E16" s="84" t="s">
        <v>485</v>
      </c>
      <c r="F16" s="69" t="s">
        <v>484</v>
      </c>
      <c r="G16" s="68" t="s">
        <v>483</v>
      </c>
      <c r="H16" s="68" t="s">
        <v>293</v>
      </c>
      <c r="I16" s="132">
        <v>93</v>
      </c>
      <c r="J16" s="66">
        <f t="shared" si="0"/>
        <v>93</v>
      </c>
      <c r="K16" s="66"/>
      <c r="L16" s="85" t="s">
        <v>482</v>
      </c>
      <c r="M16" s="131">
        <v>0.54300000000000004</v>
      </c>
      <c r="N16" s="66" t="s">
        <v>298</v>
      </c>
      <c r="O16" s="87">
        <f t="shared" si="1"/>
        <v>0.54300000000000004</v>
      </c>
    </row>
    <row r="17" spans="1:15">
      <c r="A17" s="73" t="s">
        <v>182</v>
      </c>
      <c r="B17" s="69">
        <v>2</v>
      </c>
      <c r="C17" s="69" t="s">
        <v>481</v>
      </c>
      <c r="D17" s="69" t="s">
        <v>480</v>
      </c>
      <c r="E17" s="84" t="s">
        <v>479</v>
      </c>
      <c r="F17" s="69" t="s">
        <v>478</v>
      </c>
      <c r="G17" s="68" t="s">
        <v>477</v>
      </c>
      <c r="H17" s="68" t="s">
        <v>293</v>
      </c>
      <c r="I17" s="132">
        <v>1.6</v>
      </c>
      <c r="J17" s="66">
        <f t="shared" si="0"/>
        <v>3.2</v>
      </c>
      <c r="K17" s="66"/>
      <c r="L17" s="85" t="s">
        <v>476</v>
      </c>
      <c r="M17" s="131">
        <v>0.14000000000000001</v>
      </c>
      <c r="N17" s="66" t="s">
        <v>298</v>
      </c>
      <c r="O17" s="87">
        <f t="shared" si="1"/>
        <v>0.28000000000000003</v>
      </c>
    </row>
    <row r="18" spans="1:15">
      <c r="A18" s="73" t="s">
        <v>186</v>
      </c>
      <c r="B18" s="69">
        <v>1</v>
      </c>
      <c r="C18" s="69" t="s">
        <v>475</v>
      </c>
      <c r="D18" s="69" t="s">
        <v>474</v>
      </c>
      <c r="E18" s="84" t="s">
        <v>473</v>
      </c>
      <c r="F18" s="69" t="s">
        <v>472</v>
      </c>
      <c r="G18" s="68" t="s">
        <v>471</v>
      </c>
      <c r="H18" s="68" t="s">
        <v>293</v>
      </c>
      <c r="I18" s="132">
        <v>8</v>
      </c>
      <c r="J18" s="66">
        <f t="shared" si="0"/>
        <v>8</v>
      </c>
      <c r="K18" s="66"/>
      <c r="L18" s="85" t="s">
        <v>470</v>
      </c>
      <c r="M18" s="131">
        <v>0.09</v>
      </c>
      <c r="N18" s="66" t="s">
        <v>298</v>
      </c>
      <c r="O18" s="87">
        <f t="shared" si="1"/>
        <v>0.09</v>
      </c>
    </row>
    <row r="19" spans="1:15">
      <c r="A19" s="73" t="s">
        <v>187</v>
      </c>
      <c r="B19" s="69">
        <v>1</v>
      </c>
      <c r="C19" s="69" t="s">
        <v>469</v>
      </c>
      <c r="D19" s="69" t="s">
        <v>468</v>
      </c>
      <c r="E19" s="84" t="s">
        <v>467</v>
      </c>
      <c r="F19" s="69" t="s">
        <v>421</v>
      </c>
      <c r="G19" s="68" t="s">
        <v>466</v>
      </c>
      <c r="H19" s="68" t="s">
        <v>293</v>
      </c>
      <c r="I19" s="132">
        <v>4.1984500000000002</v>
      </c>
      <c r="J19" s="66">
        <f t="shared" si="0"/>
        <v>4.1984500000000002</v>
      </c>
      <c r="K19" s="66"/>
      <c r="L19" s="85" t="s">
        <v>465</v>
      </c>
      <c r="M19" s="131">
        <v>0.16300000000000001</v>
      </c>
      <c r="N19" s="66" t="s">
        <v>298</v>
      </c>
      <c r="O19" s="87">
        <f t="shared" si="1"/>
        <v>0.16300000000000001</v>
      </c>
    </row>
    <row r="20" spans="1:15">
      <c r="A20" s="73" t="s">
        <v>188</v>
      </c>
      <c r="B20" s="69">
        <v>1</v>
      </c>
      <c r="C20" s="69" t="s">
        <v>464</v>
      </c>
      <c r="D20" s="69" t="s">
        <v>463</v>
      </c>
      <c r="E20" s="84" t="s">
        <v>462</v>
      </c>
      <c r="F20" s="69" t="s">
        <v>461</v>
      </c>
      <c r="G20" s="68" t="s">
        <v>460</v>
      </c>
      <c r="H20" s="68" t="s">
        <v>286</v>
      </c>
      <c r="I20" s="132">
        <v>8.93</v>
      </c>
      <c r="J20" s="66">
        <f t="shared" si="0"/>
        <v>8.93</v>
      </c>
      <c r="K20" s="66"/>
      <c r="L20" s="85" t="s">
        <v>459</v>
      </c>
      <c r="M20" s="131">
        <v>7.1999999999999995E-2</v>
      </c>
      <c r="N20" s="66" t="s">
        <v>298</v>
      </c>
      <c r="O20" s="87">
        <f t="shared" si="1"/>
        <v>7.1999999999999995E-2</v>
      </c>
    </row>
    <row r="21" spans="1:15">
      <c r="A21" s="73" t="s">
        <v>189</v>
      </c>
      <c r="B21" s="69">
        <v>1</v>
      </c>
      <c r="C21" s="69" t="s">
        <v>458</v>
      </c>
      <c r="D21" s="69" t="s">
        <v>457</v>
      </c>
      <c r="E21" s="84" t="s">
        <v>456</v>
      </c>
      <c r="F21" s="69" t="s">
        <v>421</v>
      </c>
      <c r="G21" s="68" t="s">
        <v>455</v>
      </c>
      <c r="H21" s="68" t="s">
        <v>286</v>
      </c>
      <c r="I21" s="132">
        <v>3.78328</v>
      </c>
      <c r="J21" s="66">
        <f t="shared" si="0"/>
        <v>3.78328</v>
      </c>
      <c r="K21" s="66"/>
      <c r="L21" s="85" t="s">
        <v>454</v>
      </c>
      <c r="M21" s="131">
        <v>0.126</v>
      </c>
      <c r="N21" s="66" t="s">
        <v>298</v>
      </c>
      <c r="O21" s="87">
        <f t="shared" si="1"/>
        <v>0.126</v>
      </c>
    </row>
    <row r="22" spans="1:15">
      <c r="A22" s="73" t="s">
        <v>151</v>
      </c>
      <c r="B22" s="69">
        <v>1</v>
      </c>
      <c r="C22" s="69" t="s">
        <v>453</v>
      </c>
      <c r="D22" s="69" t="s">
        <v>452</v>
      </c>
      <c r="E22" s="84" t="s">
        <v>451</v>
      </c>
      <c r="F22" s="69" t="s">
        <v>450</v>
      </c>
      <c r="G22" s="68" t="s">
        <v>449</v>
      </c>
      <c r="H22" s="68" t="s">
        <v>286</v>
      </c>
      <c r="I22" s="132">
        <v>56699</v>
      </c>
      <c r="J22" s="66">
        <f t="shared" si="0"/>
        <v>56699</v>
      </c>
      <c r="K22" s="66"/>
      <c r="L22" s="85" t="s">
        <v>448</v>
      </c>
      <c r="M22" s="131">
        <v>3.16</v>
      </c>
      <c r="N22" s="66" t="s">
        <v>447</v>
      </c>
      <c r="O22" s="87">
        <f t="shared" si="1"/>
        <v>3.16</v>
      </c>
    </row>
    <row r="23" spans="1:15">
      <c r="A23" s="73" t="s">
        <v>217</v>
      </c>
      <c r="B23" s="69">
        <v>1</v>
      </c>
      <c r="C23" s="69" t="s">
        <v>446</v>
      </c>
      <c r="D23" s="69" t="s">
        <v>445</v>
      </c>
      <c r="E23" s="84" t="s">
        <v>444</v>
      </c>
      <c r="F23" s="69" t="s">
        <v>443</v>
      </c>
      <c r="G23" s="68" t="s">
        <v>442</v>
      </c>
      <c r="H23" s="68" t="s">
        <v>441</v>
      </c>
      <c r="I23" s="132">
        <v>5.5</v>
      </c>
      <c r="J23" s="66">
        <f t="shared" si="0"/>
        <v>5.5</v>
      </c>
      <c r="K23" s="66"/>
      <c r="L23" s="85" t="s">
        <v>440</v>
      </c>
      <c r="M23" s="131">
        <v>1.0900000000000001</v>
      </c>
      <c r="N23" s="66" t="s">
        <v>439</v>
      </c>
      <c r="O23" s="87">
        <f t="shared" si="1"/>
        <v>1.0900000000000001</v>
      </c>
    </row>
    <row r="24" spans="1:15">
      <c r="A24" s="73" t="s">
        <v>438</v>
      </c>
      <c r="B24" s="69">
        <v>2</v>
      </c>
      <c r="C24" s="69" t="s">
        <v>437</v>
      </c>
      <c r="D24" s="69" t="s">
        <v>436</v>
      </c>
      <c r="E24" s="84" t="s">
        <v>435</v>
      </c>
      <c r="F24" s="69" t="s">
        <v>288</v>
      </c>
      <c r="G24" s="68" t="s">
        <v>434</v>
      </c>
      <c r="H24" s="68" t="s">
        <v>293</v>
      </c>
      <c r="I24" s="132">
        <v>13000</v>
      </c>
      <c r="J24" s="66">
        <f t="shared" si="0"/>
        <v>26000</v>
      </c>
      <c r="K24" s="66"/>
      <c r="L24" s="85" t="s">
        <v>433</v>
      </c>
      <c r="M24" s="131">
        <v>0</v>
      </c>
      <c r="N24" s="66"/>
      <c r="O24" s="87">
        <f t="shared" si="1"/>
        <v>0</v>
      </c>
    </row>
    <row r="25" spans="1:15">
      <c r="A25" s="73" t="s">
        <v>220</v>
      </c>
      <c r="B25" s="69">
        <v>2</v>
      </c>
      <c r="C25" s="69" t="s">
        <v>432</v>
      </c>
      <c r="D25" s="69" t="s">
        <v>431</v>
      </c>
      <c r="E25" s="84" t="s">
        <v>430</v>
      </c>
      <c r="F25" s="69" t="s">
        <v>429</v>
      </c>
      <c r="G25" s="68">
        <v>8197</v>
      </c>
      <c r="H25" s="68" t="s">
        <v>293</v>
      </c>
      <c r="I25" s="132">
        <v>1810</v>
      </c>
      <c r="J25" s="66">
        <f t="shared" si="0"/>
        <v>3620</v>
      </c>
      <c r="K25" s="66"/>
      <c r="L25" s="133" t="s">
        <v>546</v>
      </c>
      <c r="M25" s="131">
        <v>0</v>
      </c>
      <c r="N25" s="66"/>
      <c r="O25" s="87">
        <f t="shared" si="1"/>
        <v>0</v>
      </c>
    </row>
    <row r="26" spans="1:15">
      <c r="A26" s="73" t="s">
        <v>215</v>
      </c>
      <c r="B26" s="69">
        <v>1</v>
      </c>
      <c r="C26" s="69" t="s">
        <v>428</v>
      </c>
      <c r="D26" s="69" t="s">
        <v>427</v>
      </c>
      <c r="E26" s="84" t="s">
        <v>426</v>
      </c>
      <c r="F26" s="69" t="s">
        <v>425</v>
      </c>
      <c r="G26" s="68">
        <v>505462</v>
      </c>
      <c r="H26" s="68" t="s">
        <v>425</v>
      </c>
      <c r="I26" s="132"/>
      <c r="J26" s="66">
        <f t="shared" si="0"/>
        <v>0</v>
      </c>
      <c r="K26" s="66"/>
      <c r="L26" s="66"/>
      <c r="M26" s="131">
        <v>0</v>
      </c>
      <c r="N26" s="66"/>
      <c r="O26" s="87">
        <f t="shared" si="1"/>
        <v>0</v>
      </c>
    </row>
    <row r="27" spans="1:15">
      <c r="A27" s="73" t="s">
        <v>191</v>
      </c>
      <c r="B27" s="69">
        <v>3</v>
      </c>
      <c r="C27" s="69" t="s">
        <v>424</v>
      </c>
      <c r="D27" s="69" t="s">
        <v>423</v>
      </c>
      <c r="E27" s="84" t="s">
        <v>422</v>
      </c>
      <c r="F27" s="69" t="s">
        <v>421</v>
      </c>
      <c r="G27" s="68" t="s">
        <v>420</v>
      </c>
      <c r="H27" s="68" t="s">
        <v>293</v>
      </c>
      <c r="I27" s="132">
        <v>7.4969700000000001</v>
      </c>
      <c r="J27" s="66">
        <f t="shared" si="0"/>
        <v>22.49091</v>
      </c>
      <c r="K27" s="66"/>
      <c r="L27" s="85" t="s">
        <v>419</v>
      </c>
      <c r="M27" s="131">
        <v>0.14899999999999999</v>
      </c>
      <c r="N27" s="66" t="s">
        <v>298</v>
      </c>
      <c r="O27" s="87">
        <f t="shared" si="1"/>
        <v>0.44699999999999995</v>
      </c>
    </row>
    <row r="28" spans="1:15">
      <c r="A28" s="73" t="s">
        <v>205</v>
      </c>
      <c r="B28" s="69">
        <v>1</v>
      </c>
      <c r="C28" s="69" t="s">
        <v>418</v>
      </c>
      <c r="D28" s="69" t="s">
        <v>417</v>
      </c>
      <c r="E28" s="84" t="s">
        <v>416</v>
      </c>
      <c r="F28" s="69" t="s">
        <v>415</v>
      </c>
      <c r="G28" s="68" t="s">
        <v>414</v>
      </c>
      <c r="H28" s="68" t="s">
        <v>293</v>
      </c>
      <c r="I28" s="132">
        <v>11.05</v>
      </c>
      <c r="J28" s="66">
        <f t="shared" si="0"/>
        <v>11.05</v>
      </c>
      <c r="K28" s="66"/>
      <c r="L28" s="85" t="s">
        <v>413</v>
      </c>
      <c r="M28" s="131">
        <v>0.73499999999999999</v>
      </c>
      <c r="N28" s="66" t="s">
        <v>298</v>
      </c>
      <c r="O28" s="87">
        <f t="shared" si="1"/>
        <v>0.73499999999999999</v>
      </c>
    </row>
    <row r="29" spans="1:15">
      <c r="A29" s="73" t="s">
        <v>236</v>
      </c>
      <c r="B29" s="69">
        <v>2</v>
      </c>
      <c r="C29" s="69" t="s">
        <v>412</v>
      </c>
      <c r="D29" s="69" t="s">
        <v>411</v>
      </c>
      <c r="E29" s="84" t="s">
        <v>410</v>
      </c>
      <c r="F29" s="69" t="s">
        <v>288</v>
      </c>
      <c r="G29" s="68" t="s">
        <v>409</v>
      </c>
      <c r="H29" s="68" t="s">
        <v>293</v>
      </c>
      <c r="I29" s="132">
        <v>6200</v>
      </c>
      <c r="J29" s="66">
        <f t="shared" si="0"/>
        <v>12400</v>
      </c>
      <c r="K29" s="66"/>
      <c r="L29" s="85" t="s">
        <v>408</v>
      </c>
      <c r="M29" s="131">
        <v>39.26</v>
      </c>
      <c r="N29" s="66" t="s">
        <v>407</v>
      </c>
      <c r="O29" s="87">
        <f t="shared" si="1"/>
        <v>78.52</v>
      </c>
    </row>
    <row r="30" spans="1:15">
      <c r="A30" s="73" t="s">
        <v>167</v>
      </c>
      <c r="B30" s="69">
        <v>1</v>
      </c>
      <c r="C30" s="69" t="s">
        <v>406</v>
      </c>
      <c r="D30" s="69" t="s">
        <v>166</v>
      </c>
      <c r="E30" s="84" t="s">
        <v>405</v>
      </c>
      <c r="F30" s="69" t="s">
        <v>349</v>
      </c>
      <c r="G30" s="68" t="s">
        <v>404</v>
      </c>
      <c r="H30" s="68" t="s">
        <v>293</v>
      </c>
      <c r="I30" s="132">
        <v>9.8657599999999999</v>
      </c>
      <c r="J30" s="66">
        <f t="shared" si="0"/>
        <v>9.8657599999999999</v>
      </c>
      <c r="K30" s="66"/>
      <c r="L30" s="85" t="s">
        <v>403</v>
      </c>
      <c r="M30" s="131">
        <v>9.9000000000000005E-2</v>
      </c>
      <c r="N30" s="66" t="s">
        <v>298</v>
      </c>
      <c r="O30" s="87">
        <f t="shared" si="1"/>
        <v>9.9000000000000005E-2</v>
      </c>
    </row>
    <row r="31" spans="1:15">
      <c r="A31" s="73" t="s">
        <v>168</v>
      </c>
      <c r="B31" s="69">
        <v>6</v>
      </c>
      <c r="C31" s="69" t="s">
        <v>402</v>
      </c>
      <c r="D31" s="69" t="s">
        <v>166</v>
      </c>
      <c r="E31" s="84" t="s">
        <v>401</v>
      </c>
      <c r="F31" s="69" t="s">
        <v>400</v>
      </c>
      <c r="G31" s="68" t="s">
        <v>399</v>
      </c>
      <c r="H31" s="68" t="s">
        <v>293</v>
      </c>
      <c r="I31" s="132">
        <v>2.47343</v>
      </c>
      <c r="J31" s="66">
        <f t="shared" si="0"/>
        <v>14.840579999999999</v>
      </c>
      <c r="K31" s="66"/>
      <c r="L31" s="85" t="s">
        <v>376</v>
      </c>
      <c r="M31" s="131">
        <v>8.0000000000000002E-3</v>
      </c>
      <c r="N31" s="66" t="s">
        <v>298</v>
      </c>
      <c r="O31" s="87">
        <f t="shared" si="1"/>
        <v>4.8000000000000001E-2</v>
      </c>
    </row>
    <row r="32" spans="1:15">
      <c r="A32" s="73" t="s">
        <v>169</v>
      </c>
      <c r="B32" s="69">
        <v>1</v>
      </c>
      <c r="C32" s="69" t="s">
        <v>398</v>
      </c>
      <c r="D32" s="69" t="s">
        <v>166</v>
      </c>
      <c r="E32" s="84" t="s">
        <v>397</v>
      </c>
      <c r="F32" s="69" t="s">
        <v>349</v>
      </c>
      <c r="G32" s="68" t="s">
        <v>396</v>
      </c>
      <c r="H32" s="68" t="s">
        <v>293</v>
      </c>
      <c r="I32" s="132">
        <v>2.1322999999999999</v>
      </c>
      <c r="J32" s="66">
        <f t="shared" si="0"/>
        <v>2.1322999999999999</v>
      </c>
      <c r="K32" s="66"/>
      <c r="L32" s="85" t="s">
        <v>395</v>
      </c>
      <c r="M32" s="131">
        <v>1.4E-2</v>
      </c>
      <c r="N32" s="66" t="s">
        <v>298</v>
      </c>
      <c r="O32" s="87">
        <f t="shared" si="1"/>
        <v>1.4E-2</v>
      </c>
    </row>
    <row r="33" spans="1:15">
      <c r="A33" s="73" t="s">
        <v>170</v>
      </c>
      <c r="B33" s="69">
        <v>2</v>
      </c>
      <c r="C33" s="69" t="s">
        <v>394</v>
      </c>
      <c r="D33" s="69" t="s">
        <v>166</v>
      </c>
      <c r="E33" s="84" t="s">
        <v>393</v>
      </c>
      <c r="F33" s="69" t="s">
        <v>378</v>
      </c>
      <c r="G33" s="68" t="s">
        <v>392</v>
      </c>
      <c r="H33" s="68" t="s">
        <v>286</v>
      </c>
      <c r="I33" s="67">
        <v>4.54</v>
      </c>
      <c r="J33" s="66">
        <f t="shared" si="0"/>
        <v>9.08</v>
      </c>
      <c r="K33" s="66"/>
      <c r="L33" s="85" t="s">
        <v>391</v>
      </c>
      <c r="M33" s="131">
        <v>1.0999999999999999E-2</v>
      </c>
      <c r="N33" s="66" t="s">
        <v>298</v>
      </c>
      <c r="O33" s="87">
        <f t="shared" si="1"/>
        <v>2.1999999999999999E-2</v>
      </c>
    </row>
    <row r="34" spans="1:15" ht="21.6">
      <c r="A34" s="73" t="s">
        <v>171</v>
      </c>
      <c r="B34" s="69">
        <v>7</v>
      </c>
      <c r="C34" s="69" t="s">
        <v>390</v>
      </c>
      <c r="D34" s="69" t="s">
        <v>166</v>
      </c>
      <c r="E34" s="86" t="s">
        <v>389</v>
      </c>
      <c r="F34" s="69" t="s">
        <v>349</v>
      </c>
      <c r="G34" s="68" t="s">
        <v>388</v>
      </c>
      <c r="H34" s="68" t="s">
        <v>293</v>
      </c>
      <c r="I34" s="67">
        <v>2.1611199999999999</v>
      </c>
      <c r="J34" s="66">
        <f t="shared" si="0"/>
        <v>15.127839999999999</v>
      </c>
      <c r="K34" s="66"/>
      <c r="L34" s="85" t="s">
        <v>384</v>
      </c>
      <c r="M34" s="131">
        <v>1.9E-2</v>
      </c>
      <c r="N34" s="66" t="s">
        <v>298</v>
      </c>
      <c r="O34" s="87">
        <f t="shared" si="1"/>
        <v>0.13300000000000001</v>
      </c>
    </row>
    <row r="35" spans="1:15">
      <c r="A35" s="73" t="s">
        <v>172</v>
      </c>
      <c r="B35" s="69">
        <v>2</v>
      </c>
      <c r="C35" s="69" t="s">
        <v>387</v>
      </c>
      <c r="D35" s="69" t="s">
        <v>166</v>
      </c>
      <c r="E35" s="84" t="s">
        <v>386</v>
      </c>
      <c r="F35" s="69" t="s">
        <v>349</v>
      </c>
      <c r="G35" s="68" t="s">
        <v>385</v>
      </c>
      <c r="H35" s="68" t="s">
        <v>293</v>
      </c>
      <c r="I35" s="67">
        <v>2.1611199999999999</v>
      </c>
      <c r="J35" s="66">
        <f t="shared" si="0"/>
        <v>4.3222399999999999</v>
      </c>
      <c r="K35" s="66"/>
      <c r="L35" s="85" t="s">
        <v>384</v>
      </c>
      <c r="M35" s="131">
        <v>1.9E-2</v>
      </c>
      <c r="N35" s="66" t="s">
        <v>298</v>
      </c>
      <c r="O35" s="87">
        <f t="shared" si="1"/>
        <v>3.7999999999999999E-2</v>
      </c>
    </row>
    <row r="36" spans="1:15">
      <c r="A36" s="73" t="s">
        <v>173</v>
      </c>
      <c r="B36" s="69">
        <v>7</v>
      </c>
      <c r="C36" s="69" t="s">
        <v>383</v>
      </c>
      <c r="D36" s="69" t="s">
        <v>166</v>
      </c>
      <c r="E36" s="84" t="s">
        <v>382</v>
      </c>
      <c r="F36" s="69" t="s">
        <v>378</v>
      </c>
      <c r="G36" s="68" t="s">
        <v>381</v>
      </c>
      <c r="H36" s="68" t="s">
        <v>293</v>
      </c>
      <c r="I36" s="67">
        <v>2.47343</v>
      </c>
      <c r="J36" s="66">
        <f t="shared" si="0"/>
        <v>17.31401</v>
      </c>
      <c r="K36" s="66"/>
      <c r="L36" s="85" t="s">
        <v>376</v>
      </c>
      <c r="M36" s="131">
        <v>8.0000000000000002E-3</v>
      </c>
      <c r="N36" s="66" t="s">
        <v>298</v>
      </c>
      <c r="O36" s="87">
        <f t="shared" si="1"/>
        <v>5.6000000000000001E-2</v>
      </c>
    </row>
    <row r="37" spans="1:15" ht="31.8">
      <c r="A37" s="73" t="s">
        <v>174</v>
      </c>
      <c r="B37" s="69">
        <v>7</v>
      </c>
      <c r="C37" s="70" t="s">
        <v>380</v>
      </c>
      <c r="D37" s="69" t="s">
        <v>166</v>
      </c>
      <c r="E37" s="84" t="s">
        <v>379</v>
      </c>
      <c r="F37" s="69" t="s">
        <v>378</v>
      </c>
      <c r="G37" s="68" t="s">
        <v>377</v>
      </c>
      <c r="H37" s="68" t="s">
        <v>293</v>
      </c>
      <c r="I37" s="67">
        <v>2.47343</v>
      </c>
      <c r="J37" s="66">
        <f t="shared" si="0"/>
        <v>17.31401</v>
      </c>
      <c r="K37" s="66"/>
      <c r="L37" s="85" t="s">
        <v>376</v>
      </c>
      <c r="M37" s="131">
        <v>0.01</v>
      </c>
      <c r="N37" s="66" t="s">
        <v>298</v>
      </c>
      <c r="O37" s="87">
        <f t="shared" si="1"/>
        <v>7.0000000000000007E-2</v>
      </c>
    </row>
    <row r="38" spans="1:15">
      <c r="A38" s="73" t="s">
        <v>175</v>
      </c>
      <c r="B38" s="69">
        <v>3</v>
      </c>
      <c r="C38" s="69" t="s">
        <v>375</v>
      </c>
      <c r="D38" s="69" t="s">
        <v>166</v>
      </c>
      <c r="E38" s="84" t="s">
        <v>374</v>
      </c>
      <c r="F38" s="69" t="s">
        <v>349</v>
      </c>
      <c r="G38" s="68" t="s">
        <v>373</v>
      </c>
      <c r="H38" s="68" t="s">
        <v>293</v>
      </c>
      <c r="I38" s="67">
        <v>4.8129499999999998</v>
      </c>
      <c r="J38" s="66">
        <f t="shared" ref="J38:J54" si="2">B38*I38</f>
        <v>14.438849999999999</v>
      </c>
      <c r="K38" s="66"/>
      <c r="L38" s="85" t="s">
        <v>372</v>
      </c>
      <c r="M38" s="131">
        <v>2.4E-2</v>
      </c>
      <c r="N38" s="66" t="s">
        <v>298</v>
      </c>
      <c r="O38" s="87">
        <f t="shared" ref="O38:O54" si="3">B38*M38</f>
        <v>7.2000000000000008E-2</v>
      </c>
    </row>
    <row r="39" spans="1:15">
      <c r="A39" s="73" t="s">
        <v>147</v>
      </c>
      <c r="B39" s="69">
        <v>1</v>
      </c>
      <c r="C39" s="69" t="s">
        <v>371</v>
      </c>
      <c r="D39" s="69" t="s">
        <v>145</v>
      </c>
      <c r="E39" s="84" t="s">
        <v>370</v>
      </c>
      <c r="F39" s="69" t="s">
        <v>369</v>
      </c>
      <c r="G39" s="68" t="s">
        <v>368</v>
      </c>
      <c r="H39" s="68" t="s">
        <v>293</v>
      </c>
      <c r="I39" s="67">
        <v>420</v>
      </c>
      <c r="J39" s="66">
        <f t="shared" si="2"/>
        <v>420</v>
      </c>
      <c r="K39" s="68" t="s">
        <v>363</v>
      </c>
      <c r="L39" s="133" t="s">
        <v>367</v>
      </c>
      <c r="M39" s="131">
        <v>1.89</v>
      </c>
      <c r="N39" s="66" t="s">
        <v>298</v>
      </c>
      <c r="O39" s="87">
        <f t="shared" si="3"/>
        <v>1.89</v>
      </c>
    </row>
    <row r="40" spans="1:15">
      <c r="A40" s="73" t="s">
        <v>176</v>
      </c>
      <c r="B40" s="69">
        <v>2</v>
      </c>
      <c r="C40" s="69" t="s">
        <v>366</v>
      </c>
      <c r="D40" s="69" t="s">
        <v>166</v>
      </c>
      <c r="E40" s="84" t="s">
        <v>365</v>
      </c>
      <c r="F40" s="69" t="s">
        <v>354</v>
      </c>
      <c r="G40" s="68" t="s">
        <v>364</v>
      </c>
      <c r="H40" s="68" t="s">
        <v>286</v>
      </c>
      <c r="I40" s="67">
        <v>39.448</v>
      </c>
      <c r="J40" s="66">
        <f t="shared" si="2"/>
        <v>78.896000000000001</v>
      </c>
      <c r="K40" s="68" t="s">
        <v>363</v>
      </c>
      <c r="L40" s="85" t="s">
        <v>362</v>
      </c>
      <c r="M40" s="131">
        <v>0.106</v>
      </c>
      <c r="N40" s="66" t="s">
        <v>361</v>
      </c>
      <c r="O40" s="87">
        <f t="shared" si="3"/>
        <v>0.21199999999999999</v>
      </c>
    </row>
    <row r="41" spans="1:15" ht="21.6">
      <c r="A41" s="73" t="s">
        <v>177</v>
      </c>
      <c r="B41" s="69">
        <v>3</v>
      </c>
      <c r="C41" s="69" t="s">
        <v>360</v>
      </c>
      <c r="D41" s="69" t="s">
        <v>166</v>
      </c>
      <c r="E41" s="86" t="s">
        <v>359</v>
      </c>
      <c r="F41" s="69" t="s">
        <v>344</v>
      </c>
      <c r="G41" s="68" t="s">
        <v>358</v>
      </c>
      <c r="H41" s="68" t="s">
        <v>293</v>
      </c>
      <c r="I41" s="72">
        <v>2</v>
      </c>
      <c r="J41" s="66">
        <f t="shared" si="2"/>
        <v>6</v>
      </c>
      <c r="K41" s="66"/>
      <c r="L41" s="85" t="s">
        <v>357</v>
      </c>
      <c r="M41" s="131">
        <v>2.3E-2</v>
      </c>
      <c r="N41" s="66" t="s">
        <v>298</v>
      </c>
      <c r="O41" s="87">
        <f t="shared" si="3"/>
        <v>6.9000000000000006E-2</v>
      </c>
    </row>
    <row r="42" spans="1:15">
      <c r="A42" s="73" t="s">
        <v>178</v>
      </c>
      <c r="B42" s="69">
        <v>2</v>
      </c>
      <c r="C42" s="69" t="s">
        <v>356</v>
      </c>
      <c r="D42" s="69" t="s">
        <v>166</v>
      </c>
      <c r="E42" s="84" t="s">
        <v>355</v>
      </c>
      <c r="F42" s="69" t="s">
        <v>354</v>
      </c>
      <c r="G42" s="68" t="s">
        <v>353</v>
      </c>
      <c r="H42" s="68" t="s">
        <v>293</v>
      </c>
      <c r="I42" s="67">
        <v>2.47343</v>
      </c>
      <c r="J42" s="66">
        <f t="shared" si="2"/>
        <v>4.94686</v>
      </c>
      <c r="K42" s="66"/>
      <c r="L42" s="85" t="s">
        <v>352</v>
      </c>
      <c r="M42" s="131">
        <v>1.7000000000000001E-2</v>
      </c>
      <c r="N42" s="66" t="s">
        <v>298</v>
      </c>
      <c r="O42" s="87">
        <f t="shared" si="3"/>
        <v>3.4000000000000002E-2</v>
      </c>
    </row>
    <row r="43" spans="1:15">
      <c r="A43" s="73" t="s">
        <v>179</v>
      </c>
      <c r="B43" s="69">
        <v>2</v>
      </c>
      <c r="C43" s="69" t="s">
        <v>351</v>
      </c>
      <c r="D43" s="69" t="s">
        <v>166</v>
      </c>
      <c r="E43" s="84" t="s">
        <v>350</v>
      </c>
      <c r="F43" s="69" t="s">
        <v>349</v>
      </c>
      <c r="G43" s="68" t="s">
        <v>348</v>
      </c>
      <c r="H43" s="68" t="s">
        <v>293</v>
      </c>
      <c r="I43" s="72">
        <v>2</v>
      </c>
      <c r="J43" s="66">
        <f t="shared" si="2"/>
        <v>4</v>
      </c>
      <c r="K43" s="66"/>
      <c r="L43" s="133" t="s">
        <v>347</v>
      </c>
      <c r="M43" s="131">
        <v>2.9000000000000001E-2</v>
      </c>
      <c r="N43" s="66" t="s">
        <v>298</v>
      </c>
      <c r="O43" s="87">
        <f t="shared" si="3"/>
        <v>5.8000000000000003E-2</v>
      </c>
    </row>
    <row r="44" spans="1:15">
      <c r="A44" s="73" t="s">
        <v>180</v>
      </c>
      <c r="B44" s="69">
        <v>1</v>
      </c>
      <c r="C44" s="69" t="s">
        <v>346</v>
      </c>
      <c r="D44" s="69" t="s">
        <v>166</v>
      </c>
      <c r="E44" s="84" t="s">
        <v>345</v>
      </c>
      <c r="F44" s="69" t="s">
        <v>344</v>
      </c>
      <c r="G44" s="68" t="s">
        <v>343</v>
      </c>
      <c r="H44" s="68" t="s">
        <v>293</v>
      </c>
      <c r="I44" s="67">
        <v>2.14</v>
      </c>
      <c r="J44" s="66">
        <f t="shared" si="2"/>
        <v>2.14</v>
      </c>
      <c r="K44" s="66"/>
      <c r="L44" s="85" t="s">
        <v>342</v>
      </c>
      <c r="M44" s="131">
        <v>1.7000000000000001E-2</v>
      </c>
      <c r="N44" s="66" t="s">
        <v>298</v>
      </c>
      <c r="O44" s="87">
        <f t="shared" si="3"/>
        <v>1.7000000000000001E-2</v>
      </c>
    </row>
    <row r="45" spans="1:15">
      <c r="A45" s="73" t="s">
        <v>206</v>
      </c>
      <c r="B45" s="69">
        <v>1</v>
      </c>
      <c r="C45" s="69" t="s">
        <v>341</v>
      </c>
      <c r="D45" s="69" t="s">
        <v>340</v>
      </c>
      <c r="E45" s="84" t="s">
        <v>339</v>
      </c>
      <c r="F45" s="69" t="s">
        <v>338</v>
      </c>
      <c r="G45" s="68" t="s">
        <v>337</v>
      </c>
      <c r="H45" s="68" t="s">
        <v>293</v>
      </c>
      <c r="I45" s="67">
        <v>4.7</v>
      </c>
      <c r="J45" s="66">
        <f t="shared" si="2"/>
        <v>4.7</v>
      </c>
      <c r="K45" s="66"/>
      <c r="L45" s="85" t="s">
        <v>336</v>
      </c>
      <c r="M45" s="131">
        <v>0.105</v>
      </c>
      <c r="N45" s="66" t="s">
        <v>298</v>
      </c>
      <c r="O45" s="87">
        <f t="shared" si="3"/>
        <v>0.105</v>
      </c>
    </row>
    <row r="46" spans="1:15">
      <c r="A46" s="73" t="s">
        <v>193</v>
      </c>
      <c r="B46" s="69">
        <v>1</v>
      </c>
      <c r="C46" s="69" t="s">
        <v>335</v>
      </c>
      <c r="D46" s="69" t="s">
        <v>334</v>
      </c>
      <c r="E46" s="84" t="s">
        <v>333</v>
      </c>
      <c r="F46" s="69" t="s">
        <v>332</v>
      </c>
      <c r="G46" s="68">
        <v>760390014</v>
      </c>
      <c r="H46" s="68" t="s">
        <v>293</v>
      </c>
      <c r="I46" s="67">
        <v>338</v>
      </c>
      <c r="J46" s="66">
        <f t="shared" si="2"/>
        <v>338</v>
      </c>
      <c r="K46" s="66"/>
      <c r="L46" s="85" t="s">
        <v>331</v>
      </c>
      <c r="M46" s="131">
        <v>1.62</v>
      </c>
      <c r="N46" s="66" t="s">
        <v>298</v>
      </c>
      <c r="O46" s="87">
        <f t="shared" si="3"/>
        <v>1.62</v>
      </c>
    </row>
    <row r="47" spans="1:15">
      <c r="A47" s="73" t="s">
        <v>204</v>
      </c>
      <c r="B47" s="69">
        <v>1</v>
      </c>
      <c r="C47" s="69" t="s">
        <v>330</v>
      </c>
      <c r="D47" s="69" t="s">
        <v>329</v>
      </c>
      <c r="E47" s="84" t="s">
        <v>328</v>
      </c>
      <c r="F47" s="69" t="s">
        <v>288</v>
      </c>
      <c r="G47" s="68" t="s">
        <v>327</v>
      </c>
      <c r="H47" s="68" t="s">
        <v>286</v>
      </c>
      <c r="I47" s="67">
        <v>16.5</v>
      </c>
      <c r="J47" s="66">
        <f t="shared" si="2"/>
        <v>16.5</v>
      </c>
      <c r="K47" s="66"/>
      <c r="L47" s="85" t="s">
        <v>326</v>
      </c>
      <c r="M47" s="131">
        <v>0.56999999999999995</v>
      </c>
      <c r="N47" s="66" t="s">
        <v>284</v>
      </c>
      <c r="O47" s="87">
        <f t="shared" si="3"/>
        <v>0.56999999999999995</v>
      </c>
    </row>
    <row r="48" spans="1:15">
      <c r="A48" s="73" t="s">
        <v>207</v>
      </c>
      <c r="B48" s="69">
        <v>1</v>
      </c>
      <c r="C48" s="69" t="s">
        <v>325</v>
      </c>
      <c r="D48" s="69" t="s">
        <v>324</v>
      </c>
      <c r="E48" s="84" t="s">
        <v>323</v>
      </c>
      <c r="F48" s="69" t="s">
        <v>288</v>
      </c>
      <c r="G48" s="68" t="s">
        <v>322</v>
      </c>
      <c r="H48" s="68" t="s">
        <v>293</v>
      </c>
      <c r="I48" s="67">
        <v>17</v>
      </c>
      <c r="J48" s="66">
        <f t="shared" si="2"/>
        <v>17</v>
      </c>
      <c r="K48" s="66"/>
      <c r="L48" s="85" t="s">
        <v>321</v>
      </c>
      <c r="M48" s="131">
        <v>0.60799999999999998</v>
      </c>
      <c r="N48" s="66" t="s">
        <v>298</v>
      </c>
      <c r="O48" s="87">
        <f t="shared" si="3"/>
        <v>0.60799999999999998</v>
      </c>
    </row>
    <row r="49" spans="1:15">
      <c r="A49" s="73" t="s">
        <v>208</v>
      </c>
      <c r="B49" s="69">
        <v>1</v>
      </c>
      <c r="C49" s="69" t="s">
        <v>320</v>
      </c>
      <c r="D49" s="69" t="s">
        <v>319</v>
      </c>
      <c r="E49" s="84" t="s">
        <v>318</v>
      </c>
      <c r="F49" s="69" t="s">
        <v>316</v>
      </c>
      <c r="G49" s="68" t="s">
        <v>317</v>
      </c>
      <c r="H49" s="68" t="s">
        <v>316</v>
      </c>
      <c r="I49" s="67">
        <v>626.94357000000002</v>
      </c>
      <c r="J49" s="66">
        <f t="shared" si="2"/>
        <v>626.94357000000002</v>
      </c>
      <c r="K49" s="66"/>
      <c r="L49" s="85" t="s">
        <v>315</v>
      </c>
      <c r="M49" s="131">
        <v>4</v>
      </c>
      <c r="N49" s="66" t="s">
        <v>298</v>
      </c>
      <c r="O49" s="87">
        <f t="shared" si="3"/>
        <v>4</v>
      </c>
    </row>
    <row r="50" spans="1:15">
      <c r="A50" s="73" t="s">
        <v>209</v>
      </c>
      <c r="B50" s="69">
        <v>1</v>
      </c>
      <c r="C50" s="69" t="s">
        <v>314</v>
      </c>
      <c r="D50" s="69" t="s">
        <v>313</v>
      </c>
      <c r="E50" s="84" t="s">
        <v>312</v>
      </c>
      <c r="F50" s="69" t="s">
        <v>288</v>
      </c>
      <c r="G50" s="68" t="s">
        <v>311</v>
      </c>
      <c r="H50" s="68" t="s">
        <v>293</v>
      </c>
      <c r="I50" s="67">
        <v>75</v>
      </c>
      <c r="J50" s="66">
        <f t="shared" si="2"/>
        <v>75</v>
      </c>
      <c r="K50" s="66"/>
      <c r="L50" s="85" t="s">
        <v>310</v>
      </c>
      <c r="M50" s="131">
        <v>0.3</v>
      </c>
      <c r="N50" s="66" t="s">
        <v>288</v>
      </c>
      <c r="O50" s="87">
        <f t="shared" si="3"/>
        <v>0.3</v>
      </c>
    </row>
    <row r="51" spans="1:15" ht="21.6">
      <c r="A51" s="73" t="s">
        <v>203</v>
      </c>
      <c r="B51" s="69">
        <v>1</v>
      </c>
      <c r="C51" s="69" t="s">
        <v>309</v>
      </c>
      <c r="D51" s="69" t="s">
        <v>308</v>
      </c>
      <c r="E51" s="86" t="s">
        <v>307</v>
      </c>
      <c r="F51" s="69" t="s">
        <v>288</v>
      </c>
      <c r="G51" s="68" t="s">
        <v>306</v>
      </c>
      <c r="H51" s="68" t="s">
        <v>293</v>
      </c>
      <c r="I51" s="67">
        <v>14.9</v>
      </c>
      <c r="J51" s="66">
        <f t="shared" si="2"/>
        <v>14.9</v>
      </c>
      <c r="K51" s="66"/>
      <c r="L51" s="85" t="s">
        <v>305</v>
      </c>
      <c r="M51" s="131">
        <v>0.63700000000000001</v>
      </c>
      <c r="N51" s="66" t="s">
        <v>298</v>
      </c>
      <c r="O51" s="87">
        <f t="shared" si="3"/>
        <v>0.63700000000000001</v>
      </c>
    </row>
    <row r="52" spans="1:15">
      <c r="A52" s="73" t="s">
        <v>210</v>
      </c>
      <c r="B52" s="69">
        <v>1</v>
      </c>
      <c r="C52" s="69" t="s">
        <v>304</v>
      </c>
      <c r="D52" s="69" t="s">
        <v>303</v>
      </c>
      <c r="E52" s="84" t="s">
        <v>302</v>
      </c>
      <c r="F52" s="69" t="s">
        <v>301</v>
      </c>
      <c r="G52" s="68" t="s">
        <v>300</v>
      </c>
      <c r="H52" s="68" t="s">
        <v>293</v>
      </c>
      <c r="I52" s="67">
        <v>106.98</v>
      </c>
      <c r="J52" s="66">
        <f t="shared" si="2"/>
        <v>106.98</v>
      </c>
      <c r="K52" s="66"/>
      <c r="L52" s="85" t="s">
        <v>299</v>
      </c>
      <c r="M52" s="131">
        <v>3.1</v>
      </c>
      <c r="N52" s="66" t="s">
        <v>298</v>
      </c>
      <c r="O52" s="87">
        <f t="shared" si="3"/>
        <v>3.1</v>
      </c>
    </row>
    <row r="53" spans="1:15">
      <c r="A53" s="73" t="s">
        <v>211</v>
      </c>
      <c r="B53" s="69">
        <v>1</v>
      </c>
      <c r="C53" s="69" t="s">
        <v>297</v>
      </c>
      <c r="D53" s="69" t="s">
        <v>296</v>
      </c>
      <c r="E53" s="84" t="s">
        <v>295</v>
      </c>
      <c r="F53" s="69" t="s">
        <v>288</v>
      </c>
      <c r="G53" s="68" t="s">
        <v>294</v>
      </c>
      <c r="H53" s="68" t="s">
        <v>293</v>
      </c>
      <c r="I53" s="67">
        <v>33</v>
      </c>
      <c r="J53" s="66">
        <f t="shared" si="2"/>
        <v>33</v>
      </c>
      <c r="K53" s="66"/>
      <c r="L53" s="85" t="s">
        <v>292</v>
      </c>
      <c r="M53" s="131">
        <v>1.41</v>
      </c>
      <c r="N53" s="66" t="s">
        <v>284</v>
      </c>
      <c r="O53" s="87">
        <f t="shared" si="3"/>
        <v>1.41</v>
      </c>
    </row>
    <row r="54" spans="1:15" ht="21.6">
      <c r="A54" s="73" t="s">
        <v>212</v>
      </c>
      <c r="B54" s="69">
        <v>1</v>
      </c>
      <c r="C54" s="69" t="s">
        <v>291</v>
      </c>
      <c r="D54" s="70" t="s">
        <v>290</v>
      </c>
      <c r="E54" s="84" t="s">
        <v>289</v>
      </c>
      <c r="F54" s="69" t="s">
        <v>288</v>
      </c>
      <c r="G54" s="68" t="s">
        <v>287</v>
      </c>
      <c r="H54" s="68" t="s">
        <v>286</v>
      </c>
      <c r="I54" s="67">
        <v>164.2</v>
      </c>
      <c r="J54" s="66">
        <f t="shared" si="2"/>
        <v>164.2</v>
      </c>
      <c r="K54" s="66"/>
      <c r="L54" s="85" t="s">
        <v>285</v>
      </c>
      <c r="M54" s="131">
        <v>1.1200000000000001</v>
      </c>
      <c r="N54" s="66" t="s">
        <v>284</v>
      </c>
      <c r="O54" s="87">
        <f t="shared" si="3"/>
        <v>1.1200000000000001</v>
      </c>
    </row>
    <row r="56" spans="1:15">
      <c r="O56" s="65">
        <f>SUM(O6:O54)</f>
        <v>111.90300000000001</v>
      </c>
    </row>
  </sheetData>
  <mergeCells count="1">
    <mergeCell ref="B1:L1"/>
  </mergeCells>
  <hyperlinks>
    <hyperlink ref="L47" r:id="rId1" xr:uid="{BFE71D9A-E2FF-564D-8F41-BE3ABD0FA5B4}"/>
    <hyperlink ref="L49" r:id="rId2" xr:uid="{D79344BF-B03C-0742-9CA2-2DF5E67CDB7D}"/>
    <hyperlink ref="L7" r:id="rId3" xr:uid="{28F1A7A8-5E23-E14A-826D-8B3017B99B1F}"/>
    <hyperlink ref="L8" r:id="rId4" xr:uid="{D3157163-B415-A14D-9454-CD83D544564F}"/>
    <hyperlink ref="L9" r:id="rId5" xr:uid="{8226FAD7-35E5-954A-92F7-396A8E1CC634}"/>
    <hyperlink ref="L10" r:id="rId6" xr:uid="{92F7F541-EDC5-FA40-A8A7-407424203A90}"/>
    <hyperlink ref="L12" r:id="rId7" xr:uid="{C4ACF6D7-ED65-BE4C-B39B-306CE46CE875}"/>
    <hyperlink ref="L14" r:id="rId8" xr:uid="{97A2011A-D25A-4C45-8A75-8425CA4F2C73}"/>
    <hyperlink ref="L15" r:id="rId9" xr:uid="{587808EA-F604-304A-AFA4-3893B1132AEF}"/>
    <hyperlink ref="L17" r:id="rId10" xr:uid="{C3E78C3D-8657-D84F-A771-DCF926AD9014}"/>
    <hyperlink ref="L18" r:id="rId11" xr:uid="{AE4003DE-C4C0-7946-B4A3-769B280CD04F}"/>
    <hyperlink ref="L6" r:id="rId12" xr:uid="{647ED6DE-C540-BE40-9844-49ED8A3874E9}"/>
    <hyperlink ref="L44" r:id="rId13" xr:uid="{4B8DE7A5-BDA2-3249-95A4-DEF9DE90CB19}"/>
    <hyperlink ref="L50" r:id="rId14" xr:uid="{D997B6C9-FF0C-F444-A899-EB2E117BDEF6}"/>
    <hyperlink ref="L11" r:id="rId15" xr:uid="{3F26E405-E0E7-EE49-A6E1-6781234B97BC}"/>
    <hyperlink ref="L13" r:id="rId16" xr:uid="{AD4F6124-CA82-304B-B347-AF7BF812D837}"/>
    <hyperlink ref="L19" r:id="rId17" xr:uid="{837534B4-47C8-E645-8204-0C8383E1150C}"/>
    <hyperlink ref="L20" r:id="rId18" xr:uid="{95F78407-2321-3648-82FD-C4F324C58F18}"/>
    <hyperlink ref="L21" r:id="rId19" xr:uid="{3A2936F7-F7C1-EB46-BBD9-51BD39B12901}"/>
    <hyperlink ref="L27" r:id="rId20" xr:uid="{32DB700E-DFAA-A44D-88C4-EEF3A683B03F}"/>
    <hyperlink ref="L28" r:id="rId21" xr:uid="{A312EDE1-8695-2E4D-AA36-340F8906A5CF}"/>
    <hyperlink ref="L29" r:id="rId22" xr:uid="{AD6807EA-202A-694C-BCBB-0C9889B5E150}"/>
    <hyperlink ref="L31" r:id="rId23" xr:uid="{B35FF63E-11C2-794E-9C4B-B0F6059CB9AD}"/>
    <hyperlink ref="L30" r:id="rId24" xr:uid="{6E3FCEC5-7843-9845-B448-12FB96746030}"/>
    <hyperlink ref="L32" r:id="rId25" xr:uid="{334DC5E9-371B-2043-8B5A-7698EB68013C}"/>
    <hyperlink ref="L33" r:id="rId26" xr:uid="{6CC1E2E4-DE4A-E541-87D5-5E6C308CCA7D}"/>
    <hyperlink ref="L45" r:id="rId27" xr:uid="{9778F749-6FA7-4A4D-A32F-01895F1435EC}"/>
    <hyperlink ref="L46" r:id="rId28" xr:uid="{376F80F8-8E27-0A44-BE87-F04E2AAE036E}"/>
    <hyperlink ref="L34" r:id="rId29" xr:uid="{DF4762C3-08CA-ED46-B475-558BF22AA7F1}"/>
    <hyperlink ref="L35" r:id="rId30" xr:uid="{7404B6BE-46A9-504B-A82F-1F433F5A3218}"/>
    <hyperlink ref="L36" r:id="rId31" xr:uid="{D67408D1-73A0-394D-B374-2E2B8408C496}"/>
    <hyperlink ref="L37" r:id="rId32" xr:uid="{706F15DC-A4C6-0047-A41B-CB58F39F308C}"/>
    <hyperlink ref="L38" r:id="rId33" xr:uid="{ECC8CDC8-4F17-1842-BB12-70B9E9ECE01E}"/>
    <hyperlink ref="L40" r:id="rId34" xr:uid="{F0B8514C-0AC9-5446-AA22-832A2A435FE1}"/>
    <hyperlink ref="L42" r:id="rId35" xr:uid="{F5AE1C79-3CD1-024C-ADB3-C8D1C88F782F}"/>
    <hyperlink ref="L48" r:id="rId36" xr:uid="{9EF01DF0-F9FE-5D4F-93FE-D17BC1F3510E}"/>
    <hyperlink ref="L51" r:id="rId37" xr:uid="{6EFE7329-1C60-CA44-BF1A-3FFFA1011319}"/>
    <hyperlink ref="L52" r:id="rId38" xr:uid="{1B29837A-9963-044E-99C2-7B5E43A2074A}"/>
    <hyperlink ref="L53" r:id="rId39" xr:uid="{A25D20E4-CA91-0F4E-AF0B-F34C433B4D65}"/>
    <hyperlink ref="L54" r:id="rId40" xr:uid="{B2ADDA6F-CD83-6C46-95D6-3AF8D65D4DCF}"/>
    <hyperlink ref="L41" r:id="rId41" xr:uid="{7C4A3A73-625D-B849-9143-D42CB261D785}"/>
    <hyperlink ref="L16" r:id="rId42" xr:uid="{FD167792-E169-0E4D-9EA5-CBB22EE6B0E8}"/>
    <hyperlink ref="L23" r:id="rId43" xr:uid="{9D55E33D-F7B6-A04C-A338-D9E1AE02EEA2}"/>
    <hyperlink ref="L22" r:id="rId44" xr:uid="{81552697-D59B-2B45-912B-018B9A66DAD1}"/>
    <hyperlink ref="L24" r:id="rId45" xr:uid="{15DF9E83-AFB3-7648-81DC-FA0AE440C92C}"/>
    <hyperlink ref="L25" r:id="rId46" xr:uid="{08D803C2-CB61-9C47-AD5A-A3E5FE3C6EF2}"/>
    <hyperlink ref="L39" r:id="rId47" xr:uid="{6081A161-1AC7-E444-902F-2FB2337B1CD1}"/>
    <hyperlink ref="L43" r:id="rId48" display="https://www.mouser.fr/ProductDetail/Panasonic/ERJ-3EKF4701V?qs=MVjVSMjNRMouVvwnqrpO2w%3D%3D&amp;utm_source=octopart&amp;utm_medium=aggregator&amp;utm_campaign=667-ERJ-3EKF4701V&amp;utm_content=Panasonic&amp;_gl=1*18jj3c0*_ga*dW5kZWZpbmVk*_ga_15W4STQT4T*dW5kZWZpbmVk*_ga_1KQLCYKRX3*dW5kZWZpbmVk" xr:uid="{05A0B346-1A40-C94E-8D1D-1F2F23ADFBC8}"/>
  </hyperlinks>
  <pageMargins left="0.25" right="0.25" top="0.75" bottom="0.75" header="0.3" footer="0.3"/>
  <pageSetup paperSize="9" scale="64" orientation="landscape" r:id="rId49"/>
  <drawing r:id="rId5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1CF-D74E-1F48-8889-E1AF28E2F670}">
  <sheetPr>
    <pageSetUpPr fitToPage="1"/>
  </sheetPr>
  <dimension ref="A1:I58"/>
  <sheetViews>
    <sheetView zoomScale="139" zoomScaleNormal="139" workbookViewId="0">
      <selection activeCell="D8" sqref="D8"/>
    </sheetView>
  </sheetViews>
  <sheetFormatPr baseColWidth="10" defaultColWidth="10.77734375" defaultRowHeight="14.4"/>
  <cols>
    <col min="1" max="1" width="10.77734375" style="63"/>
    <col min="2" max="2" width="5.77734375" style="63" bestFit="1" customWidth="1"/>
    <col min="3" max="3" width="22" style="63" customWidth="1"/>
    <col min="4" max="4" width="19.6640625" style="63" bestFit="1" customWidth="1"/>
    <col min="5" max="5" width="12" style="63" bestFit="1" customWidth="1"/>
    <col min="6" max="6" width="10.77734375" style="63"/>
    <col min="7" max="8" width="11" style="63" bestFit="1" customWidth="1"/>
    <col min="9" max="16384" width="10.77734375" style="63"/>
  </cols>
  <sheetData>
    <row r="1" spans="1:9" ht="28.8">
      <c r="B1" s="346" t="s">
        <v>751</v>
      </c>
      <c r="C1" s="346"/>
      <c r="D1" s="346"/>
    </row>
    <row r="3" spans="1:9" ht="18">
      <c r="C3" s="81" t="s">
        <v>213</v>
      </c>
      <c r="D3" s="80" t="s">
        <v>544</v>
      </c>
      <c r="E3" s="130">
        <v>365.69</v>
      </c>
    </row>
    <row r="5" spans="1:9" ht="15" thickBot="1">
      <c r="A5" s="82" t="s">
        <v>148</v>
      </c>
      <c r="B5" s="83" t="s">
        <v>542</v>
      </c>
      <c r="C5" s="83" t="s">
        <v>541</v>
      </c>
      <c r="D5" s="83" t="s">
        <v>540</v>
      </c>
      <c r="E5" s="83" t="s">
        <v>531</v>
      </c>
      <c r="F5" s="83" t="s">
        <v>30</v>
      </c>
      <c r="G5" s="83" t="s">
        <v>530</v>
      </c>
    </row>
    <row r="6" spans="1:9" s="109" customFormat="1">
      <c r="A6" s="129" t="s">
        <v>236</v>
      </c>
      <c r="B6" s="128">
        <v>1</v>
      </c>
      <c r="C6" s="128" t="s">
        <v>549</v>
      </c>
      <c r="D6" s="127" t="s">
        <v>411</v>
      </c>
      <c r="E6" s="126">
        <v>39.26</v>
      </c>
      <c r="F6" s="125" t="s">
        <v>407</v>
      </c>
      <c r="G6" s="124">
        <f t="shared" ref="G6:G18" si="0">B6*E6</f>
        <v>39.26</v>
      </c>
    </row>
    <row r="7" spans="1:9">
      <c r="A7" s="103" t="s">
        <v>236</v>
      </c>
      <c r="B7" s="69">
        <v>1</v>
      </c>
      <c r="C7" s="69" t="s">
        <v>548</v>
      </c>
      <c r="D7" s="123" t="s">
        <v>411</v>
      </c>
      <c r="E7" s="88">
        <v>39.26</v>
      </c>
      <c r="F7" s="66" t="s">
        <v>407</v>
      </c>
      <c r="G7" s="102">
        <f t="shared" si="0"/>
        <v>39.26</v>
      </c>
    </row>
    <row r="8" spans="1:9">
      <c r="A8" s="103" t="s">
        <v>147</v>
      </c>
      <c r="B8" s="69">
        <v>1</v>
      </c>
      <c r="C8" s="69" t="s">
        <v>371</v>
      </c>
      <c r="D8" s="123" t="s">
        <v>145</v>
      </c>
      <c r="E8" s="88">
        <v>1.89</v>
      </c>
      <c r="F8" s="66" t="s">
        <v>298</v>
      </c>
      <c r="G8" s="102">
        <f t="shared" si="0"/>
        <v>1.89</v>
      </c>
    </row>
    <row r="9" spans="1:9" s="94" customFormat="1" ht="15" thickBot="1">
      <c r="A9" s="122" t="s">
        <v>151</v>
      </c>
      <c r="B9" s="121">
        <v>1</v>
      </c>
      <c r="C9" s="121" t="s">
        <v>453</v>
      </c>
      <c r="D9" s="120" t="s">
        <v>452</v>
      </c>
      <c r="E9" s="119">
        <v>3.16</v>
      </c>
      <c r="F9" s="118" t="s">
        <v>447</v>
      </c>
      <c r="G9" s="117">
        <f t="shared" si="0"/>
        <v>3.16</v>
      </c>
      <c r="H9" s="96">
        <f>SUM(G6:G9)</f>
        <v>83.57</v>
      </c>
      <c r="I9" s="95" t="s">
        <v>547</v>
      </c>
    </row>
    <row r="10" spans="1:9" s="109" customFormat="1" ht="21.6">
      <c r="A10" s="115" t="s">
        <v>157</v>
      </c>
      <c r="B10" s="113">
        <v>12</v>
      </c>
      <c r="C10" s="116" t="s">
        <v>529</v>
      </c>
      <c r="D10" s="113" t="s">
        <v>155</v>
      </c>
      <c r="E10" s="112">
        <f>0.042</f>
        <v>4.2000000000000003E-2</v>
      </c>
      <c r="F10" s="111" t="s">
        <v>298</v>
      </c>
      <c r="G10" s="110">
        <f t="shared" si="0"/>
        <v>0.504</v>
      </c>
    </row>
    <row r="11" spans="1:9">
      <c r="A11" s="103" t="s">
        <v>158</v>
      </c>
      <c r="B11" s="69">
        <v>1</v>
      </c>
      <c r="C11" s="69" t="s">
        <v>525</v>
      </c>
      <c r="D11" s="69" t="s">
        <v>155</v>
      </c>
      <c r="E11" s="88">
        <v>2.8000000000000001E-2</v>
      </c>
      <c r="F11" s="66" t="s">
        <v>298</v>
      </c>
      <c r="G11" s="102">
        <f t="shared" si="0"/>
        <v>2.8000000000000001E-2</v>
      </c>
    </row>
    <row r="12" spans="1:9">
      <c r="A12" s="103" t="s">
        <v>159</v>
      </c>
      <c r="B12" s="69">
        <v>4</v>
      </c>
      <c r="C12" s="69" t="s">
        <v>522</v>
      </c>
      <c r="D12" s="69" t="s">
        <v>155</v>
      </c>
      <c r="E12" s="88">
        <v>0.627</v>
      </c>
      <c r="F12" s="66" t="s">
        <v>298</v>
      </c>
      <c r="G12" s="102">
        <f t="shared" si="0"/>
        <v>2.508</v>
      </c>
    </row>
    <row r="13" spans="1:9">
      <c r="A13" s="103" t="s">
        <v>160</v>
      </c>
      <c r="B13" s="69">
        <v>3</v>
      </c>
      <c r="C13" s="69" t="s">
        <v>517</v>
      </c>
      <c r="D13" s="69" t="s">
        <v>155</v>
      </c>
      <c r="E13" s="88">
        <v>0.21</v>
      </c>
      <c r="F13" s="66" t="s">
        <v>298</v>
      </c>
      <c r="G13" s="102">
        <f t="shared" si="0"/>
        <v>0.63</v>
      </c>
    </row>
    <row r="14" spans="1:9">
      <c r="A14" s="103" t="s">
        <v>161</v>
      </c>
      <c r="B14" s="69">
        <v>1</v>
      </c>
      <c r="C14" s="69" t="s">
        <v>514</v>
      </c>
      <c r="D14" s="69" t="s">
        <v>155</v>
      </c>
      <c r="E14" s="88">
        <v>0.06</v>
      </c>
      <c r="F14" s="66" t="s">
        <v>298</v>
      </c>
      <c r="G14" s="102">
        <f t="shared" si="0"/>
        <v>0.06</v>
      </c>
    </row>
    <row r="15" spans="1:9">
      <c r="A15" s="103" t="s">
        <v>162</v>
      </c>
      <c r="B15" s="69">
        <v>3</v>
      </c>
      <c r="C15" s="69" t="s">
        <v>511</v>
      </c>
      <c r="D15" s="69" t="s">
        <v>155</v>
      </c>
      <c r="E15" s="88">
        <v>2</v>
      </c>
      <c r="F15" s="66" t="s">
        <v>298</v>
      </c>
      <c r="G15" s="102">
        <f t="shared" si="0"/>
        <v>6</v>
      </c>
    </row>
    <row r="16" spans="1:9">
      <c r="A16" s="103" t="s">
        <v>163</v>
      </c>
      <c r="B16" s="69">
        <v>1</v>
      </c>
      <c r="C16" s="69" t="s">
        <v>506</v>
      </c>
      <c r="D16" s="69" t="s">
        <v>155</v>
      </c>
      <c r="E16" s="88">
        <v>0.128</v>
      </c>
      <c r="F16" s="66" t="s">
        <v>298</v>
      </c>
      <c r="G16" s="102">
        <f t="shared" si="0"/>
        <v>0.128</v>
      </c>
    </row>
    <row r="17" spans="1:9">
      <c r="A17" s="103" t="s">
        <v>164</v>
      </c>
      <c r="B17" s="69">
        <v>3</v>
      </c>
      <c r="C17" s="69" t="s">
        <v>501</v>
      </c>
      <c r="D17" s="69" t="s">
        <v>155</v>
      </c>
      <c r="E17" s="88">
        <v>6.6000000000000003E-2</v>
      </c>
      <c r="F17" s="66" t="s">
        <v>298</v>
      </c>
      <c r="G17" s="102">
        <f t="shared" si="0"/>
        <v>0.19800000000000001</v>
      </c>
    </row>
    <row r="18" spans="1:9" s="94" customFormat="1" ht="15" thickBot="1">
      <c r="A18" s="101" t="s">
        <v>165</v>
      </c>
      <c r="B18" s="100">
        <v>4</v>
      </c>
      <c r="C18" s="100" t="s">
        <v>497</v>
      </c>
      <c r="D18" s="100" t="s">
        <v>155</v>
      </c>
      <c r="E18" s="99">
        <v>0.05</v>
      </c>
      <c r="F18" s="98" t="s">
        <v>298</v>
      </c>
      <c r="G18" s="97">
        <f t="shared" si="0"/>
        <v>0.2</v>
      </c>
      <c r="H18" s="96">
        <f>SUM(G10:G18)</f>
        <v>10.256</v>
      </c>
      <c r="I18" s="95" t="s">
        <v>744</v>
      </c>
    </row>
    <row r="19" spans="1:9" s="109" customFormat="1">
      <c r="A19" s="115" t="s">
        <v>167</v>
      </c>
      <c r="B19" s="113">
        <v>1</v>
      </c>
      <c r="C19" s="113" t="s">
        <v>406</v>
      </c>
      <c r="D19" s="113" t="s">
        <v>166</v>
      </c>
      <c r="E19" s="112">
        <v>9.9000000000000005E-2</v>
      </c>
      <c r="F19" s="111" t="s">
        <v>298</v>
      </c>
      <c r="G19" s="110">
        <v>9.9000000000000005E-2</v>
      </c>
    </row>
    <row r="20" spans="1:9">
      <c r="A20" s="103" t="s">
        <v>168</v>
      </c>
      <c r="B20" s="69">
        <v>6</v>
      </c>
      <c r="C20" s="69" t="s">
        <v>402</v>
      </c>
      <c r="D20" s="69" t="s">
        <v>166</v>
      </c>
      <c r="E20" s="88">
        <v>8.0000000000000002E-3</v>
      </c>
      <c r="F20" s="66" t="s">
        <v>298</v>
      </c>
      <c r="G20" s="102">
        <v>4.8000000000000001E-2</v>
      </c>
    </row>
    <row r="21" spans="1:9">
      <c r="A21" s="103" t="s">
        <v>169</v>
      </c>
      <c r="B21" s="69">
        <v>1</v>
      </c>
      <c r="C21" s="69" t="s">
        <v>398</v>
      </c>
      <c r="D21" s="69" t="s">
        <v>166</v>
      </c>
      <c r="E21" s="88">
        <v>1.4E-2</v>
      </c>
      <c r="F21" s="66" t="s">
        <v>298</v>
      </c>
      <c r="G21" s="102">
        <v>1.4E-2</v>
      </c>
    </row>
    <row r="22" spans="1:9">
      <c r="A22" s="103" t="s">
        <v>170</v>
      </c>
      <c r="B22" s="69">
        <v>2</v>
      </c>
      <c r="C22" s="69" t="s">
        <v>394</v>
      </c>
      <c r="D22" s="69" t="s">
        <v>166</v>
      </c>
      <c r="E22" s="88">
        <v>1.0999999999999999E-2</v>
      </c>
      <c r="F22" s="66" t="s">
        <v>298</v>
      </c>
      <c r="G22" s="102">
        <v>2.1999999999999999E-2</v>
      </c>
    </row>
    <row r="23" spans="1:9">
      <c r="A23" s="103" t="s">
        <v>171</v>
      </c>
      <c r="B23" s="69">
        <v>7</v>
      </c>
      <c r="C23" s="69" t="s">
        <v>390</v>
      </c>
      <c r="D23" s="69" t="s">
        <v>166</v>
      </c>
      <c r="E23" s="88">
        <v>1.9E-2</v>
      </c>
      <c r="F23" s="66" t="s">
        <v>298</v>
      </c>
      <c r="G23" s="102">
        <v>0.13300000000000001</v>
      </c>
    </row>
    <row r="24" spans="1:9">
      <c r="A24" s="103" t="s">
        <v>172</v>
      </c>
      <c r="B24" s="69">
        <v>2</v>
      </c>
      <c r="C24" s="69" t="s">
        <v>387</v>
      </c>
      <c r="D24" s="69" t="s">
        <v>166</v>
      </c>
      <c r="E24" s="88">
        <v>1.9E-2</v>
      </c>
      <c r="F24" s="66" t="s">
        <v>298</v>
      </c>
      <c r="G24" s="102">
        <v>3.7999999999999999E-2</v>
      </c>
    </row>
    <row r="25" spans="1:9">
      <c r="A25" s="103" t="s">
        <v>173</v>
      </c>
      <c r="B25" s="69">
        <v>7</v>
      </c>
      <c r="C25" s="69" t="s">
        <v>383</v>
      </c>
      <c r="D25" s="69" t="s">
        <v>166</v>
      </c>
      <c r="E25" s="88">
        <v>8.0000000000000002E-3</v>
      </c>
      <c r="F25" s="66" t="s">
        <v>298</v>
      </c>
      <c r="G25" s="102">
        <v>5.6000000000000001E-2</v>
      </c>
    </row>
    <row r="26" spans="1:9" ht="31.8">
      <c r="A26" s="103" t="s">
        <v>174</v>
      </c>
      <c r="B26" s="69">
        <v>7</v>
      </c>
      <c r="C26" s="70" t="s">
        <v>380</v>
      </c>
      <c r="D26" s="69" t="s">
        <v>166</v>
      </c>
      <c r="E26" s="88">
        <v>0.01</v>
      </c>
      <c r="F26" s="66" t="s">
        <v>298</v>
      </c>
      <c r="G26" s="102">
        <v>7.0000000000000007E-2</v>
      </c>
    </row>
    <row r="27" spans="1:9">
      <c r="A27" s="103" t="s">
        <v>175</v>
      </c>
      <c r="B27" s="69">
        <v>3</v>
      </c>
      <c r="C27" s="69" t="s">
        <v>375</v>
      </c>
      <c r="D27" s="69" t="s">
        <v>166</v>
      </c>
      <c r="E27" s="88">
        <v>2.4E-2</v>
      </c>
      <c r="F27" s="66" t="s">
        <v>298</v>
      </c>
      <c r="G27" s="102">
        <v>7.2000000000000008E-2</v>
      </c>
    </row>
    <row r="28" spans="1:9">
      <c r="A28" s="103" t="s">
        <v>176</v>
      </c>
      <c r="B28" s="69">
        <v>2</v>
      </c>
      <c r="C28" s="69" t="s">
        <v>366</v>
      </c>
      <c r="D28" s="69" t="s">
        <v>166</v>
      </c>
      <c r="E28" s="88">
        <v>0.106</v>
      </c>
      <c r="F28" s="66" t="s">
        <v>361</v>
      </c>
      <c r="G28" s="102">
        <v>0.21199999999999999</v>
      </c>
    </row>
    <row r="29" spans="1:9">
      <c r="A29" s="103" t="s">
        <v>177</v>
      </c>
      <c r="B29" s="69">
        <v>3</v>
      </c>
      <c r="C29" s="69" t="s">
        <v>360</v>
      </c>
      <c r="D29" s="69" t="s">
        <v>166</v>
      </c>
      <c r="E29" s="88">
        <v>2.3E-2</v>
      </c>
      <c r="F29" s="66" t="s">
        <v>298</v>
      </c>
      <c r="G29" s="102">
        <v>6.9000000000000006E-2</v>
      </c>
    </row>
    <row r="30" spans="1:9">
      <c r="A30" s="103" t="s">
        <v>178</v>
      </c>
      <c r="B30" s="69">
        <v>2</v>
      </c>
      <c r="C30" s="69" t="s">
        <v>356</v>
      </c>
      <c r="D30" s="69" t="s">
        <v>166</v>
      </c>
      <c r="E30" s="88">
        <v>1.7000000000000001E-2</v>
      </c>
      <c r="F30" s="66" t="s">
        <v>298</v>
      </c>
      <c r="G30" s="102">
        <v>3.4000000000000002E-2</v>
      </c>
    </row>
    <row r="31" spans="1:9">
      <c r="A31" s="103" t="s">
        <v>179</v>
      </c>
      <c r="B31" s="69">
        <v>2</v>
      </c>
      <c r="C31" s="69" t="s">
        <v>351</v>
      </c>
      <c r="D31" s="69" t="s">
        <v>166</v>
      </c>
      <c r="E31" s="88">
        <v>2.9000000000000001E-2</v>
      </c>
      <c r="F31" s="66" t="s">
        <v>298</v>
      </c>
      <c r="G31" s="102">
        <v>5.8000000000000003E-2</v>
      </c>
    </row>
    <row r="32" spans="1:9" s="94" customFormat="1" ht="15" thickBot="1">
      <c r="A32" s="101" t="s">
        <v>180</v>
      </c>
      <c r="B32" s="100">
        <v>1</v>
      </c>
      <c r="C32" s="100" t="s">
        <v>346</v>
      </c>
      <c r="D32" s="100" t="s">
        <v>166</v>
      </c>
      <c r="E32" s="99">
        <v>1.7000000000000001E-2</v>
      </c>
      <c r="F32" s="98" t="s">
        <v>298</v>
      </c>
      <c r="G32" s="97">
        <v>1.7000000000000001E-2</v>
      </c>
      <c r="H32" s="96">
        <f>SUM(G19:G32)</f>
        <v>0.94200000000000006</v>
      </c>
      <c r="I32" s="95" t="s">
        <v>741</v>
      </c>
    </row>
    <row r="33" spans="1:9" s="109" customFormat="1">
      <c r="A33" s="115" t="s">
        <v>184</v>
      </c>
      <c r="B33" s="113">
        <v>1</v>
      </c>
      <c r="C33" s="113" t="s">
        <v>492</v>
      </c>
      <c r="D33" s="113" t="s">
        <v>491</v>
      </c>
      <c r="E33" s="112">
        <v>0.11899999999999999</v>
      </c>
      <c r="F33" s="111" t="s">
        <v>298</v>
      </c>
      <c r="G33" s="110">
        <f t="shared" ref="G33:G55" si="1">B33*E33</f>
        <v>0.11899999999999999</v>
      </c>
    </row>
    <row r="34" spans="1:9">
      <c r="A34" s="103" t="s">
        <v>185</v>
      </c>
      <c r="B34" s="69">
        <v>1</v>
      </c>
      <c r="C34" s="69" t="s">
        <v>487</v>
      </c>
      <c r="D34" s="69" t="s">
        <v>486</v>
      </c>
      <c r="E34" s="88">
        <v>0.54300000000000004</v>
      </c>
      <c r="F34" s="66" t="s">
        <v>298</v>
      </c>
      <c r="G34" s="102">
        <f t="shared" si="1"/>
        <v>0.54300000000000004</v>
      </c>
    </row>
    <row r="35" spans="1:9">
      <c r="A35" s="103" t="s">
        <v>182</v>
      </c>
      <c r="B35" s="69">
        <v>2</v>
      </c>
      <c r="C35" s="69" t="s">
        <v>481</v>
      </c>
      <c r="D35" s="69" t="s">
        <v>480</v>
      </c>
      <c r="E35" s="88">
        <v>0.14000000000000001</v>
      </c>
      <c r="F35" s="66" t="s">
        <v>298</v>
      </c>
      <c r="G35" s="102">
        <f t="shared" si="1"/>
        <v>0.28000000000000003</v>
      </c>
    </row>
    <row r="36" spans="1:9">
      <c r="A36" s="103" t="s">
        <v>186</v>
      </c>
      <c r="B36" s="69">
        <v>1</v>
      </c>
      <c r="C36" s="69" t="s">
        <v>475</v>
      </c>
      <c r="D36" s="69" t="s">
        <v>474</v>
      </c>
      <c r="E36" s="88">
        <v>0.09</v>
      </c>
      <c r="F36" s="66" t="s">
        <v>298</v>
      </c>
      <c r="G36" s="102">
        <f t="shared" si="1"/>
        <v>0.09</v>
      </c>
    </row>
    <row r="37" spans="1:9">
      <c r="A37" s="103" t="s">
        <v>187</v>
      </c>
      <c r="B37" s="69">
        <v>1</v>
      </c>
      <c r="C37" s="69" t="s">
        <v>469</v>
      </c>
      <c r="D37" s="69" t="s">
        <v>468</v>
      </c>
      <c r="E37" s="88">
        <v>0.16300000000000001</v>
      </c>
      <c r="F37" s="66" t="s">
        <v>298</v>
      </c>
      <c r="G37" s="102">
        <f t="shared" si="1"/>
        <v>0.16300000000000001</v>
      </c>
    </row>
    <row r="38" spans="1:9">
      <c r="A38" s="103" t="s">
        <v>188</v>
      </c>
      <c r="B38" s="69">
        <v>1</v>
      </c>
      <c r="C38" s="69" t="s">
        <v>464</v>
      </c>
      <c r="D38" s="69" t="s">
        <v>463</v>
      </c>
      <c r="E38" s="88">
        <v>7.1999999999999995E-2</v>
      </c>
      <c r="F38" s="66" t="s">
        <v>298</v>
      </c>
      <c r="G38" s="102">
        <f t="shared" si="1"/>
        <v>7.1999999999999995E-2</v>
      </c>
    </row>
    <row r="39" spans="1:9" s="94" customFormat="1" ht="15" thickBot="1">
      <c r="A39" s="101" t="s">
        <v>189</v>
      </c>
      <c r="B39" s="100">
        <v>1</v>
      </c>
      <c r="C39" s="100" t="s">
        <v>458</v>
      </c>
      <c r="D39" s="100" t="s">
        <v>457</v>
      </c>
      <c r="E39" s="99">
        <v>0.126</v>
      </c>
      <c r="F39" s="98" t="s">
        <v>298</v>
      </c>
      <c r="G39" s="97">
        <f t="shared" si="1"/>
        <v>0.126</v>
      </c>
      <c r="H39" s="96">
        <f>SUM(G33:G39)</f>
        <v>1.3930000000000002</v>
      </c>
      <c r="I39" s="95" t="s">
        <v>472</v>
      </c>
    </row>
    <row r="40" spans="1:9" s="109" customFormat="1">
      <c r="A40" s="115" t="s">
        <v>191</v>
      </c>
      <c r="B40" s="113">
        <v>3</v>
      </c>
      <c r="C40" s="113" t="s">
        <v>424</v>
      </c>
      <c r="D40" s="113" t="s">
        <v>423</v>
      </c>
      <c r="E40" s="112">
        <v>0.14899999999999999</v>
      </c>
      <c r="F40" s="111" t="s">
        <v>298</v>
      </c>
      <c r="G40" s="110">
        <f t="shared" si="1"/>
        <v>0.44699999999999995</v>
      </c>
    </row>
    <row r="41" spans="1:9">
      <c r="A41" s="103" t="s">
        <v>193</v>
      </c>
      <c r="B41" s="69">
        <v>1</v>
      </c>
      <c r="C41" s="69" t="s">
        <v>335</v>
      </c>
      <c r="D41" s="69" t="s">
        <v>334</v>
      </c>
      <c r="E41" s="88">
        <v>1.62</v>
      </c>
      <c r="F41" s="66" t="s">
        <v>298</v>
      </c>
      <c r="G41" s="102">
        <f t="shared" si="1"/>
        <v>1.62</v>
      </c>
    </row>
    <row r="42" spans="1:9">
      <c r="A42" s="103" t="s">
        <v>203</v>
      </c>
      <c r="B42" s="69">
        <v>1</v>
      </c>
      <c r="C42" s="69" t="s">
        <v>309</v>
      </c>
      <c r="D42" s="69" t="s">
        <v>308</v>
      </c>
      <c r="E42" s="88">
        <v>0.63700000000000001</v>
      </c>
      <c r="F42" s="66" t="s">
        <v>298</v>
      </c>
      <c r="G42" s="102">
        <f t="shared" si="1"/>
        <v>0.63700000000000001</v>
      </c>
    </row>
    <row r="43" spans="1:9">
      <c r="A43" s="103" t="s">
        <v>204</v>
      </c>
      <c r="B43" s="69">
        <v>1</v>
      </c>
      <c r="C43" s="69" t="s">
        <v>330</v>
      </c>
      <c r="D43" s="69" t="s">
        <v>329</v>
      </c>
      <c r="E43" s="88">
        <v>0.56999999999999995</v>
      </c>
      <c r="F43" s="66" t="s">
        <v>284</v>
      </c>
      <c r="G43" s="102">
        <f t="shared" si="1"/>
        <v>0.56999999999999995</v>
      </c>
    </row>
    <row r="44" spans="1:9" s="94" customFormat="1" ht="15" thickBot="1">
      <c r="A44" s="101" t="s">
        <v>205</v>
      </c>
      <c r="B44" s="100">
        <v>1</v>
      </c>
      <c r="C44" s="100" t="s">
        <v>418</v>
      </c>
      <c r="D44" s="100" t="s">
        <v>417</v>
      </c>
      <c r="E44" s="99">
        <v>0.73499999999999999</v>
      </c>
      <c r="F44" s="98" t="s">
        <v>298</v>
      </c>
      <c r="G44" s="97">
        <f t="shared" si="1"/>
        <v>0.73499999999999999</v>
      </c>
      <c r="H44" s="96">
        <f>SUM(G40:G44)</f>
        <v>4.0090000000000003</v>
      </c>
      <c r="I44" s="95" t="s">
        <v>742</v>
      </c>
    </row>
    <row r="45" spans="1:9" s="109" customFormat="1">
      <c r="A45" s="114" t="s">
        <v>206</v>
      </c>
      <c r="B45" s="113">
        <v>1</v>
      </c>
      <c r="C45" s="113" t="s">
        <v>341</v>
      </c>
      <c r="D45" s="113" t="s">
        <v>340</v>
      </c>
      <c r="E45" s="112">
        <v>0.105</v>
      </c>
      <c r="F45" s="111" t="s">
        <v>298</v>
      </c>
      <c r="G45" s="110">
        <f t="shared" si="1"/>
        <v>0.105</v>
      </c>
    </row>
    <row r="46" spans="1:9">
      <c r="A46" s="103" t="s">
        <v>208</v>
      </c>
      <c r="B46" s="69">
        <v>1</v>
      </c>
      <c r="C46" s="69" t="s">
        <v>320</v>
      </c>
      <c r="D46" s="69" t="s">
        <v>319</v>
      </c>
      <c r="E46" s="88">
        <v>4</v>
      </c>
      <c r="F46" s="66" t="s">
        <v>298</v>
      </c>
      <c r="G46" s="102">
        <f t="shared" si="1"/>
        <v>4</v>
      </c>
    </row>
    <row r="47" spans="1:9">
      <c r="A47" s="103" t="s">
        <v>209</v>
      </c>
      <c r="B47" s="69">
        <v>1</v>
      </c>
      <c r="C47" s="69" t="s">
        <v>314</v>
      </c>
      <c r="D47" s="69" t="s">
        <v>313</v>
      </c>
      <c r="E47" s="88">
        <v>0.3</v>
      </c>
      <c r="F47" s="66" t="s">
        <v>288</v>
      </c>
      <c r="G47" s="102">
        <f t="shared" si="1"/>
        <v>0.3</v>
      </c>
    </row>
    <row r="48" spans="1:9">
      <c r="A48" s="103" t="s">
        <v>210</v>
      </c>
      <c r="B48" s="69">
        <v>1</v>
      </c>
      <c r="C48" s="69" t="s">
        <v>304</v>
      </c>
      <c r="D48" s="69" t="s">
        <v>303</v>
      </c>
      <c r="E48" s="88">
        <v>3.1</v>
      </c>
      <c r="F48" s="66" t="s">
        <v>298</v>
      </c>
      <c r="G48" s="102">
        <f t="shared" si="1"/>
        <v>3.1</v>
      </c>
    </row>
    <row r="49" spans="1:9">
      <c r="A49" s="108" t="s">
        <v>211</v>
      </c>
      <c r="B49" s="107">
        <v>1</v>
      </c>
      <c r="C49" s="107" t="s">
        <v>297</v>
      </c>
      <c r="D49" s="107" t="s">
        <v>296</v>
      </c>
      <c r="E49" s="106">
        <v>1.41</v>
      </c>
      <c r="F49" s="105" t="s">
        <v>284</v>
      </c>
      <c r="G49" s="104">
        <f t="shared" si="1"/>
        <v>1.41</v>
      </c>
    </row>
    <row r="50" spans="1:9" ht="21.6">
      <c r="A50" s="103" t="s">
        <v>212</v>
      </c>
      <c r="B50" s="69">
        <v>1</v>
      </c>
      <c r="C50" s="69" t="s">
        <v>291</v>
      </c>
      <c r="D50" s="70" t="s">
        <v>290</v>
      </c>
      <c r="E50" s="88">
        <v>1.1200000000000001</v>
      </c>
      <c r="F50" s="66" t="s">
        <v>284</v>
      </c>
      <c r="G50" s="102">
        <f t="shared" si="1"/>
        <v>1.1200000000000001</v>
      </c>
    </row>
    <row r="51" spans="1:9" s="94" customFormat="1" ht="15" thickBot="1">
      <c r="A51" s="101" t="s">
        <v>207</v>
      </c>
      <c r="B51" s="100">
        <v>1</v>
      </c>
      <c r="C51" s="100" t="s">
        <v>325</v>
      </c>
      <c r="D51" s="100" t="s">
        <v>324</v>
      </c>
      <c r="E51" s="99">
        <v>0.60799999999999998</v>
      </c>
      <c r="F51" s="98" t="s">
        <v>298</v>
      </c>
      <c r="G51" s="97">
        <f t="shared" si="1"/>
        <v>0.60799999999999998</v>
      </c>
      <c r="H51" s="96">
        <f>SUM(G45:G51)</f>
        <v>10.643000000000001</v>
      </c>
      <c r="I51" s="95" t="s">
        <v>743</v>
      </c>
    </row>
    <row r="52" spans="1:9">
      <c r="A52" s="93" t="s">
        <v>217</v>
      </c>
      <c r="B52" s="92">
        <v>1</v>
      </c>
      <c r="C52" s="92" t="s">
        <v>446</v>
      </c>
      <c r="D52" s="92" t="s">
        <v>445</v>
      </c>
      <c r="E52" s="91">
        <v>1.0900000000000001</v>
      </c>
      <c r="F52" s="90" t="s">
        <v>439</v>
      </c>
      <c r="G52" s="89">
        <f t="shared" si="1"/>
        <v>1.0900000000000001</v>
      </c>
    </row>
    <row r="53" spans="1:9">
      <c r="A53" s="71" t="s">
        <v>438</v>
      </c>
      <c r="B53" s="69">
        <v>2</v>
      </c>
      <c r="C53" s="69" t="s">
        <v>437</v>
      </c>
      <c r="D53" s="69" t="s">
        <v>436</v>
      </c>
      <c r="E53" s="88">
        <v>0</v>
      </c>
      <c r="F53" s="66"/>
      <c r="G53" s="87">
        <f t="shared" si="1"/>
        <v>0</v>
      </c>
    </row>
    <row r="54" spans="1:9">
      <c r="A54" s="71" t="s">
        <v>220</v>
      </c>
      <c r="B54" s="69">
        <v>2</v>
      </c>
      <c r="C54" s="69" t="s">
        <v>432</v>
      </c>
      <c r="D54" s="69" t="s">
        <v>431</v>
      </c>
      <c r="E54" s="88">
        <v>0</v>
      </c>
      <c r="F54" s="66"/>
      <c r="G54" s="87">
        <f t="shared" si="1"/>
        <v>0</v>
      </c>
    </row>
    <row r="55" spans="1:9">
      <c r="A55" s="73" t="s">
        <v>215</v>
      </c>
      <c r="B55" s="69">
        <v>1</v>
      </c>
      <c r="C55" s="69" t="s">
        <v>428</v>
      </c>
      <c r="D55" s="69" t="s">
        <v>427</v>
      </c>
      <c r="E55" s="88">
        <v>0</v>
      </c>
      <c r="F55" s="66"/>
      <c r="G55" s="87">
        <f t="shared" si="1"/>
        <v>0</v>
      </c>
    </row>
    <row r="57" spans="1:9">
      <c r="G57" s="65">
        <f>SUM(G6:G55)</f>
        <v>111.90300000000002</v>
      </c>
    </row>
    <row r="58" spans="1:9">
      <c r="G58" s="65"/>
    </row>
  </sheetData>
  <mergeCells count="1">
    <mergeCell ref="B1:D1"/>
  </mergeCells>
  <pageMargins left="0.25" right="0.25" top="0.75" bottom="0.75" header="0.3" footer="0.3"/>
  <pageSetup paperSize="9" scale="64"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89C15-4EDF-5D40-A0C4-E957D3746732}">
  <dimension ref="A1:C78"/>
  <sheetViews>
    <sheetView workbookViewId="0">
      <selection activeCell="B4" sqref="B4"/>
    </sheetView>
  </sheetViews>
  <sheetFormatPr baseColWidth="10" defaultColWidth="10.77734375" defaultRowHeight="14.4"/>
  <cols>
    <col min="1" max="1" width="10.77734375" style="134"/>
    <col min="2" max="2" width="23.109375" style="63" bestFit="1" customWidth="1"/>
    <col min="3" max="4" width="10.77734375" style="63"/>
    <col min="5" max="5" width="14.44140625" style="63" bestFit="1" customWidth="1"/>
    <col min="6" max="16384" width="10.77734375" style="63"/>
  </cols>
  <sheetData>
    <row r="1" spans="1:3" ht="28.8">
      <c r="A1" s="346" t="s">
        <v>695</v>
      </c>
      <c r="B1" s="346"/>
      <c r="C1" s="346"/>
    </row>
    <row r="3" spans="1:3">
      <c r="A3" s="137" t="s">
        <v>694</v>
      </c>
      <c r="B3" s="136" t="s">
        <v>693</v>
      </c>
    </row>
    <row r="4" spans="1:3">
      <c r="A4" s="134" t="s">
        <v>692</v>
      </c>
      <c r="B4" s="63" t="s">
        <v>691</v>
      </c>
      <c r="C4" s="134"/>
    </row>
    <row r="5" spans="1:3">
      <c r="A5" s="134" t="s">
        <v>690</v>
      </c>
      <c r="B5" s="63" t="s">
        <v>642</v>
      </c>
      <c r="C5" s="134"/>
    </row>
    <row r="6" spans="1:3">
      <c r="A6" s="134" t="s">
        <v>689</v>
      </c>
      <c r="B6" s="63" t="s">
        <v>688</v>
      </c>
      <c r="C6" s="134"/>
    </row>
    <row r="7" spans="1:3">
      <c r="A7" s="134" t="s">
        <v>687</v>
      </c>
      <c r="B7" s="63" t="s">
        <v>686</v>
      </c>
      <c r="C7" s="134"/>
    </row>
    <row r="8" spans="1:3">
      <c r="A8" s="134" t="s">
        <v>685</v>
      </c>
      <c r="B8" s="63" t="s">
        <v>684</v>
      </c>
      <c r="C8" s="134"/>
    </row>
    <row r="9" spans="1:3">
      <c r="A9" s="134" t="s">
        <v>683</v>
      </c>
      <c r="B9" s="63" t="s">
        <v>682</v>
      </c>
      <c r="C9" s="134"/>
    </row>
    <row r="10" spans="1:3">
      <c r="A10" s="134" t="s">
        <v>681</v>
      </c>
      <c r="B10" s="63" t="s">
        <v>680</v>
      </c>
      <c r="C10" s="134"/>
    </row>
    <row r="11" spans="1:3">
      <c r="A11" s="134" t="s">
        <v>679</v>
      </c>
      <c r="B11" s="63" t="s">
        <v>678</v>
      </c>
      <c r="C11" s="134"/>
    </row>
    <row r="12" spans="1:3">
      <c r="A12" s="134" t="s">
        <v>677</v>
      </c>
      <c r="B12" s="63" t="s">
        <v>676</v>
      </c>
      <c r="C12" s="134"/>
    </row>
    <row r="13" spans="1:3">
      <c r="A13" s="134" t="s">
        <v>675</v>
      </c>
      <c r="B13" s="63" t="s">
        <v>674</v>
      </c>
      <c r="C13" s="134"/>
    </row>
    <row r="14" spans="1:3">
      <c r="A14" s="134" t="s">
        <v>673</v>
      </c>
      <c r="B14" s="63" t="s">
        <v>672</v>
      </c>
      <c r="C14" s="134"/>
    </row>
    <row r="15" spans="1:3">
      <c r="A15" s="134" t="s">
        <v>671</v>
      </c>
      <c r="B15" s="63" t="s">
        <v>670</v>
      </c>
      <c r="C15" s="134"/>
    </row>
    <row r="16" spans="1:3">
      <c r="A16" s="134" t="s">
        <v>669</v>
      </c>
      <c r="B16" s="63" t="s">
        <v>668</v>
      </c>
      <c r="C16" s="134"/>
    </row>
    <row r="17" spans="1:3">
      <c r="A17" s="134" t="s">
        <v>667</v>
      </c>
      <c r="B17" s="63" t="s">
        <v>666</v>
      </c>
      <c r="C17" s="134"/>
    </row>
    <row r="18" spans="1:3">
      <c r="A18" s="63" t="s">
        <v>665</v>
      </c>
      <c r="B18" s="63" t="s">
        <v>659</v>
      </c>
    </row>
    <row r="19" spans="1:3">
      <c r="A19" s="134" t="s">
        <v>664</v>
      </c>
      <c r="B19" s="63" t="s">
        <v>663</v>
      </c>
    </row>
    <row r="20" spans="1:3">
      <c r="A20" s="134" t="s">
        <v>662</v>
      </c>
      <c r="B20" s="63" t="s">
        <v>661</v>
      </c>
    </row>
    <row r="21" spans="1:3">
      <c r="A21" s="134" t="s">
        <v>660</v>
      </c>
      <c r="B21" s="63" t="s">
        <v>659</v>
      </c>
    </row>
    <row r="22" spans="1:3">
      <c r="A22" s="135" t="s">
        <v>658</v>
      </c>
      <c r="B22" s="63" t="s">
        <v>657</v>
      </c>
    </row>
    <row r="23" spans="1:3">
      <c r="A23" s="134" t="s">
        <v>656</v>
      </c>
      <c r="B23" s="63" t="s">
        <v>655</v>
      </c>
    </row>
    <row r="24" spans="1:3">
      <c r="A24" s="134" t="s">
        <v>654</v>
      </c>
      <c r="B24" s="63" t="s">
        <v>653</v>
      </c>
    </row>
    <row r="25" spans="1:3">
      <c r="A25" s="63" t="s">
        <v>652</v>
      </c>
      <c r="B25" s="63" t="s">
        <v>651</v>
      </c>
    </row>
    <row r="26" spans="1:3">
      <c r="A26" s="134" t="s">
        <v>650</v>
      </c>
      <c r="B26" s="63" t="s">
        <v>649</v>
      </c>
    </row>
    <row r="27" spans="1:3">
      <c r="A27" s="134" t="s">
        <v>648</v>
      </c>
      <c r="B27" s="63" t="s">
        <v>647</v>
      </c>
    </row>
    <row r="28" spans="1:3">
      <c r="A28" s="134" t="s">
        <v>646</v>
      </c>
      <c r="B28" s="63" t="s">
        <v>624</v>
      </c>
    </row>
    <row r="29" spans="1:3">
      <c r="A29" s="134" t="s">
        <v>645</v>
      </c>
      <c r="B29" s="63" t="s">
        <v>644</v>
      </c>
    </row>
    <row r="30" spans="1:3">
      <c r="A30" s="134" t="s">
        <v>643</v>
      </c>
      <c r="B30" s="63" t="s">
        <v>642</v>
      </c>
    </row>
    <row r="31" spans="1:3">
      <c r="A31" s="134" t="s">
        <v>641</v>
      </c>
      <c r="B31" s="63" t="s">
        <v>640</v>
      </c>
    </row>
    <row r="32" spans="1:3">
      <c r="A32" s="134" t="s">
        <v>639</v>
      </c>
      <c r="B32" s="63" t="s">
        <v>638</v>
      </c>
    </row>
    <row r="33" spans="1:2">
      <c r="A33" s="134" t="s">
        <v>637</v>
      </c>
      <c r="B33" s="63" t="s">
        <v>636</v>
      </c>
    </row>
    <row r="34" spans="1:2">
      <c r="A34" s="134" t="s">
        <v>635</v>
      </c>
      <c r="B34" s="63" t="s">
        <v>634</v>
      </c>
    </row>
    <row r="35" spans="1:2">
      <c r="A35" s="134" t="s">
        <v>633</v>
      </c>
      <c r="B35" s="63" t="s">
        <v>632</v>
      </c>
    </row>
    <row r="36" spans="1:2">
      <c r="A36" s="134" t="s">
        <v>631</v>
      </c>
      <c r="B36" s="63" t="s">
        <v>630</v>
      </c>
    </row>
    <row r="37" spans="1:2">
      <c r="A37" s="134" t="s">
        <v>629</v>
      </c>
      <c r="B37" s="63" t="s">
        <v>628</v>
      </c>
    </row>
    <row r="38" spans="1:2">
      <c r="A38" s="134" t="s">
        <v>627</v>
      </c>
      <c r="B38" s="63" t="s">
        <v>626</v>
      </c>
    </row>
    <row r="39" spans="1:2">
      <c r="A39" s="134" t="s">
        <v>625</v>
      </c>
      <c r="B39" s="63" t="s">
        <v>624</v>
      </c>
    </row>
    <row r="40" spans="1:2">
      <c r="A40" s="134" t="s">
        <v>623</v>
      </c>
      <c r="B40" s="63" t="s">
        <v>622</v>
      </c>
    </row>
    <row r="41" spans="1:2">
      <c r="A41" s="134" t="s">
        <v>621</v>
      </c>
      <c r="B41" s="63" t="s">
        <v>620</v>
      </c>
    </row>
    <row r="42" spans="1:2">
      <c r="A42" s="134" t="s">
        <v>619</v>
      </c>
      <c r="B42" s="134" t="s">
        <v>618</v>
      </c>
    </row>
    <row r="43" spans="1:2">
      <c r="A43" s="134" t="s">
        <v>617</v>
      </c>
      <c r="B43" s="63" t="s">
        <v>616</v>
      </c>
    </row>
    <row r="44" spans="1:2">
      <c r="A44" s="134" t="s">
        <v>615</v>
      </c>
      <c r="B44" s="63" t="s">
        <v>614</v>
      </c>
    </row>
    <row r="45" spans="1:2">
      <c r="A45" s="134" t="s">
        <v>613</v>
      </c>
      <c r="B45" s="63" t="s">
        <v>612</v>
      </c>
    </row>
    <row r="46" spans="1:2">
      <c r="A46" s="134" t="s">
        <v>611</v>
      </c>
      <c r="B46" s="63" t="s">
        <v>610</v>
      </c>
    </row>
    <row r="47" spans="1:2">
      <c r="A47" s="134" t="s">
        <v>609</v>
      </c>
      <c r="B47" s="63" t="s">
        <v>608</v>
      </c>
    </row>
    <row r="48" spans="1:2">
      <c r="A48" s="134" t="s">
        <v>607</v>
      </c>
      <c r="B48" s="63" t="s">
        <v>606</v>
      </c>
    </row>
    <row r="49" spans="1:2">
      <c r="A49" s="134" t="s">
        <v>605</v>
      </c>
      <c r="B49" s="63" t="s">
        <v>604</v>
      </c>
    </row>
    <row r="50" spans="1:2">
      <c r="A50" s="134" t="s">
        <v>603</v>
      </c>
      <c r="B50" s="63" t="s">
        <v>602</v>
      </c>
    </row>
    <row r="51" spans="1:2">
      <c r="A51" s="134" t="s">
        <v>601</v>
      </c>
      <c r="B51" s="63" t="s">
        <v>600</v>
      </c>
    </row>
    <row r="52" spans="1:2">
      <c r="A52" s="134" t="s">
        <v>599</v>
      </c>
      <c r="B52" s="63" t="s">
        <v>598</v>
      </c>
    </row>
    <row r="53" spans="1:2">
      <c r="A53" s="134" t="s">
        <v>597</v>
      </c>
      <c r="B53" s="63" t="s">
        <v>596</v>
      </c>
    </row>
    <row r="54" spans="1:2">
      <c r="A54" s="134" t="s">
        <v>595</v>
      </c>
      <c r="B54" s="63" t="s">
        <v>594</v>
      </c>
    </row>
    <row r="55" spans="1:2">
      <c r="A55" s="134" t="s">
        <v>593</v>
      </c>
      <c r="B55" s="63" t="s">
        <v>592</v>
      </c>
    </row>
    <row r="56" spans="1:2">
      <c r="A56" s="134" t="s">
        <v>591</v>
      </c>
      <c r="B56" s="63" t="s">
        <v>590</v>
      </c>
    </row>
    <row r="57" spans="1:2">
      <c r="A57" s="134" t="s">
        <v>589</v>
      </c>
      <c r="B57" s="63" t="s">
        <v>588</v>
      </c>
    </row>
    <row r="58" spans="1:2">
      <c r="A58" s="134" t="s">
        <v>587</v>
      </c>
      <c r="B58" s="63" t="s">
        <v>586</v>
      </c>
    </row>
    <row r="59" spans="1:2">
      <c r="A59" s="134" t="s">
        <v>585</v>
      </c>
      <c r="B59" s="63" t="s">
        <v>584</v>
      </c>
    </row>
    <row r="60" spans="1:2">
      <c r="A60" s="134" t="s">
        <v>583</v>
      </c>
      <c r="B60" s="63" t="s">
        <v>582</v>
      </c>
    </row>
    <row r="61" spans="1:2">
      <c r="A61" s="134" t="s">
        <v>581</v>
      </c>
      <c r="B61" s="63" t="s">
        <v>580</v>
      </c>
    </row>
    <row r="62" spans="1:2">
      <c r="A62" s="134" t="s">
        <v>579</v>
      </c>
      <c r="B62" s="63" t="s">
        <v>578</v>
      </c>
    </row>
    <row r="63" spans="1:2">
      <c r="A63" s="134" t="s">
        <v>577</v>
      </c>
      <c r="B63" s="63" t="s">
        <v>576</v>
      </c>
    </row>
    <row r="64" spans="1:2">
      <c r="A64" s="134" t="s">
        <v>575</v>
      </c>
      <c r="B64" s="63" t="s">
        <v>574</v>
      </c>
    </row>
    <row r="65" spans="1:2">
      <c r="A65" s="134" t="s">
        <v>573</v>
      </c>
      <c r="B65" s="63" t="s">
        <v>572</v>
      </c>
    </row>
    <row r="66" spans="1:2">
      <c r="A66" s="134" t="s">
        <v>571</v>
      </c>
      <c r="B66" s="63" t="s">
        <v>570</v>
      </c>
    </row>
    <row r="67" spans="1:2">
      <c r="A67" s="134" t="s">
        <v>569</v>
      </c>
      <c r="B67" s="63" t="s">
        <v>568</v>
      </c>
    </row>
    <row r="68" spans="1:2">
      <c r="A68" s="134" t="s">
        <v>567</v>
      </c>
      <c r="B68" s="63" t="s">
        <v>566</v>
      </c>
    </row>
    <row r="69" spans="1:2">
      <c r="A69" s="134" t="s">
        <v>565</v>
      </c>
      <c r="B69" s="63" t="s">
        <v>564</v>
      </c>
    </row>
    <row r="70" spans="1:2">
      <c r="A70" s="134" t="s">
        <v>563</v>
      </c>
      <c r="B70" s="63" t="s">
        <v>562</v>
      </c>
    </row>
    <row r="71" spans="1:2">
      <c r="A71" s="134" t="s">
        <v>561</v>
      </c>
      <c r="B71" s="63" t="s">
        <v>560</v>
      </c>
    </row>
    <row r="72" spans="1:2">
      <c r="A72" s="134" t="s">
        <v>559</v>
      </c>
      <c r="B72" s="63" t="s">
        <v>558</v>
      </c>
    </row>
    <row r="73" spans="1:2">
      <c r="A73" s="134" t="s">
        <v>557</v>
      </c>
      <c r="B73" s="63" t="s">
        <v>556</v>
      </c>
    </row>
    <row r="74" spans="1:2">
      <c r="A74" s="134" t="s">
        <v>555</v>
      </c>
      <c r="B74" s="63" t="s">
        <v>554</v>
      </c>
    </row>
    <row r="75" spans="1:2">
      <c r="A75" s="134" t="s">
        <v>553</v>
      </c>
      <c r="B75" s="63" t="s">
        <v>552</v>
      </c>
    </row>
    <row r="76" spans="1:2">
      <c r="A76" s="134" t="s">
        <v>551</v>
      </c>
      <c r="B76" s="63" t="s">
        <v>550</v>
      </c>
    </row>
    <row r="77" spans="1:2">
      <c r="A77" s="134" t="s">
        <v>717</v>
      </c>
      <c r="B77" s="63" t="s">
        <v>716</v>
      </c>
    </row>
    <row r="78" spans="1:2">
      <c r="A78" s="134" t="s">
        <v>715</v>
      </c>
      <c r="B78" s="63" t="s">
        <v>714</v>
      </c>
    </row>
  </sheetData>
  <autoFilter ref="A3:B3" xr:uid="{36D6536C-CDD8-4FCD-804D-F64E403DE077}"/>
  <mergeCells count="1">
    <mergeCell ref="A1:C1"/>
  </mergeCells>
  <conditionalFormatting sqref="A2:A17 A19:A24 B42 A26:A41 A43:A1048576">
    <cfRule type="duplicateValues" dxfId="209" priority="5"/>
  </conditionalFormatting>
  <conditionalFormatting sqref="A2:A24 B42 A26:A41 A43:A1048576">
    <cfRule type="duplicateValues" dxfId="208" priority="3"/>
  </conditionalFormatting>
  <conditionalFormatting sqref="B42 A2:A41 A43:A1048576">
    <cfRule type="duplicateValues" dxfId="207" priority="1"/>
    <cfRule type="duplicateValues" dxfId="206" priority="2"/>
  </conditionalFormatting>
  <conditionalFormatting sqref="C4:C17">
    <cfRule type="duplicateValues" dxfId="205" priority="4"/>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A9D-8F88-4F43-8501-C46860A3D6D8}">
  <dimension ref="A1:F14"/>
  <sheetViews>
    <sheetView zoomScale="84" zoomScaleNormal="125" workbookViewId="0">
      <selection activeCell="B4" sqref="B4"/>
    </sheetView>
  </sheetViews>
  <sheetFormatPr baseColWidth="10" defaultColWidth="10.77734375" defaultRowHeight="14.4"/>
  <cols>
    <col min="1" max="1" width="20.44140625" style="63" bestFit="1" customWidth="1"/>
    <col min="2" max="2" width="12" style="63" bestFit="1" customWidth="1"/>
    <col min="3" max="3" width="10.77734375" style="63"/>
    <col min="4" max="4" width="21.33203125" style="63" bestFit="1" customWidth="1"/>
    <col min="5" max="5" width="11.33203125" style="63" bestFit="1" customWidth="1"/>
    <col min="6" max="6" width="10.77734375" style="63"/>
    <col min="7" max="7" width="12" style="63" bestFit="1" customWidth="1"/>
    <col min="8" max="16384" width="10.77734375" style="63"/>
  </cols>
  <sheetData>
    <row r="1" spans="1:6" ht="28.8">
      <c r="A1" s="346" t="s">
        <v>713</v>
      </c>
      <c r="B1" s="346"/>
      <c r="C1" s="346"/>
    </row>
    <row r="2" spans="1:6" ht="15" thickBot="1"/>
    <row r="3" spans="1:6" ht="15.6">
      <c r="A3" s="182" t="s">
        <v>712</v>
      </c>
      <c r="B3" s="180"/>
      <c r="D3" s="181" t="s">
        <v>711</v>
      </c>
      <c r="E3" s="109"/>
      <c r="F3" s="180"/>
    </row>
    <row r="4" spans="1:6">
      <c r="A4" s="177" t="s">
        <v>710</v>
      </c>
      <c r="B4" s="175">
        <f>COUNTA(CAS_Component!B6:B211)</f>
        <v>49</v>
      </c>
      <c r="D4" s="179" t="s">
        <v>693</v>
      </c>
      <c r="E4" s="174" t="s">
        <v>709</v>
      </c>
      <c r="F4" s="178" t="s">
        <v>534</v>
      </c>
    </row>
    <row r="5" spans="1:6">
      <c r="A5" s="177" t="s">
        <v>708</v>
      </c>
      <c r="B5" s="175">
        <f>SUM(CAS_EFuse!A6:A126)</f>
        <v>110</v>
      </c>
      <c r="C5" s="174">
        <v>1</v>
      </c>
      <c r="D5" s="177" t="str">
        <f>INDEX(CAS_Code!$B$4:$B$334, MATCH(E5,CAS_Code!$A$4:$A$334,0))</f>
        <v>Aluminum</v>
      </c>
      <c r="E5" s="176" t="str">
        <f>INDEX(CAS_EFuse!$E$5:$CH$5,MATCH(LARGE(CAS_EFuse!$E$4:$CH$4,C5), CAS_EFuse!$E$4:$CH$4,0))</f>
        <v>7429-90-5</v>
      </c>
      <c r="F5" s="175">
        <f>LARGE(CAS_EFuse!$E$4:$CH$4, C5)</f>
        <v>58780.9496764496</v>
      </c>
    </row>
    <row r="6" spans="1:6" ht="15" thickBot="1">
      <c r="A6" s="173" t="s">
        <v>707</v>
      </c>
      <c r="B6" s="171">
        <f>COUNTA(CAS_Code!A4:A188)</f>
        <v>75</v>
      </c>
      <c r="C6" s="174">
        <v>2</v>
      </c>
      <c r="D6" s="177" t="str">
        <f>INDEX(CAS_Code!$B$4:$B$334, MATCH(E6,CAS_Code!$A$4:$A$334,0))</f>
        <v xml:space="preserve">Copper (Cu) </v>
      </c>
      <c r="E6" s="176" t="str">
        <f>INDEX(CAS_EFuse!$E$5:$CH$5,MATCH(LARGE(CAS_EFuse!$E$4:$CH$4,C6), CAS_EFuse!$E$4:$CH$4,0))</f>
        <v>7440-50-8</v>
      </c>
      <c r="F6" s="175">
        <f>LARGE(CAS_EFuse!$E$4:$CH$4, C6)</f>
        <v>10755.440157541283</v>
      </c>
    </row>
    <row r="7" spans="1:6">
      <c r="C7" s="174">
        <v>3</v>
      </c>
      <c r="D7" s="177" t="str">
        <f>INDEX(CAS_Code!$B$4:$B$334, MATCH(E7,CAS_Code!$A$4:$A$334,0))</f>
        <v>Silica, vitreous (or fused)</v>
      </c>
      <c r="E7" s="176" t="str">
        <f>INDEX(CAS_EFuse!$E$5:$CH$5,MATCH(LARGE(CAS_EFuse!$E$4:$CH$4,C7), CAS_EFuse!$E$4:$CH$4,0))</f>
        <v>60676-86-0</v>
      </c>
      <c r="F7" s="175">
        <f>LARGE(CAS_EFuse!$E$4:$CH$4, C7)</f>
        <v>4239.1726674967376</v>
      </c>
    </row>
    <row r="8" spans="1:6">
      <c r="C8" s="174">
        <v>4</v>
      </c>
      <c r="D8" s="177" t="str">
        <f>INDEX(CAS_Code!$B$4:$B$334, MATCH(E8,CAS_Code!$A$4:$A$334,0))</f>
        <v>Nickle (Ni)</v>
      </c>
      <c r="E8" s="176" t="str">
        <f>INDEX(CAS_EFuse!$E$5:$CH$5,MATCH(LARGE(CAS_EFuse!$E$4:$CH$4,C8), CAS_EFuse!$E$4:$CH$4,0))</f>
        <v>7440-02-0</v>
      </c>
      <c r="F8" s="175">
        <f>LARGE(CAS_EFuse!$E$4:$CH$4, C8)</f>
        <v>2341.7058605592397</v>
      </c>
    </row>
    <row r="9" spans="1:6">
      <c r="C9" s="174">
        <v>5</v>
      </c>
      <c r="D9" s="177" t="str">
        <f>INDEX(CAS_Code!$B$4:$B$334, MATCH(E9,CAS_Code!$A$4:$A$334,0))</f>
        <v>Zinc (Metal)</v>
      </c>
      <c r="E9" s="176" t="str">
        <f>INDEX(CAS_EFuse!$E$5:$CH$5,MATCH(LARGE(CAS_EFuse!$E$4:$CH$4,C9), CAS_EFuse!$E$4:$CH$4,0))</f>
        <v>7440-66-6</v>
      </c>
      <c r="F9" s="175">
        <f>LARGE(CAS_EFuse!$E$4:$CH$4, C9)</f>
        <v>1986.3735445302159</v>
      </c>
    </row>
    <row r="10" spans="1:6">
      <c r="C10" s="174">
        <v>6</v>
      </c>
      <c r="D10" s="177" t="str">
        <f>INDEX(CAS_Code!$B$4:$B$334, MATCH(E10,CAS_Code!$A$4:$A$334,0))</f>
        <v>Sn | Tin</v>
      </c>
      <c r="E10" s="176" t="str">
        <f>INDEX(CAS_EFuse!$E$5:$CH$5,MATCH(LARGE(CAS_EFuse!$E$4:$CH$4,C10), CAS_EFuse!$E$4:$CH$4,0))</f>
        <v>7440-31-5</v>
      </c>
      <c r="F10" s="175">
        <f>LARGE(CAS_EFuse!$E$4:$CH$4, C10)</f>
        <v>1312.3024735911702</v>
      </c>
    </row>
    <row r="11" spans="1:6">
      <c r="C11" s="174">
        <v>7</v>
      </c>
      <c r="D11" s="177" t="str">
        <f>INDEX(CAS_Code!$B$4:$B$334, MATCH(E11,CAS_Code!$A$4:$A$334,0))</f>
        <v>Acide polylactique (PLA)</v>
      </c>
      <c r="E11" s="176" t="str">
        <f>INDEX(CAS_EFuse!$E$5:$CH$5,MATCH(LARGE(CAS_EFuse!$E$4:$CH$4,C11), CAS_EFuse!$E$4:$CH$4,0))</f>
        <v>26100-51-6</v>
      </c>
      <c r="F11" s="175">
        <f>LARGE(CAS_EFuse!$E$4:$CH$4, C11)</f>
        <v>1200</v>
      </c>
    </row>
    <row r="12" spans="1:6">
      <c r="C12" s="174">
        <v>8</v>
      </c>
      <c r="D12" s="177" t="str">
        <f>INDEX(CAS_Code!$B$4:$B$334, MATCH(E12,CAS_Code!$A$4:$A$334,0))</f>
        <v>Silicon dioxide</v>
      </c>
      <c r="E12" s="176" t="str">
        <f>INDEX(CAS_EFuse!$E$5:$CH$5,MATCH(LARGE(CAS_EFuse!$E$4:$CH$4,C12), CAS_EFuse!$E$4:$CH$4,0))</f>
        <v>7631-86-9</v>
      </c>
      <c r="F12" s="175">
        <f>LARGE(CAS_EFuse!$E$4:$CH$4, C12)</f>
        <v>752.81035971926315</v>
      </c>
    </row>
    <row r="13" spans="1:6">
      <c r="C13" s="174">
        <v>9</v>
      </c>
      <c r="D13" s="177" t="str">
        <f>INDEX(CAS_Code!$B$4:$B$334, MATCH(E13,CAS_Code!$A$4:$A$334,0))</f>
        <v>Aluminum oxide : A1203</v>
      </c>
      <c r="E13" s="176" t="str">
        <f>INDEX(CAS_EFuse!$E$5:$CH$5,MATCH(LARGE(CAS_EFuse!$E$4:$CH$4,C13), CAS_EFuse!$E$4:$CH$4,0))</f>
        <v>1344-28-1</v>
      </c>
      <c r="F13" s="175">
        <f>LARGE(CAS_EFuse!$E$4:$CH$4, C13)</f>
        <v>526.37666336986672</v>
      </c>
    </row>
    <row r="14" spans="1:6" ht="15" thickBot="1">
      <c r="C14" s="174">
        <v>10</v>
      </c>
      <c r="D14" s="173" t="str">
        <f>INDEX(CAS_Code!$B$4:$B$334, MATCH(E14,CAS_Code!$A$4:$A$334,0))</f>
        <v xml:space="preserve">Epoxy Resin </v>
      </c>
      <c r="E14" s="172" t="str">
        <f>INDEX(CAS_EFuse!$E$5:$CH$5,MATCH(LARGE(CAS_EFuse!$E$4:$CH$4,C14), CAS_EFuse!$E$4:$CH$4,0))</f>
        <v>68475-94-5</v>
      </c>
      <c r="F14" s="171">
        <f>LARGE(CAS_EFuse!$E$4:$CH$4, C14)</f>
        <v>209.08512270687649</v>
      </c>
    </row>
  </sheetData>
  <mergeCells count="1">
    <mergeCell ref="A1:C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D37DB-3CE0-5743-9E6A-FBF0B7A51C32}">
  <dimension ref="A2:D67"/>
  <sheetViews>
    <sheetView zoomScale="86" workbookViewId="0">
      <selection activeCell="M14" sqref="M14"/>
    </sheetView>
  </sheetViews>
  <sheetFormatPr baseColWidth="10" defaultColWidth="10.77734375" defaultRowHeight="14.4"/>
  <cols>
    <col min="1" max="2" width="10.77734375" style="63"/>
    <col min="3" max="3" width="10.33203125" style="63" bestFit="1" customWidth="1"/>
    <col min="4" max="5" width="10.77734375" style="63"/>
    <col min="6" max="6" width="13.6640625" style="63" bestFit="1" customWidth="1"/>
    <col min="7" max="16384" width="10.77734375" style="63"/>
  </cols>
  <sheetData>
    <row r="2" spans="1:4">
      <c r="A2" s="66"/>
      <c r="B2" s="66" t="s">
        <v>740</v>
      </c>
    </row>
    <row r="3" spans="1:4">
      <c r="A3" s="66" t="s">
        <v>638</v>
      </c>
      <c r="B3" s="66">
        <v>61125.286881761887</v>
      </c>
    </row>
    <row r="4" spans="1:4">
      <c r="A4" s="66" t="s">
        <v>726</v>
      </c>
      <c r="B4" s="66">
        <v>10755.440157541283</v>
      </c>
    </row>
    <row r="5" spans="1:4">
      <c r="A5" s="66" t="s">
        <v>739</v>
      </c>
      <c r="B5" s="66">
        <v>4239.1726674967376</v>
      </c>
    </row>
    <row r="6" spans="1:4">
      <c r="A6" s="66" t="s">
        <v>733</v>
      </c>
      <c r="B6" s="66">
        <v>2004.6638546981258</v>
      </c>
    </row>
    <row r="7" spans="1:4">
      <c r="A7" s="66" t="s">
        <v>644</v>
      </c>
      <c r="B7" s="66">
        <v>1312.3024735911702</v>
      </c>
    </row>
    <row r="8" spans="1:4">
      <c r="A8" s="66" t="s">
        <v>674</v>
      </c>
      <c r="B8" s="66">
        <v>1303.3292500050236</v>
      </c>
    </row>
    <row r="9" spans="1:4">
      <c r="A9" s="66" t="s">
        <v>556</v>
      </c>
      <c r="B9" s="66">
        <v>1249.7869390920775</v>
      </c>
    </row>
    <row r="10" spans="1:4">
      <c r="A10" s="66" t="s">
        <v>720</v>
      </c>
      <c r="B10" s="66">
        <v>334.81580073245527</v>
      </c>
    </row>
    <row r="11" spans="1:4">
      <c r="A11" s="66" t="s">
        <v>738</v>
      </c>
      <c r="B11" s="66">
        <v>154.26699999999997</v>
      </c>
    </row>
    <row r="12" spans="1:4">
      <c r="A12" s="66" t="s">
        <v>737</v>
      </c>
      <c r="B12" s="66">
        <v>151.65</v>
      </c>
    </row>
    <row r="13" spans="1:4">
      <c r="A13" s="66" t="s">
        <v>728</v>
      </c>
      <c r="B13" s="66">
        <v>45.105513255302178</v>
      </c>
    </row>
    <row r="14" spans="1:4">
      <c r="A14" s="66" t="s">
        <v>727</v>
      </c>
      <c r="B14" s="66">
        <v>44.809306565577998</v>
      </c>
    </row>
    <row r="15" spans="1:4">
      <c r="A15" s="66" t="s">
        <v>735</v>
      </c>
      <c r="B15" s="66">
        <v>38.956965565128002</v>
      </c>
      <c r="D15" s="185"/>
    </row>
    <row r="16" spans="1:4">
      <c r="A16" s="66" t="s">
        <v>736</v>
      </c>
      <c r="B16" s="66">
        <v>36.482436690182979</v>
      </c>
    </row>
    <row r="17" spans="1:2">
      <c r="A17" s="66" t="s">
        <v>734</v>
      </c>
      <c r="B17" s="66">
        <v>34.383656276797232</v>
      </c>
    </row>
    <row r="18" spans="1:2">
      <c r="A18" s="66" t="s">
        <v>721</v>
      </c>
      <c r="B18" s="66">
        <v>22.037730329328259</v>
      </c>
    </row>
    <row r="19" spans="1:2">
      <c r="A19" s="66" t="s">
        <v>724</v>
      </c>
      <c r="B19" s="66">
        <v>20.507267588539648</v>
      </c>
    </row>
    <row r="20" spans="1:2">
      <c r="A20" s="66" t="s">
        <v>725</v>
      </c>
      <c r="B20" s="66">
        <v>12.450184692032208</v>
      </c>
    </row>
    <row r="21" spans="1:2">
      <c r="A21" s="66" t="s">
        <v>723</v>
      </c>
      <c r="B21" s="66">
        <v>7.1164000000000005</v>
      </c>
    </row>
    <row r="22" spans="1:2">
      <c r="A22" s="66" t="s">
        <v>636</v>
      </c>
      <c r="B22" s="66">
        <v>2.8879999999999999</v>
      </c>
    </row>
    <row r="23" spans="1:2">
      <c r="A23" s="66" t="s">
        <v>716</v>
      </c>
      <c r="B23" s="66">
        <v>1.2541335501096</v>
      </c>
    </row>
    <row r="24" spans="1:2">
      <c r="A24" s="66" t="s">
        <v>732</v>
      </c>
      <c r="B24" s="66">
        <v>0.77987000000000006</v>
      </c>
    </row>
    <row r="25" spans="1:2">
      <c r="A25" s="66" t="s">
        <v>731</v>
      </c>
      <c r="B25" s="66">
        <v>0.14860000000000001</v>
      </c>
    </row>
    <row r="26" spans="1:2">
      <c r="A26" s="66" t="s">
        <v>730</v>
      </c>
      <c r="B26" s="66">
        <v>2.0705287501900385E-2</v>
      </c>
    </row>
    <row r="27" spans="1:2">
      <c r="A27" s="66" t="s">
        <v>729</v>
      </c>
      <c r="B27" s="66">
        <v>2.9395619370000004E-3</v>
      </c>
    </row>
    <row r="28" spans="1:2">
      <c r="A28" s="66" t="s">
        <v>722</v>
      </c>
      <c r="B28" s="66">
        <v>1.4709055140000003E-3</v>
      </c>
    </row>
    <row r="29" spans="1:2">
      <c r="A29"/>
    </row>
    <row r="30" spans="1:2">
      <c r="A30"/>
    </row>
    <row r="31" spans="1:2">
      <c r="A31"/>
    </row>
    <row r="32" spans="1:2">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40C43-7A02-374E-96AE-9C418392B91C}">
  <dimension ref="A1:DF54"/>
  <sheetViews>
    <sheetView zoomScale="107" zoomScaleNormal="100" workbookViewId="0">
      <pane xSplit="2" ySplit="5" topLeftCell="C6" activePane="bottomRight" state="frozen"/>
      <selection activeCell="A4" sqref="A4"/>
      <selection pane="topRight" activeCell="A4" sqref="A4"/>
      <selection pane="bottomLeft" activeCell="A4" sqref="A4"/>
      <selection pane="bottomRight" sqref="A1:C1"/>
    </sheetView>
  </sheetViews>
  <sheetFormatPr baseColWidth="10" defaultColWidth="10.77734375" defaultRowHeight="14.4"/>
  <cols>
    <col min="1" max="1" width="10.77734375" style="63"/>
    <col min="2" max="2" width="18.6640625" style="63" bestFit="1" customWidth="1"/>
    <col min="3" max="5" width="18.6640625" style="63" customWidth="1"/>
    <col min="6" max="27" width="10.77734375" style="63"/>
    <col min="28" max="28" width="13.109375" style="63" bestFit="1" customWidth="1"/>
    <col min="29" max="37" width="10.77734375" style="63"/>
    <col min="38" max="39" width="13.109375" style="63" bestFit="1" customWidth="1"/>
    <col min="40" max="16384" width="10.77734375" style="63"/>
  </cols>
  <sheetData>
    <row r="1" spans="1:110" ht="28.8">
      <c r="A1" s="346" t="s">
        <v>752</v>
      </c>
      <c r="B1" s="346"/>
      <c r="C1" s="346"/>
      <c r="D1" s="158"/>
      <c r="E1" s="158"/>
      <c r="F1" s="158"/>
      <c r="G1" s="158"/>
      <c r="H1" s="158"/>
      <c r="I1" s="158"/>
      <c r="J1" s="158"/>
      <c r="K1" s="158"/>
    </row>
    <row r="3" spans="1:110">
      <c r="A3" s="63" t="s">
        <v>703</v>
      </c>
    </row>
    <row r="4" spans="1:110">
      <c r="E4" s="157"/>
      <c r="F4" s="157"/>
      <c r="G4" s="157"/>
      <c r="H4" s="157"/>
      <c r="I4" s="157"/>
      <c r="J4" s="157"/>
      <c r="K4" s="157"/>
      <c r="L4" s="157"/>
      <c r="M4" s="157"/>
      <c r="N4" s="157"/>
      <c r="O4" s="157"/>
      <c r="P4" s="157"/>
      <c r="Q4" s="157"/>
      <c r="R4" s="157"/>
      <c r="S4" s="157"/>
      <c r="T4" s="157"/>
      <c r="U4" s="157"/>
      <c r="V4" s="157"/>
      <c r="W4" s="157"/>
      <c r="X4" s="157"/>
      <c r="Y4" s="157"/>
      <c r="Z4" s="157"/>
      <c r="AA4" s="157"/>
      <c r="AB4" s="157"/>
      <c r="AC4" s="157"/>
      <c r="AD4" s="157"/>
      <c r="AE4" s="157"/>
      <c r="AF4" s="157"/>
      <c r="AG4" s="157"/>
      <c r="AH4" s="157"/>
      <c r="AI4" s="157"/>
      <c r="AJ4" s="157"/>
      <c r="AK4" s="157"/>
      <c r="AL4" s="157"/>
      <c r="AM4" s="157"/>
      <c r="AN4" s="157"/>
      <c r="AO4" s="157"/>
      <c r="AP4" s="157"/>
      <c r="AQ4" s="157"/>
      <c r="AR4" s="157"/>
      <c r="AS4" s="157"/>
      <c r="AT4" s="157"/>
      <c r="AU4" s="157"/>
      <c r="AV4" s="157"/>
      <c r="AW4" s="157"/>
      <c r="AX4" s="157"/>
      <c r="AY4" s="157"/>
      <c r="AZ4" s="157"/>
      <c r="BA4" s="157"/>
      <c r="BB4" s="157"/>
      <c r="BC4" s="157"/>
      <c r="BD4" s="157"/>
      <c r="BE4" s="157"/>
      <c r="BF4" s="157"/>
      <c r="BG4" s="157"/>
      <c r="BH4" s="157"/>
      <c r="BI4" s="157"/>
      <c r="BJ4" s="157"/>
      <c r="BK4" s="157"/>
      <c r="BL4" s="157"/>
      <c r="BM4" s="157"/>
      <c r="BN4" s="157"/>
      <c r="BO4" s="157"/>
      <c r="BP4" s="157"/>
      <c r="BQ4" s="157"/>
      <c r="BR4" s="157"/>
      <c r="BS4" s="157"/>
      <c r="BT4" s="157"/>
      <c r="BU4" s="157"/>
      <c r="BV4" s="157"/>
      <c r="BW4" s="157"/>
      <c r="BX4" s="157"/>
      <c r="BY4" s="157"/>
    </row>
    <row r="5" spans="1:110">
      <c r="A5" s="156"/>
      <c r="B5" s="76" t="s">
        <v>537</v>
      </c>
      <c r="C5" s="76" t="s">
        <v>702</v>
      </c>
      <c r="D5" s="76" t="s">
        <v>701</v>
      </c>
      <c r="E5" s="76" t="s">
        <v>700</v>
      </c>
      <c r="F5" s="150" t="s">
        <v>692</v>
      </c>
      <c r="G5" s="149" t="s">
        <v>690</v>
      </c>
      <c r="H5" s="150" t="s">
        <v>689</v>
      </c>
      <c r="I5" s="149" t="s">
        <v>699</v>
      </c>
      <c r="J5" s="150" t="s">
        <v>685</v>
      </c>
      <c r="K5" s="149" t="s">
        <v>683</v>
      </c>
      <c r="L5" s="150" t="s">
        <v>681</v>
      </c>
      <c r="M5" s="149" t="s">
        <v>698</v>
      </c>
      <c r="N5" s="150" t="s">
        <v>677</v>
      </c>
      <c r="O5" s="149" t="s">
        <v>697</v>
      </c>
      <c r="P5" s="150" t="s">
        <v>673</v>
      </c>
      <c r="Q5" s="149" t="s">
        <v>671</v>
      </c>
      <c r="R5" s="150" t="s">
        <v>669</v>
      </c>
      <c r="S5" s="149" t="s">
        <v>667</v>
      </c>
      <c r="T5" s="153" t="s">
        <v>665</v>
      </c>
      <c r="U5" s="149" t="s">
        <v>664</v>
      </c>
      <c r="V5" s="153" t="s">
        <v>662</v>
      </c>
      <c r="W5" s="151" t="s">
        <v>660</v>
      </c>
      <c r="X5" s="148" t="s">
        <v>696</v>
      </c>
      <c r="Y5" s="151" t="s">
        <v>656</v>
      </c>
      <c r="Z5" s="148" t="s">
        <v>654</v>
      </c>
      <c r="AA5" s="155" t="s">
        <v>652</v>
      </c>
      <c r="AB5" s="154" t="s">
        <v>650</v>
      </c>
      <c r="AC5" s="151" t="s">
        <v>648</v>
      </c>
      <c r="AD5" s="148" t="s">
        <v>646</v>
      </c>
      <c r="AE5" s="151" t="s">
        <v>645</v>
      </c>
      <c r="AF5" s="148" t="s">
        <v>643</v>
      </c>
      <c r="AG5" s="151" t="s">
        <v>641</v>
      </c>
      <c r="AH5" s="153" t="s">
        <v>639</v>
      </c>
      <c r="AI5" s="151" t="s">
        <v>637</v>
      </c>
      <c r="AJ5" s="153" t="s">
        <v>635</v>
      </c>
      <c r="AK5" s="151" t="s">
        <v>633</v>
      </c>
      <c r="AL5" s="153" t="s">
        <v>631</v>
      </c>
      <c r="AM5" s="152" t="s">
        <v>629</v>
      </c>
      <c r="AN5" s="153" t="s">
        <v>627</v>
      </c>
      <c r="AO5" s="151" t="s">
        <v>625</v>
      </c>
      <c r="AP5" s="150" t="s">
        <v>623</v>
      </c>
      <c r="AQ5" s="149" t="s">
        <v>621</v>
      </c>
      <c r="AR5" s="148" t="s">
        <v>619</v>
      </c>
      <c r="AS5" s="149" t="s">
        <v>617</v>
      </c>
      <c r="AT5" s="148" t="s">
        <v>615</v>
      </c>
      <c r="AU5" s="151" t="s">
        <v>613</v>
      </c>
      <c r="AV5" s="150" t="s">
        <v>611</v>
      </c>
      <c r="AW5" s="149" t="s">
        <v>609</v>
      </c>
      <c r="AX5" s="150" t="s">
        <v>607</v>
      </c>
      <c r="AY5" s="149" t="s">
        <v>605</v>
      </c>
      <c r="AZ5" s="148" t="s">
        <v>603</v>
      </c>
      <c r="BA5" s="149" t="s">
        <v>601</v>
      </c>
      <c r="BB5" s="153" t="s">
        <v>599</v>
      </c>
      <c r="BC5" s="149" t="s">
        <v>597</v>
      </c>
      <c r="BD5" s="148" t="s">
        <v>595</v>
      </c>
      <c r="BE5" s="149" t="s">
        <v>593</v>
      </c>
      <c r="BF5" s="150" t="s">
        <v>591</v>
      </c>
      <c r="BG5" s="151" t="s">
        <v>589</v>
      </c>
      <c r="BH5" s="148" t="s">
        <v>587</v>
      </c>
      <c r="BI5" s="149" t="s">
        <v>585</v>
      </c>
      <c r="BJ5" s="150" t="s">
        <v>583</v>
      </c>
      <c r="BK5" s="149" t="s">
        <v>581</v>
      </c>
      <c r="BL5" s="153" t="s">
        <v>579</v>
      </c>
      <c r="BM5" s="151" t="s">
        <v>577</v>
      </c>
      <c r="BN5" s="153" t="s">
        <v>575</v>
      </c>
      <c r="BO5" s="152" t="s">
        <v>573</v>
      </c>
      <c r="BP5" s="150" t="s">
        <v>571</v>
      </c>
      <c r="BQ5" s="149" t="s">
        <v>569</v>
      </c>
      <c r="BR5" s="150" t="s">
        <v>567</v>
      </c>
      <c r="BS5" s="149" t="s">
        <v>565</v>
      </c>
      <c r="BT5" s="148" t="s">
        <v>563</v>
      </c>
      <c r="BU5" s="151" t="s">
        <v>561</v>
      </c>
      <c r="BV5" s="148" t="s">
        <v>559</v>
      </c>
      <c r="BW5" s="151" t="s">
        <v>557</v>
      </c>
      <c r="BX5" s="150" t="s">
        <v>555</v>
      </c>
      <c r="BY5" s="149" t="s">
        <v>553</v>
      </c>
      <c r="BZ5" s="148" t="s">
        <v>551</v>
      </c>
      <c r="CA5" s="151" t="s">
        <v>717</v>
      </c>
      <c r="CB5" s="148" t="s">
        <v>715</v>
      </c>
      <c r="CC5" s="80"/>
      <c r="CD5" s="80"/>
      <c r="CE5" s="80"/>
      <c r="CF5" s="80"/>
      <c r="CG5" s="80"/>
      <c r="CH5" s="80"/>
      <c r="CI5" s="80"/>
      <c r="CJ5" s="80"/>
      <c r="CK5" s="80"/>
      <c r="CL5" s="80"/>
      <c r="CM5" s="80"/>
      <c r="CN5" s="80"/>
      <c r="CO5" s="80"/>
      <c r="CP5" s="80"/>
      <c r="CQ5" s="80"/>
      <c r="CR5" s="80"/>
      <c r="CS5" s="80"/>
      <c r="CT5" s="80"/>
      <c r="CU5" s="80"/>
      <c r="CV5" s="80"/>
      <c r="CW5" s="80"/>
      <c r="CX5" s="80"/>
      <c r="CY5" s="80"/>
      <c r="CZ5" s="80"/>
      <c r="DA5" s="80"/>
      <c r="DB5" s="80"/>
      <c r="DC5" s="80"/>
      <c r="DD5" s="80"/>
      <c r="DE5" s="80"/>
      <c r="DF5" s="80"/>
    </row>
    <row r="6" spans="1:110">
      <c r="A6" s="143"/>
      <c r="B6" s="68" t="s">
        <v>527</v>
      </c>
      <c r="C6" s="75">
        <v>5.12</v>
      </c>
      <c r="D6" s="142">
        <f t="shared" ref="D6:D37" si="0">SUM(E6:CV6)</f>
        <v>5.12</v>
      </c>
      <c r="E6" s="147">
        <v>0.08</v>
      </c>
      <c r="F6" s="140"/>
      <c r="G6" s="139"/>
      <c r="H6" s="140"/>
      <c r="I6" s="139"/>
      <c r="J6" s="140"/>
      <c r="K6" s="139"/>
      <c r="L6" s="140"/>
      <c r="M6" s="139"/>
      <c r="N6" s="140"/>
      <c r="O6" s="139"/>
      <c r="P6" s="140">
        <v>0.86</v>
      </c>
      <c r="Q6" s="139"/>
      <c r="R6" s="140">
        <f>0.48+0.04</f>
        <v>0.52</v>
      </c>
      <c r="S6" s="139"/>
      <c r="T6" s="140">
        <v>3.59</v>
      </c>
      <c r="U6" s="139">
        <v>7.0000000000000007E-2</v>
      </c>
      <c r="V6" s="138"/>
      <c r="W6" s="66"/>
      <c r="X6" s="138"/>
      <c r="Y6" s="66"/>
      <c r="Z6" s="138"/>
      <c r="AA6" s="66"/>
      <c r="AB6" s="138"/>
      <c r="AC6" s="66"/>
      <c r="AD6" s="138"/>
      <c r="AE6" s="66"/>
      <c r="AF6" s="138"/>
      <c r="AG6" s="66"/>
      <c r="AH6" s="138"/>
      <c r="AI6" s="66"/>
      <c r="AJ6" s="138"/>
      <c r="AK6" s="66"/>
      <c r="AL6" s="138"/>
      <c r="AM6" s="66"/>
      <c r="AN6" s="138"/>
      <c r="AO6" s="66"/>
      <c r="AP6" s="138"/>
      <c r="AQ6" s="66"/>
      <c r="AR6" s="138"/>
      <c r="AS6" s="66"/>
      <c r="AT6" s="138"/>
      <c r="AU6" s="66"/>
      <c r="AV6" s="138"/>
      <c r="AW6" s="66"/>
      <c r="AX6" s="138"/>
      <c r="AY6" s="66"/>
      <c r="AZ6" s="138"/>
      <c r="BA6" s="66"/>
      <c r="BB6" s="138"/>
      <c r="BC6" s="66"/>
      <c r="BD6" s="138"/>
      <c r="BE6" s="66"/>
      <c r="BF6" s="138"/>
      <c r="BG6" s="66"/>
      <c r="BH6" s="138"/>
      <c r="BI6" s="66"/>
      <c r="BJ6" s="138"/>
      <c r="BK6" s="66"/>
      <c r="BL6" s="138"/>
      <c r="BM6" s="66"/>
      <c r="BN6" s="138"/>
      <c r="BO6" s="66"/>
      <c r="BP6" s="138"/>
      <c r="BQ6" s="66"/>
      <c r="BR6" s="138"/>
      <c r="BS6" s="66"/>
      <c r="BT6" s="138"/>
      <c r="BU6" s="66"/>
      <c r="BV6" s="138"/>
      <c r="BW6" s="66"/>
      <c r="BX6" s="138"/>
      <c r="BY6" s="66"/>
      <c r="BZ6" s="138"/>
      <c r="CA6" s="66"/>
      <c r="CB6" s="138"/>
    </row>
    <row r="7" spans="1:110">
      <c r="A7" s="143"/>
      <c r="B7" s="68" t="s">
        <v>523</v>
      </c>
      <c r="C7" s="74">
        <v>18.97</v>
      </c>
      <c r="D7" s="142">
        <f t="shared" si="0"/>
        <v>18.979999999999997</v>
      </c>
      <c r="E7" s="141"/>
      <c r="F7" s="140"/>
      <c r="G7" s="139"/>
      <c r="H7" s="140"/>
      <c r="I7" s="139"/>
      <c r="J7" s="140"/>
      <c r="K7" s="139"/>
      <c r="L7" s="140"/>
      <c r="M7" s="139"/>
      <c r="N7" s="140"/>
      <c r="O7" s="139"/>
      <c r="P7" s="140">
        <v>2.13</v>
      </c>
      <c r="Q7" s="139"/>
      <c r="R7" s="140">
        <f>1.48+0.14</f>
        <v>1.62</v>
      </c>
      <c r="S7" s="139"/>
      <c r="T7" s="140">
        <v>14.44</v>
      </c>
      <c r="U7" s="139">
        <v>0.43</v>
      </c>
      <c r="V7" s="138">
        <f>0.14+0.22</f>
        <v>0.36</v>
      </c>
      <c r="W7" s="66"/>
      <c r="X7" s="138"/>
      <c r="Y7" s="66"/>
      <c r="Z7" s="138"/>
      <c r="AA7" s="66"/>
      <c r="AB7" s="138"/>
      <c r="AC7" s="66"/>
      <c r="AD7" s="138"/>
      <c r="AE7" s="66"/>
      <c r="AF7" s="138"/>
      <c r="AG7" s="66"/>
      <c r="AH7" s="138"/>
      <c r="AI7" s="66"/>
      <c r="AJ7" s="138"/>
      <c r="AK7" s="66"/>
      <c r="AL7" s="138"/>
      <c r="AM7" s="66"/>
      <c r="AN7" s="138"/>
      <c r="AO7" s="66"/>
      <c r="AP7" s="138"/>
      <c r="AQ7" s="66"/>
      <c r="AR7" s="138"/>
      <c r="AS7" s="66"/>
      <c r="AT7" s="138"/>
      <c r="AU7" s="66"/>
      <c r="AV7" s="138"/>
      <c r="AW7" s="66"/>
      <c r="AX7" s="138"/>
      <c r="AY7" s="66"/>
      <c r="AZ7" s="138"/>
      <c r="BA7" s="66"/>
      <c r="BB7" s="138"/>
      <c r="BC7" s="66"/>
      <c r="BD7" s="138"/>
      <c r="BE7" s="66"/>
      <c r="BF7" s="138"/>
      <c r="BG7" s="66"/>
      <c r="BH7" s="138"/>
      <c r="BI7" s="66"/>
      <c r="BJ7" s="138"/>
      <c r="BK7" s="66"/>
      <c r="BL7" s="138"/>
      <c r="BM7" s="66"/>
      <c r="BN7" s="138"/>
      <c r="BO7" s="66"/>
      <c r="BP7" s="138"/>
      <c r="BQ7" s="66"/>
      <c r="BR7" s="138"/>
      <c r="BS7" s="66"/>
      <c r="BT7" s="138"/>
      <c r="BU7" s="66"/>
      <c r="BV7" s="138"/>
      <c r="BW7" s="66"/>
      <c r="BX7" s="138"/>
      <c r="BY7" s="66"/>
      <c r="BZ7" s="138"/>
      <c r="CA7" s="66"/>
      <c r="CB7" s="138"/>
    </row>
    <row r="8" spans="1:110">
      <c r="A8" s="143"/>
      <c r="B8" s="68" t="s">
        <v>519</v>
      </c>
      <c r="C8" s="67">
        <v>40.96</v>
      </c>
      <c r="D8" s="142">
        <f t="shared" si="0"/>
        <v>40.959999999999994</v>
      </c>
      <c r="E8" s="141">
        <v>0.77</v>
      </c>
      <c r="F8" s="140"/>
      <c r="G8" s="139"/>
      <c r="H8" s="140"/>
      <c r="I8" s="139"/>
      <c r="J8" s="140"/>
      <c r="K8" s="139"/>
      <c r="L8" s="140"/>
      <c r="M8" s="139"/>
      <c r="N8" s="140"/>
      <c r="O8" s="139"/>
      <c r="P8" s="140">
        <v>3.09</v>
      </c>
      <c r="Q8" s="139"/>
      <c r="R8" s="140">
        <f>14.12+0.15</f>
        <v>14.27</v>
      </c>
      <c r="S8" s="139"/>
      <c r="T8" s="140">
        <v>22.58</v>
      </c>
      <c r="U8" s="139">
        <v>0.25</v>
      </c>
      <c r="V8" s="138"/>
      <c r="W8" s="66"/>
      <c r="X8" s="138"/>
      <c r="Y8" s="66"/>
      <c r="Z8" s="138"/>
      <c r="AA8" s="66"/>
      <c r="AB8" s="138"/>
      <c r="AC8" s="66"/>
      <c r="AD8" s="138"/>
      <c r="AE8" s="66"/>
      <c r="AF8" s="138"/>
      <c r="AG8" s="66"/>
      <c r="AH8" s="138"/>
      <c r="AI8" s="66"/>
      <c r="AJ8" s="138"/>
      <c r="AK8" s="66"/>
      <c r="AL8" s="138"/>
      <c r="AM8" s="66"/>
      <c r="AN8" s="138"/>
      <c r="AO8" s="66"/>
      <c r="AP8" s="138"/>
      <c r="AQ8" s="66"/>
      <c r="AR8" s="138"/>
      <c r="AS8" s="66"/>
      <c r="AT8" s="138"/>
      <c r="AU8" s="66"/>
      <c r="AV8" s="138"/>
      <c r="AW8" s="66"/>
      <c r="AX8" s="138"/>
      <c r="AY8" s="66"/>
      <c r="AZ8" s="138"/>
      <c r="BA8" s="66"/>
      <c r="BB8" s="138"/>
      <c r="BC8" s="66"/>
      <c r="BD8" s="138"/>
      <c r="BE8" s="66"/>
      <c r="BF8" s="138"/>
      <c r="BG8" s="66"/>
      <c r="BH8" s="138"/>
      <c r="BI8" s="66"/>
      <c r="BJ8" s="138"/>
      <c r="BK8" s="66"/>
      <c r="BL8" s="138"/>
      <c r="BM8" s="66"/>
      <c r="BN8" s="138"/>
      <c r="BO8" s="66"/>
      <c r="BP8" s="138"/>
      <c r="BQ8" s="66"/>
      <c r="BR8" s="138"/>
      <c r="BS8" s="66"/>
      <c r="BT8" s="138"/>
      <c r="BU8" s="66"/>
      <c r="BV8" s="138"/>
      <c r="BW8" s="66"/>
      <c r="BX8" s="138"/>
      <c r="BY8" s="66"/>
      <c r="BZ8" s="138"/>
      <c r="CA8" s="66"/>
      <c r="CB8" s="138"/>
    </row>
    <row r="9" spans="1:110">
      <c r="A9" s="143"/>
      <c r="B9" s="68" t="s">
        <v>515</v>
      </c>
      <c r="C9" s="67">
        <v>47.52</v>
      </c>
      <c r="D9" s="142">
        <f t="shared" si="0"/>
        <v>47.53</v>
      </c>
      <c r="E9" s="141"/>
      <c r="F9" s="140"/>
      <c r="G9" s="139"/>
      <c r="H9" s="140"/>
      <c r="I9" s="139"/>
      <c r="J9" s="140"/>
      <c r="K9" s="139"/>
      <c r="L9" s="140"/>
      <c r="M9" s="139"/>
      <c r="N9" s="140"/>
      <c r="O9" s="139"/>
      <c r="P9" s="140">
        <v>1.93</v>
      </c>
      <c r="Q9" s="139"/>
      <c r="R9" s="140">
        <f>4.47+0.2</f>
        <v>4.67</v>
      </c>
      <c r="S9" s="139"/>
      <c r="T9" s="140"/>
      <c r="U9" s="139">
        <v>0.63</v>
      </c>
      <c r="V9" s="138">
        <f>0.42+0.21</f>
        <v>0.63</v>
      </c>
      <c r="W9" s="66">
        <v>39.67</v>
      </c>
      <c r="X9" s="138"/>
      <c r="Y9" s="66"/>
      <c r="Z9" s="138"/>
      <c r="AA9" s="66"/>
      <c r="AB9" s="138"/>
      <c r="AC9" s="66"/>
      <c r="AD9" s="138"/>
      <c r="AE9" s="66"/>
      <c r="AF9" s="138"/>
      <c r="AG9" s="66"/>
      <c r="AH9" s="138"/>
      <c r="AI9" s="66"/>
      <c r="AJ9" s="138"/>
      <c r="AK9" s="66"/>
      <c r="AL9" s="138"/>
      <c r="AM9" s="66"/>
      <c r="AN9" s="138"/>
      <c r="AO9" s="66"/>
      <c r="AP9" s="138"/>
      <c r="AQ9" s="66"/>
      <c r="AR9" s="138"/>
      <c r="AS9" s="66"/>
      <c r="AT9" s="138"/>
      <c r="AU9" s="66"/>
      <c r="AV9" s="138"/>
      <c r="AW9" s="66"/>
      <c r="AX9" s="138"/>
      <c r="AY9" s="66"/>
      <c r="AZ9" s="138"/>
      <c r="BA9" s="66"/>
      <c r="BB9" s="138"/>
      <c r="BC9" s="66"/>
      <c r="BD9" s="138"/>
      <c r="BE9" s="66"/>
      <c r="BF9" s="138"/>
      <c r="BG9" s="66"/>
      <c r="BH9" s="138"/>
      <c r="BI9" s="66"/>
      <c r="BJ9" s="138"/>
      <c r="BK9" s="66"/>
      <c r="BL9" s="138"/>
      <c r="BM9" s="66"/>
      <c r="BN9" s="138"/>
      <c r="BO9" s="66"/>
      <c r="BP9" s="138"/>
      <c r="BQ9" s="66"/>
      <c r="BR9" s="138"/>
      <c r="BS9" s="66"/>
      <c r="BT9" s="138"/>
      <c r="BU9" s="66"/>
      <c r="BV9" s="138"/>
      <c r="BW9" s="66"/>
      <c r="BX9" s="138"/>
      <c r="BY9" s="66"/>
      <c r="BZ9" s="138"/>
      <c r="CA9" s="66"/>
      <c r="CB9" s="138"/>
    </row>
    <row r="10" spans="1:110">
      <c r="A10" s="143"/>
      <c r="B10" s="68" t="s">
        <v>512</v>
      </c>
      <c r="C10" s="67">
        <v>18.97</v>
      </c>
      <c r="D10" s="142">
        <f t="shared" si="0"/>
        <v>18.98</v>
      </c>
      <c r="E10" s="141"/>
      <c r="F10" s="140"/>
      <c r="G10" s="139"/>
      <c r="H10" s="140"/>
      <c r="I10" s="139"/>
      <c r="J10" s="140"/>
      <c r="K10" s="139"/>
      <c r="L10" s="140"/>
      <c r="M10" s="139"/>
      <c r="N10" s="140"/>
      <c r="O10" s="139"/>
      <c r="P10" s="140">
        <v>2.13</v>
      </c>
      <c r="Q10" s="139"/>
      <c r="R10" s="140">
        <f>1.48+0.14</f>
        <v>1.62</v>
      </c>
      <c r="S10" s="139"/>
      <c r="T10" s="140"/>
      <c r="U10" s="139">
        <v>0.43</v>
      </c>
      <c r="V10" s="138">
        <f>0.14+0.22</f>
        <v>0.36</v>
      </c>
      <c r="W10" s="66">
        <v>14.44</v>
      </c>
      <c r="X10" s="138"/>
      <c r="Y10" s="66"/>
      <c r="Z10" s="138"/>
      <c r="AA10" s="66"/>
      <c r="AB10" s="138"/>
      <c r="AC10" s="66"/>
      <c r="AD10" s="138"/>
      <c r="AE10" s="66"/>
      <c r="AF10" s="138"/>
      <c r="AG10" s="66"/>
      <c r="AH10" s="138"/>
      <c r="AI10" s="66"/>
      <c r="AJ10" s="138"/>
      <c r="AK10" s="66"/>
      <c r="AL10" s="138"/>
      <c r="AM10" s="66"/>
      <c r="AN10" s="138"/>
      <c r="AO10" s="66"/>
      <c r="AP10" s="138"/>
      <c r="AQ10" s="66"/>
      <c r="AR10" s="138"/>
      <c r="AS10" s="66"/>
      <c r="AT10" s="138"/>
      <c r="AU10" s="66"/>
      <c r="AV10" s="138"/>
      <c r="AW10" s="66"/>
      <c r="AX10" s="138"/>
      <c r="AY10" s="66"/>
      <c r="AZ10" s="138"/>
      <c r="BA10" s="66"/>
      <c r="BB10" s="138"/>
      <c r="BC10" s="66"/>
      <c r="BD10" s="138"/>
      <c r="BE10" s="66"/>
      <c r="BF10" s="138"/>
      <c r="BG10" s="66"/>
      <c r="BH10" s="138"/>
      <c r="BI10" s="66"/>
      <c r="BJ10" s="138"/>
      <c r="BK10" s="66"/>
      <c r="BL10" s="138"/>
      <c r="BM10" s="66"/>
      <c r="BN10" s="138"/>
      <c r="BO10" s="66"/>
      <c r="BP10" s="138"/>
      <c r="BQ10" s="66"/>
      <c r="BR10" s="138"/>
      <c r="BS10" s="66"/>
      <c r="BT10" s="138"/>
      <c r="BU10" s="66"/>
      <c r="BV10" s="138"/>
      <c r="BW10" s="66"/>
      <c r="BX10" s="138"/>
      <c r="BY10" s="66"/>
      <c r="BZ10" s="138"/>
      <c r="CA10" s="66"/>
      <c r="CB10" s="138"/>
    </row>
    <row r="11" spans="1:110">
      <c r="A11" s="143"/>
      <c r="B11" s="68" t="s">
        <v>508</v>
      </c>
      <c r="C11" s="67">
        <v>6</v>
      </c>
      <c r="D11" s="142">
        <f t="shared" si="0"/>
        <v>6.0000000000000009</v>
      </c>
      <c r="E11" s="141"/>
      <c r="F11" s="140"/>
      <c r="G11" s="139"/>
      <c r="H11" s="140"/>
      <c r="I11" s="139"/>
      <c r="J11" s="140"/>
      <c r="K11" s="139"/>
      <c r="L11" s="140"/>
      <c r="M11" s="139"/>
      <c r="N11" s="140"/>
      <c r="O11" s="139"/>
      <c r="P11" s="140">
        <v>0.22500000000000001</v>
      </c>
      <c r="Q11" s="139"/>
      <c r="R11" s="140">
        <f>0.44+0.128</f>
        <v>0.56800000000000006</v>
      </c>
      <c r="S11" s="139"/>
      <c r="T11" s="140">
        <v>1.29</v>
      </c>
      <c r="U11" s="139">
        <v>0.192</v>
      </c>
      <c r="V11" s="138"/>
      <c r="W11" s="66"/>
      <c r="X11" s="138">
        <v>0.57999999999999996</v>
      </c>
      <c r="Y11" s="66">
        <v>3.14</v>
      </c>
      <c r="Z11" s="138"/>
      <c r="AA11" s="66"/>
      <c r="AB11" s="138"/>
      <c r="AC11" s="66"/>
      <c r="AD11" s="138"/>
      <c r="AE11" s="66"/>
      <c r="AF11" s="138"/>
      <c r="AG11" s="66"/>
      <c r="AH11" s="138"/>
      <c r="AI11" s="66"/>
      <c r="AJ11" s="138"/>
      <c r="AK11" s="66"/>
      <c r="AL11" s="138"/>
      <c r="AM11" s="66"/>
      <c r="AN11" s="138"/>
      <c r="AO11" s="66"/>
      <c r="AP11" s="138"/>
      <c r="AQ11" s="66"/>
      <c r="AR11" s="138"/>
      <c r="AS11" s="66"/>
      <c r="AT11" s="138"/>
      <c r="AU11" s="66"/>
      <c r="AV11" s="138"/>
      <c r="AW11" s="66"/>
      <c r="AX11" s="138"/>
      <c r="AY11" s="66"/>
      <c r="AZ11" s="138"/>
      <c r="BA11" s="66"/>
      <c r="BB11" s="138"/>
      <c r="BC11" s="66"/>
      <c r="BD11" s="138"/>
      <c r="BE11" s="66"/>
      <c r="BF11" s="138"/>
      <c r="BG11" s="66">
        <v>5.0000000000000001E-3</v>
      </c>
      <c r="BH11" s="138"/>
      <c r="BI11" s="66"/>
      <c r="BJ11" s="138"/>
      <c r="BK11" s="66"/>
      <c r="BL11" s="138"/>
      <c r="BM11" s="66"/>
      <c r="BN11" s="138"/>
      <c r="BO11" s="66"/>
      <c r="BP11" s="138"/>
      <c r="BQ11" s="66"/>
      <c r="BR11" s="138"/>
      <c r="BS11" s="66"/>
      <c r="BT11" s="138"/>
      <c r="BU11" s="66"/>
      <c r="BV11" s="138"/>
      <c r="BW11" s="66"/>
      <c r="BX11" s="138"/>
      <c r="BY11" s="66"/>
      <c r="BZ11" s="138"/>
      <c r="CA11" s="66"/>
      <c r="CB11" s="138"/>
    </row>
    <row r="12" spans="1:110">
      <c r="A12" s="143"/>
      <c r="B12" s="68" t="s">
        <v>503</v>
      </c>
      <c r="C12" s="67">
        <v>12</v>
      </c>
      <c r="D12" s="142">
        <f t="shared" si="0"/>
        <v>12</v>
      </c>
      <c r="E12" s="141"/>
      <c r="F12" s="140"/>
      <c r="G12" s="139"/>
      <c r="H12" s="140"/>
      <c r="I12" s="139"/>
      <c r="J12" s="140"/>
      <c r="K12" s="139"/>
      <c r="L12" s="140"/>
      <c r="M12" s="139"/>
      <c r="N12" s="140"/>
      <c r="O12" s="139"/>
      <c r="P12" s="140">
        <v>0.17</v>
      </c>
      <c r="Q12" s="139"/>
      <c r="R12" s="140">
        <f>1.19+0.28</f>
        <v>1.47</v>
      </c>
      <c r="S12" s="139"/>
      <c r="T12" s="140">
        <v>2.5569999999999999</v>
      </c>
      <c r="U12" s="139">
        <v>0.42</v>
      </c>
      <c r="V12" s="138"/>
      <c r="W12" s="66"/>
      <c r="X12" s="138">
        <v>1.1479999999999999</v>
      </c>
      <c r="Y12" s="66">
        <v>6.2350000000000003</v>
      </c>
      <c r="Z12" s="138"/>
      <c r="AA12" s="66"/>
      <c r="AB12" s="138"/>
      <c r="AC12" s="66"/>
      <c r="AD12" s="138"/>
      <c r="AE12" s="66"/>
      <c r="AF12" s="138"/>
      <c r="AG12" s="66"/>
      <c r="AH12" s="138"/>
      <c r="AI12" s="66"/>
      <c r="AJ12" s="138"/>
      <c r="AK12" s="66"/>
      <c r="AL12" s="138"/>
      <c r="AM12" s="66"/>
      <c r="AN12" s="138"/>
      <c r="AO12" s="66"/>
      <c r="AP12" s="138"/>
      <c r="AQ12" s="66"/>
      <c r="AR12" s="138"/>
      <c r="AS12" s="66"/>
      <c r="AT12" s="138"/>
      <c r="AU12" s="66"/>
      <c r="AV12" s="138"/>
      <c r="AW12" s="66"/>
      <c r="AX12" s="138"/>
      <c r="AY12" s="66"/>
      <c r="AZ12" s="138"/>
      <c r="BA12" s="66"/>
      <c r="BB12" s="138"/>
      <c r="BC12" s="66"/>
      <c r="BD12" s="138"/>
      <c r="BE12" s="66"/>
      <c r="BF12" s="138"/>
      <c r="BG12" s="66"/>
      <c r="BH12" s="138"/>
      <c r="BI12" s="66"/>
      <c r="BJ12" s="138"/>
      <c r="BK12" s="66"/>
      <c r="BL12" s="138"/>
      <c r="BM12" s="66"/>
      <c r="BN12" s="138"/>
      <c r="BO12" s="66"/>
      <c r="BP12" s="138"/>
      <c r="BQ12" s="66"/>
      <c r="BR12" s="138"/>
      <c r="BS12" s="66"/>
      <c r="BT12" s="138"/>
      <c r="BU12" s="66"/>
      <c r="BV12" s="138"/>
      <c r="BW12" s="66"/>
      <c r="BX12" s="138"/>
      <c r="BY12" s="66"/>
      <c r="BZ12" s="138"/>
      <c r="CA12" s="66"/>
      <c r="CB12" s="138"/>
    </row>
    <row r="13" spans="1:110">
      <c r="A13" s="143"/>
      <c r="B13" s="68" t="s">
        <v>499</v>
      </c>
      <c r="C13" s="67">
        <v>4.51</v>
      </c>
      <c r="D13" s="142">
        <f t="shared" si="0"/>
        <v>4.5</v>
      </c>
      <c r="E13" s="141"/>
      <c r="F13" s="140"/>
      <c r="G13" s="139"/>
      <c r="H13" s="140"/>
      <c r="I13" s="139"/>
      <c r="J13" s="140"/>
      <c r="K13" s="139"/>
      <c r="L13" s="140"/>
      <c r="M13" s="139"/>
      <c r="N13" s="140"/>
      <c r="O13" s="139"/>
      <c r="P13" s="140">
        <v>0.28000000000000003</v>
      </c>
      <c r="Q13" s="139"/>
      <c r="R13" s="140">
        <f>0.41+0.08</f>
        <v>0.49</v>
      </c>
      <c r="S13" s="139"/>
      <c r="T13" s="140"/>
      <c r="U13" s="139">
        <v>0.12</v>
      </c>
      <c r="V13" s="138">
        <v>0.55000000000000004</v>
      </c>
      <c r="W13" s="66"/>
      <c r="X13" s="138"/>
      <c r="Y13" s="66"/>
      <c r="Z13" s="138">
        <v>3.06</v>
      </c>
      <c r="AA13" s="66"/>
      <c r="AB13" s="138"/>
      <c r="AC13" s="66"/>
      <c r="AD13" s="138"/>
      <c r="AE13" s="66"/>
      <c r="AF13" s="138"/>
      <c r="AG13" s="66"/>
      <c r="AH13" s="138"/>
      <c r="AI13" s="66"/>
      <c r="AJ13" s="138"/>
      <c r="AK13" s="66"/>
      <c r="AL13" s="138"/>
      <c r="AM13" s="66"/>
      <c r="AN13" s="138"/>
      <c r="AO13" s="66"/>
      <c r="AP13" s="138"/>
      <c r="AQ13" s="66"/>
      <c r="AR13" s="138"/>
      <c r="AS13" s="66"/>
      <c r="AT13" s="138"/>
      <c r="AU13" s="66"/>
      <c r="AV13" s="138"/>
      <c r="AW13" s="66"/>
      <c r="AX13" s="138"/>
      <c r="AY13" s="66"/>
      <c r="AZ13" s="138"/>
      <c r="BA13" s="66"/>
      <c r="BB13" s="138"/>
      <c r="BC13" s="66"/>
      <c r="BD13" s="138"/>
      <c r="BE13" s="66"/>
      <c r="BF13" s="138"/>
      <c r="BG13" s="66"/>
      <c r="BH13" s="138"/>
      <c r="BI13" s="66"/>
      <c r="BJ13" s="138"/>
      <c r="BK13" s="66"/>
      <c r="BL13" s="138"/>
      <c r="BM13" s="66"/>
      <c r="BN13" s="138"/>
      <c r="BO13" s="66"/>
      <c r="BP13" s="138"/>
      <c r="BQ13" s="66"/>
      <c r="BR13" s="138"/>
      <c r="BS13" s="66"/>
      <c r="BT13" s="138"/>
      <c r="BU13" s="66"/>
      <c r="BV13" s="138"/>
      <c r="BW13" s="66"/>
      <c r="BX13" s="138"/>
      <c r="BY13" s="66"/>
      <c r="BZ13" s="138"/>
      <c r="CA13" s="66"/>
      <c r="CB13" s="138"/>
    </row>
    <row r="14" spans="1:110">
      <c r="A14" s="143"/>
      <c r="B14" s="68" t="s">
        <v>494</v>
      </c>
      <c r="C14" s="67">
        <v>6.01</v>
      </c>
      <c r="D14" s="142">
        <f t="shared" si="0"/>
        <v>6</v>
      </c>
      <c r="E14" s="141"/>
      <c r="F14" s="140"/>
      <c r="G14" s="139"/>
      <c r="H14" s="140"/>
      <c r="I14" s="139"/>
      <c r="J14" s="140"/>
      <c r="K14" s="139"/>
      <c r="L14" s="140"/>
      <c r="M14" s="139"/>
      <c r="N14" s="140"/>
      <c r="O14" s="139"/>
      <c r="P14" s="140">
        <v>0.32</v>
      </c>
      <c r="Q14" s="139"/>
      <c r="R14" s="140">
        <f>0.73+0.08</f>
        <v>0.80999999999999994</v>
      </c>
      <c r="S14" s="139"/>
      <c r="T14" s="140"/>
      <c r="U14" s="139">
        <v>0.26</v>
      </c>
      <c r="V14" s="138">
        <f>0.04+0.02</f>
        <v>0.06</v>
      </c>
      <c r="W14" s="66">
        <v>4.55</v>
      </c>
      <c r="X14" s="138"/>
      <c r="Y14" s="66"/>
      <c r="Z14" s="138"/>
      <c r="AA14" s="66"/>
      <c r="AB14" s="138"/>
      <c r="AC14" s="66"/>
      <c r="AD14" s="138"/>
      <c r="AE14" s="66"/>
      <c r="AF14" s="138"/>
      <c r="AG14" s="66"/>
      <c r="AH14" s="138"/>
      <c r="AI14" s="66"/>
      <c r="AJ14" s="138"/>
      <c r="AK14" s="66"/>
      <c r="AL14" s="138"/>
      <c r="AM14" s="66"/>
      <c r="AN14" s="138"/>
      <c r="AO14" s="66"/>
      <c r="AP14" s="138"/>
      <c r="AQ14" s="66"/>
      <c r="AR14" s="138"/>
      <c r="AS14" s="66"/>
      <c r="AT14" s="138"/>
      <c r="AU14" s="66"/>
      <c r="AV14" s="138"/>
      <c r="AW14" s="66"/>
      <c r="AX14" s="138"/>
      <c r="AY14" s="66"/>
      <c r="AZ14" s="138"/>
      <c r="BA14" s="66"/>
      <c r="BB14" s="138"/>
      <c r="BC14" s="66"/>
      <c r="BD14" s="138"/>
      <c r="BE14" s="66"/>
      <c r="BF14" s="138"/>
      <c r="BG14" s="66"/>
      <c r="BH14" s="138"/>
      <c r="BI14" s="66"/>
      <c r="BJ14" s="138"/>
      <c r="BK14" s="66"/>
      <c r="BL14" s="138"/>
      <c r="BM14" s="66"/>
      <c r="BN14" s="138"/>
      <c r="BO14" s="66"/>
      <c r="BP14" s="138"/>
      <c r="BQ14" s="66"/>
      <c r="BR14" s="138"/>
      <c r="BS14" s="66"/>
      <c r="BT14" s="138"/>
      <c r="BU14" s="66"/>
      <c r="BV14" s="138"/>
      <c r="BW14" s="66"/>
      <c r="BX14" s="138"/>
      <c r="BY14" s="66"/>
      <c r="BZ14" s="138"/>
      <c r="CA14" s="66"/>
      <c r="CB14" s="138"/>
    </row>
    <row r="15" spans="1:110">
      <c r="A15" s="143"/>
      <c r="B15" s="68" t="s">
        <v>489</v>
      </c>
      <c r="C15" s="67">
        <v>64</v>
      </c>
      <c r="D15" s="142">
        <f t="shared" si="0"/>
        <v>64</v>
      </c>
      <c r="E15" s="141"/>
      <c r="F15" s="140">
        <f>32.3*0.3</f>
        <v>9.69</v>
      </c>
      <c r="G15" s="66">
        <f>32.3*0.06</f>
        <v>1.9379999999999997</v>
      </c>
      <c r="H15" s="138">
        <f>32.3*0.06</f>
        <v>1.9379999999999997</v>
      </c>
      <c r="I15" s="139">
        <f>32.3*0.005</f>
        <v>0.16149999999999998</v>
      </c>
      <c r="J15" s="140">
        <f>26.6*0.0001</f>
        <v>2.6600000000000005E-3</v>
      </c>
      <c r="K15" s="139">
        <f>26.6*0.0003</f>
        <v>7.9799999999999992E-3</v>
      </c>
      <c r="L15" s="140">
        <f>26.6*0.0001</f>
        <v>2.6600000000000005E-3</v>
      </c>
      <c r="M15" s="139">
        <f>2.56*0.025</f>
        <v>6.4000000000000001E-2</v>
      </c>
      <c r="N15" s="140"/>
      <c r="O15" s="139">
        <f>1.9*0.95</f>
        <v>1.8049999999999999</v>
      </c>
      <c r="P15" s="140">
        <f>26.6*0.9995</f>
        <v>26.586700000000004</v>
      </c>
      <c r="Q15" s="139"/>
      <c r="R15" s="140">
        <f>1.9*0.01</f>
        <v>1.9E-2</v>
      </c>
      <c r="S15" s="139"/>
      <c r="T15" s="140"/>
      <c r="U15" s="139">
        <f>2.56*0.05+0.64</f>
        <v>0.76800000000000002</v>
      </c>
      <c r="V15" s="138"/>
      <c r="W15" s="66"/>
      <c r="X15" s="138"/>
      <c r="Y15" s="66"/>
      <c r="Z15" s="138"/>
      <c r="AA15" s="66">
        <f>1.9*0.04</f>
        <v>7.5999999999999998E-2</v>
      </c>
      <c r="AB15" s="138">
        <f>2.56*0.925</f>
        <v>2.3680000000000003</v>
      </c>
      <c r="AC15" s="66">
        <f>32.3*0.05</f>
        <v>1.615</v>
      </c>
      <c r="AD15" s="138">
        <f>32.3*0.525</f>
        <v>16.9575</v>
      </c>
      <c r="AE15" s="66"/>
      <c r="AF15" s="138"/>
      <c r="AG15" s="66"/>
      <c r="AH15" s="138"/>
      <c r="AI15" s="66"/>
      <c r="AJ15" s="138"/>
      <c r="AK15" s="66"/>
      <c r="AL15" s="138"/>
      <c r="AM15" s="66"/>
      <c r="AN15" s="138"/>
      <c r="AO15" s="66"/>
      <c r="AP15" s="138"/>
      <c r="AQ15" s="66"/>
      <c r="AR15" s="138"/>
      <c r="AS15" s="66"/>
      <c r="AT15" s="138"/>
      <c r="AU15" s="66"/>
      <c r="AV15" s="138"/>
      <c r="AW15" s="66"/>
      <c r="AX15" s="138"/>
      <c r="AY15" s="66"/>
      <c r="AZ15" s="138"/>
      <c r="BA15" s="66"/>
      <c r="BB15" s="138"/>
      <c r="BC15" s="66"/>
      <c r="BD15" s="138"/>
      <c r="BE15" s="66"/>
      <c r="BF15" s="138"/>
      <c r="BG15" s="66"/>
      <c r="BH15" s="138"/>
      <c r="BI15" s="66"/>
      <c r="BJ15" s="138"/>
      <c r="BK15" s="66"/>
      <c r="BL15" s="138"/>
      <c r="BM15" s="66"/>
      <c r="BN15" s="138"/>
      <c r="BO15" s="66"/>
      <c r="BP15" s="138"/>
      <c r="BQ15" s="66"/>
      <c r="BR15" s="138"/>
      <c r="BS15" s="66"/>
      <c r="BT15" s="138"/>
      <c r="BU15" s="66"/>
      <c r="BV15" s="138"/>
      <c r="BW15" s="66"/>
      <c r="BX15" s="138"/>
      <c r="BY15" s="66"/>
      <c r="BZ15" s="138"/>
      <c r="CA15" s="66"/>
      <c r="CB15" s="138"/>
    </row>
    <row r="16" spans="1:110">
      <c r="A16" s="143" t="s">
        <v>718</v>
      </c>
      <c r="B16" s="68" t="s">
        <v>483</v>
      </c>
      <c r="C16" s="67">
        <v>93</v>
      </c>
      <c r="D16" s="142">
        <f t="shared" si="0"/>
        <v>93</v>
      </c>
      <c r="E16" s="141"/>
      <c r="F16" s="140">
        <f t="shared" ref="F16:AK16" si="1">$C$16*F15/$C$15</f>
        <v>14.080781249999999</v>
      </c>
      <c r="G16" s="140">
        <f t="shared" si="1"/>
        <v>2.8161562499999997</v>
      </c>
      <c r="H16" s="140">
        <f t="shared" si="1"/>
        <v>2.8161562499999997</v>
      </c>
      <c r="I16" s="140">
        <f t="shared" si="1"/>
        <v>0.23467968749999996</v>
      </c>
      <c r="J16" s="140">
        <f t="shared" si="1"/>
        <v>3.8653125000000007E-3</v>
      </c>
      <c r="K16" s="140">
        <f t="shared" si="1"/>
        <v>1.1595937499999999E-2</v>
      </c>
      <c r="L16" s="140">
        <f t="shared" si="1"/>
        <v>3.8653125000000007E-3</v>
      </c>
      <c r="M16" s="140">
        <f t="shared" si="1"/>
        <v>9.2999999999999999E-2</v>
      </c>
      <c r="N16" s="140">
        <f t="shared" si="1"/>
        <v>0</v>
      </c>
      <c r="O16" s="140">
        <f t="shared" si="1"/>
        <v>2.6228906249999997</v>
      </c>
      <c r="P16" s="140">
        <f t="shared" si="1"/>
        <v>38.633798437500005</v>
      </c>
      <c r="Q16" s="140">
        <f t="shared" si="1"/>
        <v>0</v>
      </c>
      <c r="R16" s="140">
        <f t="shared" si="1"/>
        <v>2.7609374999999999E-2</v>
      </c>
      <c r="S16" s="140">
        <f t="shared" si="1"/>
        <v>0</v>
      </c>
      <c r="T16" s="140">
        <f t="shared" si="1"/>
        <v>0</v>
      </c>
      <c r="U16" s="140">
        <f t="shared" si="1"/>
        <v>1.1160000000000001</v>
      </c>
      <c r="V16" s="140">
        <f t="shared" si="1"/>
        <v>0</v>
      </c>
      <c r="W16" s="140">
        <f t="shared" si="1"/>
        <v>0</v>
      </c>
      <c r="X16" s="140">
        <f t="shared" si="1"/>
        <v>0</v>
      </c>
      <c r="Y16" s="140">
        <f t="shared" si="1"/>
        <v>0</v>
      </c>
      <c r="Z16" s="140">
        <f t="shared" si="1"/>
        <v>0</v>
      </c>
      <c r="AA16" s="140">
        <f t="shared" si="1"/>
        <v>0.11043749999999999</v>
      </c>
      <c r="AB16" s="140">
        <f t="shared" si="1"/>
        <v>3.4410000000000003</v>
      </c>
      <c r="AC16" s="140">
        <f t="shared" si="1"/>
        <v>2.3467968749999999</v>
      </c>
      <c r="AD16" s="140">
        <f t="shared" si="1"/>
        <v>24.641367187499998</v>
      </c>
      <c r="AE16" s="140">
        <f t="shared" si="1"/>
        <v>0</v>
      </c>
      <c r="AF16" s="140">
        <f t="shared" si="1"/>
        <v>0</v>
      </c>
      <c r="AG16" s="140">
        <f t="shared" si="1"/>
        <v>0</v>
      </c>
      <c r="AH16" s="140">
        <f t="shared" si="1"/>
        <v>0</v>
      </c>
      <c r="AI16" s="140">
        <f t="shared" si="1"/>
        <v>0</v>
      </c>
      <c r="AJ16" s="140">
        <f t="shared" si="1"/>
        <v>0</v>
      </c>
      <c r="AK16" s="140">
        <f t="shared" si="1"/>
        <v>0</v>
      </c>
      <c r="AL16" s="140">
        <f t="shared" ref="AL16:BQ16" si="2">$C$16*AL15/$C$15</f>
        <v>0</v>
      </c>
      <c r="AM16" s="140">
        <f t="shared" si="2"/>
        <v>0</v>
      </c>
      <c r="AN16" s="140">
        <f t="shared" si="2"/>
        <v>0</v>
      </c>
      <c r="AO16" s="140">
        <f t="shared" si="2"/>
        <v>0</v>
      </c>
      <c r="AP16" s="140">
        <f t="shared" si="2"/>
        <v>0</v>
      </c>
      <c r="AQ16" s="140">
        <f t="shared" si="2"/>
        <v>0</v>
      </c>
      <c r="AR16" s="140">
        <f t="shared" si="2"/>
        <v>0</v>
      </c>
      <c r="AS16" s="140">
        <f t="shared" si="2"/>
        <v>0</v>
      </c>
      <c r="AT16" s="140">
        <f t="shared" si="2"/>
        <v>0</v>
      </c>
      <c r="AU16" s="140">
        <f t="shared" si="2"/>
        <v>0</v>
      </c>
      <c r="AV16" s="140">
        <f t="shared" si="2"/>
        <v>0</v>
      </c>
      <c r="AW16" s="140">
        <f t="shared" si="2"/>
        <v>0</v>
      </c>
      <c r="AX16" s="140">
        <f t="shared" si="2"/>
        <v>0</v>
      </c>
      <c r="AY16" s="140">
        <f t="shared" si="2"/>
        <v>0</v>
      </c>
      <c r="AZ16" s="140">
        <f t="shared" si="2"/>
        <v>0</v>
      </c>
      <c r="BA16" s="140">
        <f t="shared" si="2"/>
        <v>0</v>
      </c>
      <c r="BB16" s="140">
        <f t="shared" si="2"/>
        <v>0</v>
      </c>
      <c r="BC16" s="140">
        <f t="shared" si="2"/>
        <v>0</v>
      </c>
      <c r="BD16" s="140">
        <f t="shared" si="2"/>
        <v>0</v>
      </c>
      <c r="BE16" s="140">
        <f t="shared" si="2"/>
        <v>0</v>
      </c>
      <c r="BF16" s="140">
        <f t="shared" si="2"/>
        <v>0</v>
      </c>
      <c r="BG16" s="140">
        <f t="shared" si="2"/>
        <v>0</v>
      </c>
      <c r="BH16" s="140">
        <f t="shared" si="2"/>
        <v>0</v>
      </c>
      <c r="BI16" s="140">
        <f t="shared" si="2"/>
        <v>0</v>
      </c>
      <c r="BJ16" s="140">
        <f t="shared" si="2"/>
        <v>0</v>
      </c>
      <c r="BK16" s="140">
        <f t="shared" si="2"/>
        <v>0</v>
      </c>
      <c r="BL16" s="140">
        <f t="shared" si="2"/>
        <v>0</v>
      </c>
      <c r="BM16" s="140">
        <f t="shared" si="2"/>
        <v>0</v>
      </c>
      <c r="BN16" s="140">
        <f t="shared" si="2"/>
        <v>0</v>
      </c>
      <c r="BO16" s="140">
        <f t="shared" si="2"/>
        <v>0</v>
      </c>
      <c r="BP16" s="140">
        <f t="shared" si="2"/>
        <v>0</v>
      </c>
      <c r="BQ16" s="140">
        <f t="shared" si="2"/>
        <v>0</v>
      </c>
      <c r="BR16" s="140">
        <f t="shared" ref="BR16:CA16" si="3">$C$16*BR15/$C$15</f>
        <v>0</v>
      </c>
      <c r="BS16" s="140">
        <f t="shared" si="3"/>
        <v>0</v>
      </c>
      <c r="BT16" s="140">
        <f t="shared" si="3"/>
        <v>0</v>
      </c>
      <c r="BU16" s="140">
        <f t="shared" si="3"/>
        <v>0</v>
      </c>
      <c r="BV16" s="140">
        <f t="shared" si="3"/>
        <v>0</v>
      </c>
      <c r="BW16" s="140">
        <f t="shared" si="3"/>
        <v>0</v>
      </c>
      <c r="BX16" s="140">
        <f t="shared" si="3"/>
        <v>0</v>
      </c>
      <c r="BY16" s="140">
        <f t="shared" si="3"/>
        <v>0</v>
      </c>
      <c r="BZ16" s="140">
        <f t="shared" si="3"/>
        <v>0</v>
      </c>
      <c r="CA16" s="140">
        <f t="shared" si="3"/>
        <v>0</v>
      </c>
      <c r="CB16" s="138"/>
    </row>
    <row r="17" spans="1:80">
      <c r="A17" s="143"/>
      <c r="B17" s="68" t="s">
        <v>477</v>
      </c>
      <c r="C17" s="67">
        <v>1.6</v>
      </c>
      <c r="D17" s="142">
        <f t="shared" si="0"/>
        <v>1.6</v>
      </c>
      <c r="E17" s="141"/>
      <c r="F17" s="140"/>
      <c r="G17" s="139"/>
      <c r="H17" s="140"/>
      <c r="I17" s="139"/>
      <c r="J17" s="140"/>
      <c r="K17" s="139">
        <v>2.5000000000000001E-2</v>
      </c>
      <c r="L17" s="140"/>
      <c r="M17" s="139">
        <v>2.2499999999999999E-2</v>
      </c>
      <c r="N17" s="140"/>
      <c r="O17" s="139"/>
      <c r="P17" s="140">
        <v>4.3555919999999998E-2</v>
      </c>
      <c r="Q17" s="139">
        <f>0.012+0.00068592</f>
        <v>1.268592E-2</v>
      </c>
      <c r="R17" s="140">
        <v>3.4896179999999999E-2</v>
      </c>
      <c r="S17" s="139"/>
      <c r="T17" s="140"/>
      <c r="U17" s="139"/>
      <c r="V17" s="138"/>
      <c r="W17" s="66"/>
      <c r="X17" s="138"/>
      <c r="Y17" s="66"/>
      <c r="Z17" s="138"/>
      <c r="AA17" s="66"/>
      <c r="AB17" s="138"/>
      <c r="AC17" s="66"/>
      <c r="AD17" s="138"/>
      <c r="AE17" s="66">
        <v>2.5000000000000001E-2</v>
      </c>
      <c r="AF17" s="138">
        <f>0.0075+0.6506</f>
        <v>0.65809999999999991</v>
      </c>
      <c r="AG17" s="66">
        <v>0.77826198000000002</v>
      </c>
      <c r="AH17" s="138"/>
      <c r="AI17" s="66"/>
      <c r="AJ17" s="138"/>
      <c r="AK17" s="66"/>
      <c r="AL17" s="138"/>
      <c r="AM17" s="66"/>
      <c r="AN17" s="138"/>
      <c r="AO17" s="66"/>
      <c r="AP17" s="138"/>
      <c r="AQ17" s="66"/>
      <c r="AR17" s="138"/>
      <c r="AS17" s="66"/>
      <c r="AT17" s="138"/>
      <c r="AU17" s="66"/>
      <c r="AV17" s="138"/>
      <c r="AW17" s="66"/>
      <c r="AX17" s="138"/>
      <c r="AY17" s="66"/>
      <c r="AZ17" s="138"/>
      <c r="BA17" s="66"/>
      <c r="BB17" s="138"/>
      <c r="BC17" s="66"/>
      <c r="BD17" s="138"/>
      <c r="BE17" s="66"/>
      <c r="BF17" s="138"/>
      <c r="BG17" s="66"/>
      <c r="BH17" s="138"/>
      <c r="BI17" s="66"/>
      <c r="BJ17" s="138"/>
      <c r="BK17" s="66"/>
      <c r="BL17" s="138"/>
      <c r="BM17" s="66"/>
      <c r="BN17" s="138"/>
      <c r="BO17" s="66"/>
      <c r="BP17" s="138"/>
      <c r="BQ17" s="66"/>
      <c r="BR17" s="138"/>
      <c r="BS17" s="66"/>
      <c r="BT17" s="138"/>
      <c r="BU17" s="66"/>
      <c r="BV17" s="138"/>
      <c r="BW17" s="66"/>
      <c r="BX17" s="138"/>
      <c r="BY17" s="66"/>
      <c r="BZ17" s="138"/>
      <c r="CA17" s="66"/>
      <c r="CB17" s="138"/>
    </row>
    <row r="18" spans="1:80">
      <c r="A18" s="143"/>
      <c r="B18" s="68" t="s">
        <v>471</v>
      </c>
      <c r="C18" s="67">
        <v>8</v>
      </c>
      <c r="D18" s="142">
        <f t="shared" si="0"/>
        <v>7.9999999999999982</v>
      </c>
      <c r="E18" s="141"/>
      <c r="F18" s="140"/>
      <c r="G18" s="139"/>
      <c r="H18" s="140"/>
      <c r="I18" s="139">
        <f>8*0.6763*0.005</f>
        <v>2.7052E-2</v>
      </c>
      <c r="J18" s="140">
        <f>8*0.3086*0.5053</f>
        <v>1.2474846399999999</v>
      </c>
      <c r="K18" s="139"/>
      <c r="L18" s="140"/>
      <c r="M18" s="139">
        <f>8*0.3086*0.0962</f>
        <v>0.23749855999999997</v>
      </c>
      <c r="N18" s="140"/>
      <c r="O18" s="139">
        <f>8*0.006*0.967033</f>
        <v>4.6417584000000005E-2</v>
      </c>
      <c r="P18" s="140"/>
      <c r="Q18" s="139">
        <f>8*0.006*0.010989+8*0.002</f>
        <v>1.6527472000000001E-2</v>
      </c>
      <c r="R18" s="140">
        <f>8*0.3086*0.361</f>
        <v>0.89123679999999994</v>
      </c>
      <c r="S18" s="139"/>
      <c r="T18" s="140"/>
      <c r="U18" s="139">
        <f>8*0.0071</f>
        <v>5.6800000000000003E-2</v>
      </c>
      <c r="V18" s="138">
        <f>8*0.6763*0.1275</f>
        <v>0.68982600000000005</v>
      </c>
      <c r="W18" s="66"/>
      <c r="X18" s="138"/>
      <c r="Y18" s="66"/>
      <c r="Z18" s="138"/>
      <c r="AA18" s="66"/>
      <c r="AB18" s="138"/>
      <c r="AC18" s="66"/>
      <c r="AD18" s="138">
        <f>8*0.6763*0.69</f>
        <v>3.7331759999999998</v>
      </c>
      <c r="AE18" s="66"/>
      <c r="AF18" s="138"/>
      <c r="AG18" s="66"/>
      <c r="AH18" s="138">
        <f>8*0.006*0.021978</f>
        <v>1.0549440000000002E-3</v>
      </c>
      <c r="AI18" s="66">
        <f>8*0.3086*0.0375</f>
        <v>9.2579999999999996E-2</v>
      </c>
      <c r="AJ18" s="138">
        <f>8*0.6763*0.1225</f>
        <v>0.66277399999999997</v>
      </c>
      <c r="AK18" s="66">
        <f>8*0.6763*0.055</f>
        <v>0.297572</v>
      </c>
      <c r="AL18" s="138"/>
      <c r="AM18" s="66"/>
      <c r="AN18" s="138"/>
      <c r="AO18" s="66"/>
      <c r="AP18" s="138"/>
      <c r="AQ18" s="66"/>
      <c r="AR18" s="138"/>
      <c r="AS18" s="66"/>
      <c r="AT18" s="138"/>
      <c r="AU18" s="66"/>
      <c r="AV18" s="138"/>
      <c r="AW18" s="66"/>
      <c r="AX18" s="138"/>
      <c r="AY18" s="66"/>
      <c r="AZ18" s="138"/>
      <c r="BA18" s="66"/>
      <c r="BB18" s="138"/>
      <c r="BC18" s="66"/>
      <c r="BD18" s="138"/>
      <c r="BE18" s="66"/>
      <c r="BF18" s="138"/>
      <c r="BG18" s="66"/>
      <c r="BH18" s="138"/>
      <c r="BI18" s="66"/>
      <c r="BJ18" s="138"/>
      <c r="BK18" s="66"/>
      <c r="BL18" s="138"/>
      <c r="BM18" s="66"/>
      <c r="BN18" s="138"/>
      <c r="BO18" s="66"/>
      <c r="BP18" s="138"/>
      <c r="BQ18" s="66"/>
      <c r="BR18" s="138"/>
      <c r="BS18" s="66"/>
      <c r="BT18" s="138"/>
      <c r="BU18" s="66"/>
      <c r="BV18" s="138"/>
      <c r="BW18" s="66"/>
      <c r="BX18" s="138"/>
      <c r="BY18" s="66"/>
      <c r="BZ18" s="138"/>
      <c r="CA18" s="66"/>
      <c r="CB18" s="138"/>
    </row>
    <row r="19" spans="1:80">
      <c r="A19" s="143"/>
      <c r="B19" s="68" t="s">
        <v>466</v>
      </c>
      <c r="C19" s="67">
        <v>4.1984500000000002</v>
      </c>
      <c r="D19" s="142">
        <f t="shared" si="0"/>
        <v>4.1984479007750002</v>
      </c>
      <c r="E19" s="141"/>
      <c r="F19" s="140">
        <f>4.19845*0.4768903</f>
        <v>2.0022000800350002</v>
      </c>
      <c r="G19" s="139"/>
      <c r="H19" s="140">
        <f>4.19845*0.0604509</f>
        <v>0.25380008110500002</v>
      </c>
      <c r="I19" s="139">
        <f>4.19845*0.002015</f>
        <v>8.4598767499999995E-3</v>
      </c>
      <c r="J19" s="140">
        <f>4.19845*0.0066494+4.19845*0.0000031</f>
        <v>2.7930188625000001E-2</v>
      </c>
      <c r="K19" s="139">
        <f>4.19845*0.0003927</f>
        <v>1.6487313150000001E-3</v>
      </c>
      <c r="L19" s="140">
        <f>4.19845*0.0005236</f>
        <v>2.1983084200000004E-3</v>
      </c>
      <c r="M19" s="139">
        <f>4.19845*0.0058902</f>
        <v>2.472971019E-2</v>
      </c>
      <c r="N19" s="140"/>
      <c r="O19" s="139">
        <f>4.19845*0.0166728+4.19845*0.0166728</f>
        <v>0.13999983432000002</v>
      </c>
      <c r="P19" s="140">
        <f>4.19845*0.2482522</f>
        <v>1.04227444909</v>
      </c>
      <c r="Q19" s="139">
        <f>4.19845*0.002227</f>
        <v>9.3499481500000006E-3</v>
      </c>
      <c r="R19" s="140"/>
      <c r="S19" s="139"/>
      <c r="T19" s="140"/>
      <c r="U19" s="139">
        <f>4.19845*0.0309483</f>
        <v>0.12993489013500001</v>
      </c>
      <c r="V19" s="138"/>
      <c r="W19" s="66"/>
      <c r="X19" s="138"/>
      <c r="Y19" s="66"/>
      <c r="Z19" s="138"/>
      <c r="AA19" s="66"/>
      <c r="AB19" s="138">
        <f>4.19845*0.0000785+4.19845*0.0000031</f>
        <v>3.4259352000000001E-4</v>
      </c>
      <c r="AC19" s="66"/>
      <c r="AD19" s="138"/>
      <c r="AE19" s="66"/>
      <c r="AF19" s="138"/>
      <c r="AG19" s="66"/>
      <c r="AH19" s="138"/>
      <c r="AI19" s="66"/>
      <c r="AJ19" s="138">
        <f>4.19845*0.1323203</f>
        <v>0.55554016353500002</v>
      </c>
      <c r="AK19" s="66"/>
      <c r="AL19" s="138">
        <f>4.19845*0.0000031</f>
        <v>1.3015195E-5</v>
      </c>
      <c r="AM19" s="66">
        <f>4.19845*0.0000062</f>
        <v>2.603039E-5</v>
      </c>
      <c r="AN19" s="138"/>
      <c r="AO19" s="66"/>
      <c r="AP19" s="138"/>
      <c r="AQ19" s="66"/>
      <c r="AR19" s="138"/>
      <c r="AS19" s="66"/>
      <c r="AT19" s="138"/>
      <c r="AU19" s="66"/>
      <c r="AV19" s="138"/>
      <c r="AW19" s="66"/>
      <c r="AX19" s="138"/>
      <c r="AY19" s="66"/>
      <c r="AZ19" s="138"/>
      <c r="BA19" s="66"/>
      <c r="BB19" s="138"/>
      <c r="BC19" s="66"/>
      <c r="BD19" s="138"/>
      <c r="BE19" s="66"/>
      <c r="BF19" s="138"/>
      <c r="BG19" s="66"/>
      <c r="BH19" s="138"/>
      <c r="BI19" s="66"/>
      <c r="BJ19" s="138"/>
      <c r="BK19" s="66"/>
      <c r="BL19" s="138"/>
      <c r="BM19" s="66"/>
      <c r="BN19" s="138"/>
      <c r="BO19" s="66"/>
      <c r="BP19" s="138"/>
      <c r="BQ19" s="66"/>
      <c r="BR19" s="138"/>
      <c r="BS19" s="66"/>
      <c r="BT19" s="138"/>
      <c r="BU19" s="66"/>
      <c r="BV19" s="138"/>
      <c r="BW19" s="66"/>
      <c r="BX19" s="138"/>
      <c r="BY19" s="66"/>
      <c r="BZ19" s="138"/>
      <c r="CA19" s="66"/>
      <c r="CB19" s="138"/>
    </row>
    <row r="20" spans="1:80">
      <c r="A20" s="143"/>
      <c r="B20" s="68" t="s">
        <v>460</v>
      </c>
      <c r="C20" s="67">
        <v>8.93</v>
      </c>
      <c r="D20" s="159">
        <f t="shared" si="0"/>
        <v>8.9364000000000008</v>
      </c>
      <c r="E20" s="141"/>
      <c r="F20" s="140"/>
      <c r="G20" s="139"/>
      <c r="H20" s="140"/>
      <c r="I20" s="139"/>
      <c r="J20" s="140">
        <v>1.899</v>
      </c>
      <c r="K20" s="139"/>
      <c r="L20" s="140"/>
      <c r="M20" s="139">
        <v>6.4799999999999996E-2</v>
      </c>
      <c r="N20" s="140"/>
      <c r="O20" s="139">
        <v>4.24E-2</v>
      </c>
      <c r="P20" s="140">
        <v>2.3999999999999998E-3</v>
      </c>
      <c r="Q20" s="139">
        <v>0.04</v>
      </c>
      <c r="R20" s="140">
        <v>0.79290000000000005</v>
      </c>
      <c r="S20" s="139"/>
      <c r="T20" s="140"/>
      <c r="U20" s="139">
        <v>0.03</v>
      </c>
      <c r="V20" s="138"/>
      <c r="W20" s="66"/>
      <c r="X20" s="138"/>
      <c r="Y20" s="66"/>
      <c r="Z20" s="138"/>
      <c r="AA20" s="66"/>
      <c r="AB20" s="138"/>
      <c r="AC20" s="66"/>
      <c r="AD20" s="138"/>
      <c r="AE20" s="66"/>
      <c r="AF20" s="138"/>
      <c r="AG20" s="66"/>
      <c r="AH20" s="138"/>
      <c r="AI20" s="66"/>
      <c r="AJ20" s="138"/>
      <c r="AK20" s="66"/>
      <c r="AL20" s="138"/>
      <c r="AM20" s="66"/>
      <c r="AN20" s="138">
        <v>4.8999999999999998E-3</v>
      </c>
      <c r="AO20" s="66">
        <v>5.89</v>
      </c>
      <c r="AP20" s="138">
        <v>0.05</v>
      </c>
      <c r="AQ20" s="66">
        <v>0.12</v>
      </c>
      <c r="AR20" s="138"/>
      <c r="AS20" s="66"/>
      <c r="AT20" s="138"/>
      <c r="AU20" s="66"/>
      <c r="AV20" s="138"/>
      <c r="AW20" s="66"/>
      <c r="AX20" s="138"/>
      <c r="AY20" s="66"/>
      <c r="AZ20" s="138"/>
      <c r="BA20" s="66"/>
      <c r="BB20" s="138"/>
      <c r="BC20" s="66"/>
      <c r="BD20" s="138"/>
      <c r="BE20" s="66"/>
      <c r="BF20" s="138"/>
      <c r="BG20" s="66"/>
      <c r="BH20" s="138"/>
      <c r="BI20" s="66"/>
      <c r="BJ20" s="138"/>
      <c r="BK20" s="66"/>
      <c r="BL20" s="138"/>
      <c r="BM20" s="66"/>
      <c r="BN20" s="138"/>
      <c r="BO20" s="66"/>
      <c r="BP20" s="138"/>
      <c r="BQ20" s="66"/>
      <c r="BR20" s="138"/>
      <c r="BS20" s="66"/>
      <c r="BT20" s="138"/>
      <c r="BU20" s="66"/>
      <c r="BV20" s="138"/>
      <c r="BW20" s="66"/>
      <c r="BX20" s="138"/>
      <c r="BY20" s="66"/>
      <c r="BZ20" s="138"/>
      <c r="CA20" s="66"/>
      <c r="CB20" s="138"/>
    </row>
    <row r="21" spans="1:80">
      <c r="A21" s="143"/>
      <c r="B21" s="68" t="s">
        <v>455</v>
      </c>
      <c r="C21" s="67">
        <v>3.78328</v>
      </c>
      <c r="D21" s="159">
        <f t="shared" si="0"/>
        <v>3.7832769733760001</v>
      </c>
      <c r="E21" s="141"/>
      <c r="F21" s="140">
        <f>3.78328*0.4248007</f>
        <v>1.6071399922959999</v>
      </c>
      <c r="G21" s="139"/>
      <c r="H21" s="140"/>
      <c r="I21" s="139">
        <f>3.78328*0.0016969</f>
        <v>6.4198478320000004E-3</v>
      </c>
      <c r="J21" s="140">
        <f>3.78328*0.0101777+3.78328*0.0000021</f>
        <v>3.8513033744000003E-2</v>
      </c>
      <c r="K21" s="139">
        <f>3.78328*0.0005987</f>
        <v>2.265049736E-3</v>
      </c>
      <c r="L21" s="140">
        <f>3.78328*0.0007982</f>
        <v>3.0198140960000001E-3</v>
      </c>
      <c r="M21" s="139">
        <f>3.78328*0.0083417</f>
        <v>3.1558986776000005E-2</v>
      </c>
      <c r="N21" s="140"/>
      <c r="O21" s="139">
        <f>3.78328*0.013216</f>
        <v>4.9999828480000001E-2</v>
      </c>
      <c r="P21" s="140">
        <f>3.78328*0.3790885+3.78328*0.0008664</f>
        <v>1.4374757740720001</v>
      </c>
      <c r="Q21" s="139"/>
      <c r="R21" s="140"/>
      <c r="S21" s="139"/>
      <c r="T21" s="140"/>
      <c r="U21" s="139">
        <f>3.78328*0.0211351</f>
        <v>7.9960001128000002E-2</v>
      </c>
      <c r="V21" s="138"/>
      <c r="W21" s="66"/>
      <c r="X21" s="138"/>
      <c r="Y21" s="66"/>
      <c r="Z21" s="138"/>
      <c r="AA21" s="66"/>
      <c r="AB21" s="138">
        <f>3.78328*0.0001197+3.78328*0.0000021</f>
        <v>4.6080350399999996E-4</v>
      </c>
      <c r="AC21" s="66"/>
      <c r="AD21" s="138"/>
      <c r="AE21" s="66"/>
      <c r="AF21" s="138"/>
      <c r="AG21" s="66"/>
      <c r="AH21" s="138"/>
      <c r="AI21" s="66"/>
      <c r="AJ21" s="138">
        <f>3.78328*0.0989882</f>
        <v>0.37450007729599999</v>
      </c>
      <c r="AK21" s="66">
        <f>3.78328*0.0401609</f>
        <v>0.15193992975199999</v>
      </c>
      <c r="AL21" s="138">
        <f>3.78328*0.0000021</f>
        <v>7.9448879999999996E-6</v>
      </c>
      <c r="AM21" s="66">
        <f>3.78328*0.0000042</f>
        <v>1.5889775999999999E-5</v>
      </c>
      <c r="AN21" s="138"/>
      <c r="AO21" s="66"/>
      <c r="AP21" s="138"/>
      <c r="AQ21" s="66"/>
      <c r="AR21" s="138"/>
      <c r="AS21" s="66"/>
      <c r="AT21" s="138"/>
      <c r="AU21" s="66"/>
      <c r="AV21" s="138"/>
      <c r="AW21" s="66"/>
      <c r="AX21" s="138"/>
      <c r="AY21" s="66"/>
      <c r="AZ21" s="138"/>
      <c r="BA21" s="66"/>
      <c r="BB21" s="138"/>
      <c r="BC21" s="66"/>
      <c r="BD21" s="138"/>
      <c r="BE21" s="66"/>
      <c r="BF21" s="138"/>
      <c r="BG21" s="66"/>
      <c r="BH21" s="138"/>
      <c r="BI21" s="66"/>
      <c r="BJ21" s="138"/>
      <c r="BK21" s="66"/>
      <c r="BL21" s="138"/>
      <c r="BM21" s="66"/>
      <c r="BN21" s="138"/>
      <c r="BO21" s="66"/>
      <c r="BP21" s="138"/>
      <c r="BQ21" s="66"/>
      <c r="BR21" s="138"/>
      <c r="BS21" s="66"/>
      <c r="BT21" s="138"/>
      <c r="BU21" s="66"/>
      <c r="BV21" s="138"/>
      <c r="BW21" s="66"/>
      <c r="BX21" s="138"/>
      <c r="BY21" s="66"/>
      <c r="BZ21" s="138"/>
      <c r="CA21" s="66"/>
      <c r="CB21" s="138"/>
    </row>
    <row r="22" spans="1:80">
      <c r="A22" s="143"/>
      <c r="B22" s="68" t="s">
        <v>449</v>
      </c>
      <c r="C22" s="67">
        <v>56699</v>
      </c>
      <c r="D22" s="159">
        <f t="shared" si="0"/>
        <v>58760</v>
      </c>
      <c r="E22" s="141"/>
      <c r="F22" s="140"/>
      <c r="G22" s="139"/>
      <c r="H22" s="140"/>
      <c r="I22" s="139"/>
      <c r="J22" s="140"/>
      <c r="K22" s="139"/>
      <c r="L22" s="140"/>
      <c r="M22" s="139"/>
      <c r="N22" s="140"/>
      <c r="O22" s="139"/>
      <c r="P22" s="140"/>
      <c r="Q22" s="139"/>
      <c r="R22" s="140"/>
      <c r="S22" s="139"/>
      <c r="T22" s="140"/>
      <c r="U22" s="139"/>
      <c r="V22" s="138"/>
      <c r="W22" s="66"/>
      <c r="X22" s="138"/>
      <c r="Y22" s="66"/>
      <c r="Z22" s="138"/>
      <c r="AA22" s="66"/>
      <c r="AB22" s="138"/>
      <c r="AC22" s="66"/>
      <c r="AD22" s="138"/>
      <c r="AE22" s="66"/>
      <c r="AF22" s="138"/>
      <c r="AG22" s="66"/>
      <c r="AH22" s="138">
        <v>58760</v>
      </c>
      <c r="AI22" s="66"/>
      <c r="AJ22" s="138"/>
      <c r="AK22" s="66"/>
      <c r="AL22" s="138"/>
      <c r="AM22" s="66"/>
      <c r="AN22" s="138"/>
      <c r="AO22" s="66"/>
      <c r="AP22" s="138"/>
      <c r="AQ22" s="66"/>
      <c r="AR22" s="138"/>
      <c r="AS22" s="66"/>
      <c r="AT22" s="138"/>
      <c r="AU22" s="66"/>
      <c r="AV22" s="138"/>
      <c r="AW22" s="66"/>
      <c r="AX22" s="138"/>
      <c r="AY22" s="66"/>
      <c r="AZ22" s="138"/>
      <c r="BA22" s="66"/>
      <c r="BB22" s="138"/>
      <c r="BC22" s="66"/>
      <c r="BD22" s="138"/>
      <c r="BE22" s="66"/>
      <c r="BF22" s="138"/>
      <c r="BG22" s="66"/>
      <c r="BH22" s="138"/>
      <c r="BI22" s="66"/>
      <c r="BJ22" s="138"/>
      <c r="BK22" s="66"/>
      <c r="BL22" s="138"/>
      <c r="BM22" s="66"/>
      <c r="BN22" s="138"/>
      <c r="BO22" s="66"/>
      <c r="BP22" s="138"/>
      <c r="BQ22" s="66"/>
      <c r="BR22" s="138"/>
      <c r="BS22" s="66"/>
      <c r="BT22" s="138"/>
      <c r="BU22" s="66"/>
      <c r="BV22" s="138"/>
      <c r="BW22" s="66"/>
      <c r="BX22" s="138"/>
      <c r="BY22" s="66"/>
      <c r="BZ22" s="138"/>
      <c r="CA22" s="66"/>
      <c r="CB22" s="138"/>
    </row>
    <row r="23" spans="1:80">
      <c r="A23" s="143"/>
      <c r="B23" s="68" t="s">
        <v>442</v>
      </c>
      <c r="C23" s="67">
        <v>5500</v>
      </c>
      <c r="D23" s="159">
        <f t="shared" si="0"/>
        <v>5500</v>
      </c>
      <c r="E23" s="141"/>
      <c r="F23" s="140"/>
      <c r="G23" s="139"/>
      <c r="H23" s="140"/>
      <c r="I23" s="139"/>
      <c r="J23" s="140"/>
      <c r="K23" s="139"/>
      <c r="L23" s="140">
        <v>900</v>
      </c>
      <c r="M23" s="139"/>
      <c r="N23" s="140"/>
      <c r="O23" s="139"/>
      <c r="P23" s="140"/>
      <c r="Q23" s="139"/>
      <c r="R23" s="140">
        <v>2200</v>
      </c>
      <c r="S23" s="139"/>
      <c r="T23" s="140"/>
      <c r="U23" s="139">
        <v>1200</v>
      </c>
      <c r="V23" s="138"/>
      <c r="W23" s="66"/>
      <c r="X23" s="138"/>
      <c r="Y23" s="66"/>
      <c r="Z23" s="138"/>
      <c r="AA23" s="66"/>
      <c r="AB23" s="138"/>
      <c r="AC23" s="66"/>
      <c r="AD23" s="138"/>
      <c r="AE23" s="66"/>
      <c r="AF23" s="138"/>
      <c r="AG23" s="66"/>
      <c r="AH23" s="138"/>
      <c r="AI23" s="66"/>
      <c r="AJ23" s="138"/>
      <c r="AK23" s="66"/>
      <c r="AL23" s="138"/>
      <c r="AM23" s="66"/>
      <c r="AN23" s="138"/>
      <c r="AO23" s="66"/>
      <c r="AP23" s="138"/>
      <c r="AQ23" s="66"/>
      <c r="AR23" s="138"/>
      <c r="AS23" s="66"/>
      <c r="AT23" s="138"/>
      <c r="AU23" s="66"/>
      <c r="AV23" s="138"/>
      <c r="AW23" s="66"/>
      <c r="AX23" s="138"/>
      <c r="AY23" s="66"/>
      <c r="AZ23" s="138"/>
      <c r="BA23" s="66"/>
      <c r="BB23" s="138"/>
      <c r="BC23" s="66"/>
      <c r="BD23" s="138"/>
      <c r="BE23" s="66"/>
      <c r="BF23" s="138"/>
      <c r="BG23" s="66"/>
      <c r="BH23" s="138"/>
      <c r="BI23" s="66"/>
      <c r="BJ23" s="138"/>
      <c r="BK23" s="66"/>
      <c r="BL23" s="138"/>
      <c r="BM23" s="66"/>
      <c r="BN23" s="138"/>
      <c r="BO23" s="66"/>
      <c r="BP23" s="138"/>
      <c r="BQ23" s="66"/>
      <c r="BR23" s="138"/>
      <c r="BS23" s="66"/>
      <c r="BT23" s="138"/>
      <c r="BU23" s="66"/>
      <c r="BV23" s="138"/>
      <c r="BW23" s="66"/>
      <c r="BX23" s="138"/>
      <c r="BY23" s="66"/>
      <c r="BZ23" s="138">
        <v>1200</v>
      </c>
      <c r="CA23" s="66"/>
      <c r="CB23" s="138"/>
    </row>
    <row r="24" spans="1:80">
      <c r="A24" s="143"/>
      <c r="B24" s="68" t="s">
        <v>434</v>
      </c>
      <c r="C24" s="67">
        <v>0</v>
      </c>
      <c r="D24" s="159">
        <f t="shared" si="0"/>
        <v>0</v>
      </c>
      <c r="E24" s="141"/>
      <c r="F24" s="140"/>
      <c r="G24" s="139"/>
      <c r="H24" s="140"/>
      <c r="I24" s="139"/>
      <c r="J24" s="140"/>
      <c r="K24" s="139"/>
      <c r="L24" s="140"/>
      <c r="M24" s="139"/>
      <c r="N24" s="140"/>
      <c r="O24" s="139"/>
      <c r="P24" s="140"/>
      <c r="Q24" s="139"/>
      <c r="R24" s="140"/>
      <c r="S24" s="139"/>
      <c r="T24" s="140"/>
      <c r="U24" s="139"/>
      <c r="V24" s="138"/>
      <c r="W24" s="66"/>
      <c r="X24" s="138"/>
      <c r="Y24" s="66"/>
      <c r="Z24" s="138"/>
      <c r="AA24" s="66"/>
      <c r="AB24" s="138"/>
      <c r="AC24" s="66"/>
      <c r="AD24" s="138"/>
      <c r="AE24" s="66"/>
      <c r="AF24" s="138"/>
      <c r="AG24" s="66"/>
      <c r="AH24" s="138"/>
      <c r="AI24" s="66"/>
      <c r="AJ24" s="138"/>
      <c r="AK24" s="66"/>
      <c r="AL24" s="138"/>
      <c r="AM24" s="66"/>
      <c r="AN24" s="138"/>
      <c r="AO24" s="66"/>
      <c r="AP24" s="138"/>
      <c r="AQ24" s="66"/>
      <c r="AR24" s="138"/>
      <c r="AS24" s="66"/>
      <c r="AT24" s="138"/>
      <c r="AU24" s="66"/>
      <c r="AV24" s="138"/>
      <c r="AW24" s="66"/>
      <c r="AX24" s="138"/>
      <c r="AY24" s="66"/>
      <c r="AZ24" s="138"/>
      <c r="BA24" s="66"/>
      <c r="BB24" s="138"/>
      <c r="BC24" s="66"/>
      <c r="BD24" s="138"/>
      <c r="BE24" s="66"/>
      <c r="BF24" s="138"/>
      <c r="BG24" s="66"/>
      <c r="BH24" s="138"/>
      <c r="BI24" s="66"/>
      <c r="BJ24" s="138"/>
      <c r="BK24" s="66"/>
      <c r="BL24" s="138"/>
      <c r="BM24" s="66"/>
      <c r="BN24" s="138"/>
      <c r="BO24" s="66"/>
      <c r="BP24" s="138"/>
      <c r="BQ24" s="66"/>
      <c r="BR24" s="138"/>
      <c r="BS24" s="66"/>
      <c r="BT24" s="138"/>
      <c r="BU24" s="66"/>
      <c r="BV24" s="138"/>
      <c r="BW24" s="66"/>
      <c r="BX24" s="138"/>
      <c r="BY24" s="66"/>
      <c r="BZ24" s="138"/>
      <c r="CA24" s="66"/>
      <c r="CB24" s="138"/>
    </row>
    <row r="25" spans="1:80">
      <c r="A25" s="143"/>
      <c r="B25" s="68">
        <v>8197</v>
      </c>
      <c r="C25" s="67">
        <v>1810</v>
      </c>
      <c r="D25" s="159">
        <f t="shared" si="0"/>
        <v>1810</v>
      </c>
      <c r="E25" s="141"/>
      <c r="F25" s="140"/>
      <c r="G25" s="139"/>
      <c r="H25" s="140"/>
      <c r="I25" s="139"/>
      <c r="J25" s="140"/>
      <c r="K25" s="139"/>
      <c r="L25" s="140">
        <f>C25*0.3</f>
        <v>543</v>
      </c>
      <c r="M25" s="139"/>
      <c r="N25" s="140"/>
      <c r="O25" s="139"/>
      <c r="P25" s="140">
        <f>C25*0.7</f>
        <v>1267</v>
      </c>
      <c r="Q25" s="139"/>
      <c r="R25" s="140"/>
      <c r="S25" s="139"/>
      <c r="T25" s="140"/>
      <c r="U25" s="139"/>
      <c r="V25" s="138"/>
      <c r="W25" s="66"/>
      <c r="X25" s="138"/>
      <c r="Y25" s="66"/>
      <c r="Z25" s="138"/>
      <c r="AA25" s="66"/>
      <c r="AB25" s="138"/>
      <c r="AC25" s="66"/>
      <c r="AD25" s="138"/>
      <c r="AE25" s="66"/>
      <c r="AF25" s="138"/>
      <c r="AG25" s="66"/>
      <c r="AH25" s="138"/>
      <c r="AI25" s="66"/>
      <c r="AJ25" s="138"/>
      <c r="AK25" s="66"/>
      <c r="AL25" s="138"/>
      <c r="AM25" s="66"/>
      <c r="AN25" s="138"/>
      <c r="AO25" s="66"/>
      <c r="AP25" s="138"/>
      <c r="AQ25" s="66"/>
      <c r="AR25" s="138"/>
      <c r="AS25" s="66"/>
      <c r="AT25" s="138"/>
      <c r="AU25" s="66"/>
      <c r="AV25" s="138"/>
      <c r="AW25" s="66"/>
      <c r="AX25" s="138"/>
      <c r="AY25" s="66"/>
      <c r="AZ25" s="138"/>
      <c r="BA25" s="66"/>
      <c r="BB25" s="138"/>
      <c r="BC25" s="66"/>
      <c r="BD25" s="138"/>
      <c r="BE25" s="66"/>
      <c r="BF25" s="138"/>
      <c r="BG25" s="66"/>
      <c r="BH25" s="138"/>
      <c r="BI25" s="66"/>
      <c r="BJ25" s="138"/>
      <c r="BK25" s="66"/>
      <c r="BL25" s="138"/>
      <c r="BM25" s="66"/>
      <c r="BN25" s="138"/>
      <c r="BO25" s="66"/>
      <c r="BP25" s="138"/>
      <c r="BQ25" s="66"/>
      <c r="BR25" s="138"/>
      <c r="BS25" s="66"/>
      <c r="BT25" s="138"/>
      <c r="BU25" s="66"/>
      <c r="BV25" s="138"/>
      <c r="BW25" s="66"/>
      <c r="BX25" s="138"/>
      <c r="BY25" s="66"/>
      <c r="BZ25" s="138"/>
      <c r="CA25" s="66"/>
      <c r="CB25" s="138"/>
    </row>
    <row r="26" spans="1:80">
      <c r="A26" s="143"/>
      <c r="B26" s="68">
        <v>505462</v>
      </c>
      <c r="C26" s="67"/>
      <c r="D26" s="159">
        <f t="shared" si="0"/>
        <v>0</v>
      </c>
      <c r="E26" s="141"/>
      <c r="F26" s="140"/>
      <c r="G26" s="139"/>
      <c r="H26" s="140"/>
      <c r="I26" s="139"/>
      <c r="J26" s="140"/>
      <c r="K26" s="139"/>
      <c r="L26" s="140"/>
      <c r="M26" s="139"/>
      <c r="N26" s="140"/>
      <c r="O26" s="139"/>
      <c r="P26" s="140"/>
      <c r="Q26" s="139"/>
      <c r="R26" s="140"/>
      <c r="S26" s="139"/>
      <c r="T26" s="140"/>
      <c r="U26" s="139"/>
      <c r="V26" s="138"/>
      <c r="W26" s="66"/>
      <c r="X26" s="138"/>
      <c r="Y26" s="66"/>
      <c r="Z26" s="138"/>
      <c r="AA26" s="66"/>
      <c r="AB26" s="138"/>
      <c r="AC26" s="66"/>
      <c r="AD26" s="138"/>
      <c r="AE26" s="66"/>
      <c r="AF26" s="138"/>
      <c r="AG26" s="66"/>
      <c r="AH26" s="138"/>
      <c r="AI26" s="66"/>
      <c r="AJ26" s="138"/>
      <c r="AK26" s="66"/>
      <c r="AL26" s="138"/>
      <c r="AM26" s="66"/>
      <c r="AN26" s="138"/>
      <c r="AO26" s="66"/>
      <c r="AP26" s="138"/>
      <c r="AQ26" s="66"/>
      <c r="AR26" s="138"/>
      <c r="AS26" s="66"/>
      <c r="AT26" s="138"/>
      <c r="AU26" s="66"/>
      <c r="AV26" s="138"/>
      <c r="AW26" s="66"/>
      <c r="AX26" s="138"/>
      <c r="AY26" s="66"/>
      <c r="AZ26" s="138"/>
      <c r="BA26" s="66"/>
      <c r="BB26" s="138"/>
      <c r="BC26" s="66"/>
      <c r="BD26" s="138"/>
      <c r="BE26" s="66"/>
      <c r="BF26" s="138"/>
      <c r="BG26" s="66"/>
      <c r="BH26" s="138"/>
      <c r="BI26" s="66"/>
      <c r="BJ26" s="138"/>
      <c r="BK26" s="66"/>
      <c r="BL26" s="138"/>
      <c r="BM26" s="66"/>
      <c r="BN26" s="138"/>
      <c r="BO26" s="66"/>
      <c r="BP26" s="138"/>
      <c r="BQ26" s="66"/>
      <c r="BR26" s="138"/>
      <c r="BS26" s="66"/>
      <c r="BT26" s="138"/>
      <c r="BU26" s="66"/>
      <c r="BV26" s="138"/>
      <c r="BW26" s="66"/>
      <c r="BX26" s="138"/>
      <c r="BY26" s="66"/>
      <c r="BZ26" s="138"/>
      <c r="CA26" s="66"/>
      <c r="CB26" s="138"/>
    </row>
    <row r="27" spans="1:80">
      <c r="A27" s="143"/>
      <c r="B27" s="68" t="s">
        <v>420</v>
      </c>
      <c r="C27" s="67">
        <v>7.4969700000000001</v>
      </c>
      <c r="D27" s="159">
        <f t="shared" si="0"/>
        <v>7.4969647521210003</v>
      </c>
      <c r="E27" s="141"/>
      <c r="F27" s="140"/>
      <c r="G27" s="139"/>
      <c r="H27" s="140"/>
      <c r="I27" s="139">
        <f>7.49697*0.0003188</f>
        <v>2.3900340359999999E-3</v>
      </c>
      <c r="J27" s="140">
        <f>7.49697*0.156798+7.49697*0.0000028</f>
        <v>1.175530893576</v>
      </c>
      <c r="K27" s="139">
        <f>7.49697*0.0000654</f>
        <v>4.9030183800000007E-4</v>
      </c>
      <c r="L27" s="140"/>
      <c r="M27" s="139">
        <f>7.49697*0.0083987</f>
        <v>6.2964801939000004E-2</v>
      </c>
      <c r="N27" s="140"/>
      <c r="O27" s="139">
        <f>7.49697*0.0060711+7.49697*0.0008497</f>
        <v>5.1885029976000002E-2</v>
      </c>
      <c r="P27" s="140">
        <f>7.49697*0.037157+7.49697*0.0009291</f>
        <v>0.28553034911700004</v>
      </c>
      <c r="Q27" s="139">
        <f>7.49697*0.0004288</f>
        <v>3.2147007360000001E-3</v>
      </c>
      <c r="R27" s="140">
        <f>7.49697*0.118105</f>
        <v>0.88542964185000006</v>
      </c>
      <c r="S27" s="139"/>
      <c r="T27" s="140"/>
      <c r="U27" s="139">
        <f>7.49697*0.0279973</f>
        <v>0.20989491818100001</v>
      </c>
      <c r="V27" s="138"/>
      <c r="W27" s="66"/>
      <c r="X27" s="138"/>
      <c r="Y27" s="66"/>
      <c r="Z27" s="138"/>
      <c r="AA27" s="66"/>
      <c r="AB27" s="138">
        <f>7.49697*0.0000028</f>
        <v>2.0991516000000001E-5</v>
      </c>
      <c r="AC27" s="66"/>
      <c r="AD27" s="138">
        <f>7.49697*0.4590655</f>
        <v>3.441600281535</v>
      </c>
      <c r="AE27" s="66"/>
      <c r="AF27" s="138"/>
      <c r="AG27" s="66"/>
      <c r="AH27" s="138">
        <f>7.49697*0.0001694+7.49697*0.0002941</f>
        <v>3.4748455950000001E-3</v>
      </c>
      <c r="AI27" s="66">
        <f>7.49697*0.0028105</f>
        <v>2.1070234185000002E-2</v>
      </c>
      <c r="AJ27" s="138">
        <f>7.49697*0.0956386</f>
        <v>0.716999715042</v>
      </c>
      <c r="AK27" s="66">
        <f>7.49697*0.0637591</f>
        <v>0.47800005992700001</v>
      </c>
      <c r="AL27" s="138">
        <f>7.49697*0.0000028</f>
        <v>2.0991516000000001E-5</v>
      </c>
      <c r="AM27" s="66">
        <f>7.49697*0.0000056</f>
        <v>4.1983032000000002E-5</v>
      </c>
      <c r="AN27" s="138">
        <f>7.49697*0.0014052</f>
        <v>1.0534742243999999E-2</v>
      </c>
      <c r="AO27" s="66"/>
      <c r="AP27" s="138"/>
      <c r="AQ27" s="66"/>
      <c r="AR27" s="138">
        <f>7.49697*0.0001307</f>
        <v>9.7985397900000014E-4</v>
      </c>
      <c r="AS27" s="66">
        <f>7.49697*0.000719</f>
        <v>5.39032143E-3</v>
      </c>
      <c r="AT27" s="138">
        <f>7.49697*0.0000654</f>
        <v>4.9030183800000007E-4</v>
      </c>
      <c r="AU27" s="66">
        <f>7.49697*0.0184901</f>
        <v>0.13861972499699998</v>
      </c>
      <c r="AV27" s="138">
        <f>7.49697*0.0003188</f>
        <v>2.3900340359999999E-3</v>
      </c>
      <c r="AW27" s="66"/>
      <c r="AX27" s="138"/>
      <c r="AY27" s="66"/>
      <c r="AZ27" s="138"/>
      <c r="BA27" s="66"/>
      <c r="BB27" s="138"/>
      <c r="BC27" s="66"/>
      <c r="BD27" s="138"/>
      <c r="BE27" s="66"/>
      <c r="BF27" s="138"/>
      <c r="BG27" s="66"/>
      <c r="BH27" s="138"/>
      <c r="BI27" s="66"/>
      <c r="BJ27" s="138"/>
      <c r="BK27" s="66"/>
      <c r="BL27" s="138"/>
      <c r="BM27" s="66"/>
      <c r="BN27" s="138"/>
      <c r="BO27" s="66"/>
      <c r="BP27" s="138"/>
      <c r="BQ27" s="66"/>
      <c r="BR27" s="138"/>
      <c r="BS27" s="66"/>
      <c r="BT27" s="138"/>
      <c r="BU27" s="66"/>
      <c r="BV27" s="138"/>
      <c r="BW27" s="66"/>
      <c r="BX27" s="138"/>
      <c r="BY27" s="66"/>
      <c r="BZ27" s="138"/>
      <c r="CA27" s="66"/>
      <c r="CB27" s="138"/>
    </row>
    <row r="28" spans="1:80">
      <c r="A28" s="143"/>
      <c r="B28" s="68" t="s">
        <v>414</v>
      </c>
      <c r="C28" s="67">
        <v>11.05</v>
      </c>
      <c r="D28" s="159">
        <f t="shared" si="0"/>
        <v>11.05</v>
      </c>
      <c r="E28" s="141"/>
      <c r="F28" s="140">
        <v>4.4000000000000004</v>
      </c>
      <c r="G28" s="139"/>
      <c r="H28" s="140"/>
      <c r="I28" s="139"/>
      <c r="J28" s="140">
        <v>0.04</v>
      </c>
      <c r="K28" s="139">
        <v>0.02</v>
      </c>
      <c r="L28" s="140">
        <v>0.04</v>
      </c>
      <c r="M28" s="139">
        <v>0.02</v>
      </c>
      <c r="N28" s="140"/>
      <c r="O28" s="139">
        <v>0.98</v>
      </c>
      <c r="P28" s="140">
        <v>3.9</v>
      </c>
      <c r="Q28" s="139">
        <v>0.2</v>
      </c>
      <c r="R28" s="140"/>
      <c r="S28" s="139"/>
      <c r="T28" s="140"/>
      <c r="U28" s="139">
        <v>0.1</v>
      </c>
      <c r="V28" s="138"/>
      <c r="W28" s="66"/>
      <c r="X28" s="138"/>
      <c r="Y28" s="66"/>
      <c r="Z28" s="138"/>
      <c r="AA28" s="66"/>
      <c r="AB28" s="138"/>
      <c r="AC28" s="66">
        <v>0.46</v>
      </c>
      <c r="AD28" s="138"/>
      <c r="AE28" s="66"/>
      <c r="AF28" s="138">
        <v>0.46</v>
      </c>
      <c r="AG28" s="66"/>
      <c r="AH28" s="138">
        <v>0.02</v>
      </c>
      <c r="AI28" s="66"/>
      <c r="AJ28" s="138"/>
      <c r="AK28" s="66">
        <v>0.4</v>
      </c>
      <c r="AL28" s="138"/>
      <c r="AM28" s="66"/>
      <c r="AN28" s="138"/>
      <c r="AO28" s="66"/>
      <c r="AP28" s="138"/>
      <c r="AQ28" s="66"/>
      <c r="AR28" s="138"/>
      <c r="AS28" s="66"/>
      <c r="AT28" s="138"/>
      <c r="AU28" s="66"/>
      <c r="AV28" s="138"/>
      <c r="AW28" s="66">
        <v>0.01</v>
      </c>
      <c r="AX28" s="138"/>
      <c r="AY28" s="66"/>
      <c r="AZ28" s="138"/>
      <c r="BA28" s="66"/>
      <c r="BB28" s="138"/>
      <c r="BC28" s="66"/>
      <c r="BD28" s="138"/>
      <c r="BE28" s="66"/>
      <c r="BF28" s="138"/>
      <c r="BG28" s="66"/>
      <c r="BH28" s="138"/>
      <c r="BI28" s="66"/>
      <c r="BJ28" s="138"/>
      <c r="BK28" s="66"/>
      <c r="BL28" s="138"/>
      <c r="BM28" s="66"/>
      <c r="BN28" s="138"/>
      <c r="BO28" s="66"/>
      <c r="BP28" s="138"/>
      <c r="BQ28" s="66"/>
      <c r="BR28" s="138"/>
      <c r="BS28" s="66"/>
      <c r="BT28" s="138"/>
      <c r="BU28" s="66"/>
      <c r="BV28" s="138"/>
      <c r="BW28" s="66"/>
      <c r="BX28" s="138"/>
      <c r="BY28" s="66"/>
      <c r="BZ28" s="138"/>
      <c r="CA28" s="66"/>
      <c r="CB28" s="138"/>
    </row>
    <row r="29" spans="1:80">
      <c r="A29" s="184" t="s">
        <v>719</v>
      </c>
      <c r="B29" s="68" t="s">
        <v>409</v>
      </c>
      <c r="C29" s="67">
        <v>6200</v>
      </c>
      <c r="D29" s="159">
        <f t="shared" si="0"/>
        <v>6211.4167475389486</v>
      </c>
      <c r="E29" s="141"/>
      <c r="F29" s="138">
        <f>C29*1879.2321/6378.37</f>
        <v>1826.6797034352037</v>
      </c>
      <c r="G29" s="66">
        <f>C29*70.4712/6378.37</f>
        <v>68.500485233688238</v>
      </c>
      <c r="H29" s="138">
        <f>C29*35.2356/6378.37</f>
        <v>34.250242616844119</v>
      </c>
      <c r="I29" s="66">
        <f>C29*11.7452/6378.37</f>
        <v>11.416747538948039</v>
      </c>
      <c r="J29" s="138">
        <f>C29*5.9736/6378.37</f>
        <v>5.8065493221622448</v>
      </c>
      <c r="K29" s="66">
        <f>C29*1.593/6378.37</f>
        <v>1.5484520339836041</v>
      </c>
      <c r="L29" s="138"/>
      <c r="M29" s="66">
        <f>C29*0.1873/6378.37</f>
        <v>0.182062188302027</v>
      </c>
      <c r="N29" s="138"/>
      <c r="O29" s="66"/>
      <c r="P29" s="138">
        <f>C29*3965.2656/6378.37</f>
        <v>3854.3776419367337</v>
      </c>
      <c r="Q29" s="66"/>
      <c r="R29" s="138">
        <f>C29*9.5577/6378.37</f>
        <v>9.2904205933490847</v>
      </c>
      <c r="S29" s="66"/>
      <c r="T29" s="138"/>
      <c r="U29" s="66">
        <f>C29*0.3745/6378.37+C29*11.7452/6378.37+C29*23.4/6378.37</f>
        <v>34.526397810098821</v>
      </c>
      <c r="V29" s="138"/>
      <c r="W29" s="66"/>
      <c r="X29" s="138"/>
      <c r="Y29" s="66"/>
      <c r="Z29" s="138"/>
      <c r="AA29" s="66"/>
      <c r="AB29" s="138">
        <f>C29*6.9282/6378.37</f>
        <v>6.7344541003422513</v>
      </c>
      <c r="AC29" s="66"/>
      <c r="AD29" s="138">
        <f>C29*352.356/6378.37</f>
        <v>342.50242616844116</v>
      </c>
      <c r="AE29" s="66"/>
      <c r="AF29" s="138"/>
      <c r="AG29" s="66"/>
      <c r="AH29" s="138">
        <f>C29*10.76/6378.37</f>
        <v>10.459098484409026</v>
      </c>
      <c r="AI29" s="66"/>
      <c r="AJ29" s="138"/>
      <c r="AK29" s="66"/>
      <c r="AL29" s="138"/>
      <c r="AM29" s="66"/>
      <c r="AN29" s="138"/>
      <c r="AO29" s="66"/>
      <c r="AP29" s="138"/>
      <c r="AQ29" s="66"/>
      <c r="AR29" s="138"/>
      <c r="AS29" s="66"/>
      <c r="AT29" s="138"/>
      <c r="AU29" s="66"/>
      <c r="AV29" s="138"/>
      <c r="AW29" s="66"/>
      <c r="AX29" s="138"/>
      <c r="AY29" s="66"/>
      <c r="AZ29" s="138"/>
      <c r="BA29" s="66"/>
      <c r="BB29" s="138"/>
      <c r="BC29" s="66"/>
      <c r="BD29" s="138"/>
      <c r="BE29" s="66"/>
      <c r="BF29" s="138"/>
      <c r="BG29" s="66"/>
      <c r="BH29" s="138"/>
      <c r="BI29" s="66"/>
      <c r="BJ29" s="138"/>
      <c r="BK29" s="66"/>
      <c r="BL29" s="138"/>
      <c r="BM29" s="66"/>
      <c r="BN29" s="138"/>
      <c r="BO29" s="66"/>
      <c r="BP29" s="138"/>
      <c r="BQ29" s="66"/>
      <c r="BR29" s="138"/>
      <c r="BS29" s="66"/>
      <c r="BT29" s="138"/>
      <c r="BU29" s="66"/>
      <c r="BV29" s="138"/>
      <c r="BW29" s="66"/>
      <c r="BX29" s="138"/>
      <c r="BY29" s="66"/>
      <c r="BZ29" s="138"/>
      <c r="CA29" s="66"/>
      <c r="CB29" s="138">
        <f>C29*5.29/6378.37</f>
        <v>5.1420660764427275</v>
      </c>
    </row>
    <row r="30" spans="1:80">
      <c r="A30" s="143"/>
      <c r="B30" s="68" t="s">
        <v>404</v>
      </c>
      <c r="C30" s="67">
        <v>9.8657599999999999</v>
      </c>
      <c r="D30" s="142">
        <f t="shared" si="0"/>
        <v>9.8684899999999995</v>
      </c>
      <c r="E30" s="141"/>
      <c r="F30" s="140"/>
      <c r="G30" s="139"/>
      <c r="H30" s="140"/>
      <c r="I30" s="139">
        <f>0.008104+0.004343</f>
        <v>1.2447E-2</v>
      </c>
      <c r="J30" s="140"/>
      <c r="K30" s="139"/>
      <c r="L30" s="140"/>
      <c r="M30" s="139">
        <f>0.064+0.048593+0.001596+0.035105</f>
        <v>0.14929399999999998</v>
      </c>
      <c r="N30" s="140">
        <v>3.97E-4</v>
      </c>
      <c r="O30" s="139"/>
      <c r="P30" s="140">
        <v>0.4985</v>
      </c>
      <c r="Q30" s="139"/>
      <c r="R30" s="140">
        <v>0.33300000000000002</v>
      </c>
      <c r="S30" s="139">
        <f>0.000859+0.02774</f>
        <v>2.8598999999999999E-2</v>
      </c>
      <c r="T30" s="140"/>
      <c r="U30" s="139">
        <v>0.26500000000000001</v>
      </c>
      <c r="V30" s="138"/>
      <c r="W30" s="66"/>
      <c r="X30" s="138"/>
      <c r="Y30" s="66">
        <v>7.9799999999999999E-4</v>
      </c>
      <c r="Z30" s="138"/>
      <c r="AA30" s="66">
        <f>0.000595+0.000748+0.020018</f>
        <v>2.1361000000000002E-2</v>
      </c>
      <c r="AB30" s="138"/>
      <c r="AC30" s="66"/>
      <c r="AD30" s="138">
        <f>0.1764+0.000199+0.000499+0.009319+0.023297+0.001245</f>
        <v>0.21095900000000001</v>
      </c>
      <c r="AE30" s="66"/>
      <c r="AF30" s="138">
        <v>3.0692000000000001E-2</v>
      </c>
      <c r="AG30" s="66"/>
      <c r="AH30" s="138"/>
      <c r="AI30" s="66"/>
      <c r="AJ30" s="138">
        <f>0.069889+0.002488</f>
        <v>7.2377000000000011E-2</v>
      </c>
      <c r="AK30" s="66"/>
      <c r="AL30" s="138"/>
      <c r="AM30" s="66"/>
      <c r="AN30" s="138">
        <v>8.4000000000000005E-2</v>
      </c>
      <c r="AO30" s="66"/>
      <c r="AP30" s="138"/>
      <c r="AQ30" s="66"/>
      <c r="AR30" s="138"/>
      <c r="AS30" s="66"/>
      <c r="AT30" s="138"/>
      <c r="AU30" s="66"/>
      <c r="AV30" s="138"/>
      <c r="AW30" s="66"/>
      <c r="AX30" s="138">
        <v>8.1143999999999998</v>
      </c>
      <c r="AY30" s="66">
        <v>2.52E-2</v>
      </c>
      <c r="AZ30" s="138">
        <v>5.9659999999999999E-3</v>
      </c>
      <c r="BA30" s="66">
        <f>0.0019+0.004696</f>
        <v>6.5959999999999994E-3</v>
      </c>
      <c r="BB30" s="138">
        <v>1.529E-3</v>
      </c>
      <c r="BC30" s="66">
        <v>8.3799999999999999E-4</v>
      </c>
      <c r="BD30" s="138">
        <v>3.4699999999999998E-4</v>
      </c>
      <c r="BE30" s="66">
        <v>3.46E-3</v>
      </c>
      <c r="BF30" s="138">
        <v>2.7299999999999998E-3</v>
      </c>
      <c r="BG30" s="66"/>
      <c r="BH30" s="138"/>
      <c r="BI30" s="66"/>
      <c r="BJ30" s="138"/>
      <c r="BK30" s="66"/>
      <c r="BL30" s="138"/>
      <c r="BM30" s="66"/>
      <c r="BN30" s="138"/>
      <c r="BO30" s="66"/>
      <c r="BP30" s="138"/>
      <c r="BQ30" s="66"/>
      <c r="BR30" s="138"/>
      <c r="BS30" s="66"/>
      <c r="BT30" s="138"/>
      <c r="BU30" s="66"/>
      <c r="BV30" s="138"/>
      <c r="BW30" s="66"/>
      <c r="BX30" s="138"/>
      <c r="BY30" s="66"/>
      <c r="BZ30" s="138"/>
      <c r="CA30" s="66"/>
      <c r="CB30" s="138"/>
    </row>
    <row r="31" spans="1:80">
      <c r="A31" s="143"/>
      <c r="B31" s="68" t="s">
        <v>399</v>
      </c>
      <c r="C31" s="67">
        <v>2.47343</v>
      </c>
      <c r="D31" s="142">
        <f t="shared" si="0"/>
        <v>2.4707100000000004</v>
      </c>
      <c r="E31" s="141"/>
      <c r="F31" s="140"/>
      <c r="G31" s="139"/>
      <c r="H31" s="140"/>
      <c r="I31" s="139"/>
      <c r="J31" s="140"/>
      <c r="K31" s="139"/>
      <c r="L31" s="140"/>
      <c r="M31" s="139">
        <f>0.02095+0.00964+0.00152</f>
        <v>3.211E-2</v>
      </c>
      <c r="N31" s="140"/>
      <c r="O31" s="139"/>
      <c r="P31" s="140"/>
      <c r="Q31" s="139"/>
      <c r="R31" s="140">
        <v>0.10335999999999999</v>
      </c>
      <c r="S31" s="139">
        <v>3.2000000000000003E-4</v>
      </c>
      <c r="T31" s="140"/>
      <c r="U31" s="139">
        <v>5.4050000000000001E-2</v>
      </c>
      <c r="V31" s="138"/>
      <c r="W31" s="66"/>
      <c r="X31" s="138"/>
      <c r="Y31" s="66"/>
      <c r="Z31" s="138"/>
      <c r="AA31" s="66"/>
      <c r="AB31" s="138"/>
      <c r="AC31" s="66"/>
      <c r="AD31" s="138"/>
      <c r="AE31" s="66"/>
      <c r="AF31" s="138">
        <f>0.02824+0.00034</f>
        <v>2.8580000000000001E-2</v>
      </c>
      <c r="AG31" s="66"/>
      <c r="AH31" s="138"/>
      <c r="AI31" s="66"/>
      <c r="AJ31" s="138"/>
      <c r="AK31" s="66"/>
      <c r="AL31" s="138"/>
      <c r="AM31" s="66"/>
      <c r="AN31" s="138">
        <v>4.4400000000000002E-2</v>
      </c>
      <c r="AO31" s="66">
        <v>4.4400000000000002E-2</v>
      </c>
      <c r="AP31" s="138"/>
      <c r="AQ31" s="66"/>
      <c r="AR31" s="138"/>
      <c r="AS31" s="66"/>
      <c r="AT31" s="138"/>
      <c r="AU31" s="66"/>
      <c r="AV31" s="138"/>
      <c r="AW31" s="66"/>
      <c r="AX31" s="138">
        <v>2.1312000000000002</v>
      </c>
      <c r="AY31" s="66"/>
      <c r="AZ31" s="138">
        <v>1.0919999999999999E-2</v>
      </c>
      <c r="BA31" s="66"/>
      <c r="BB31" s="138"/>
      <c r="BC31" s="66"/>
      <c r="BD31" s="138"/>
      <c r="BE31" s="66"/>
      <c r="BF31" s="138"/>
      <c r="BG31" s="66">
        <v>2.137E-2</v>
      </c>
      <c r="BH31" s="138"/>
      <c r="BI31" s="66"/>
      <c r="BJ31" s="138"/>
      <c r="BK31" s="66"/>
      <c r="BL31" s="138"/>
      <c r="BM31" s="66"/>
      <c r="BN31" s="138"/>
      <c r="BO31" s="66"/>
      <c r="BP31" s="138"/>
      <c r="BQ31" s="66"/>
      <c r="BR31" s="138"/>
      <c r="BS31" s="66"/>
      <c r="BT31" s="138"/>
      <c r="BU31" s="66"/>
      <c r="BV31" s="138"/>
      <c r="BW31" s="66"/>
      <c r="BX31" s="138"/>
      <c r="BY31" s="66"/>
      <c r="BZ31" s="138"/>
      <c r="CA31" s="66"/>
      <c r="CB31" s="138"/>
    </row>
    <row r="32" spans="1:80">
      <c r="A32" s="143"/>
      <c r="B32" s="68" t="s">
        <v>396</v>
      </c>
      <c r="C32" s="67">
        <v>2.1322999999999999</v>
      </c>
      <c r="D32" s="142">
        <f t="shared" si="0"/>
        <v>2.1322999999999999</v>
      </c>
      <c r="E32" s="141"/>
      <c r="F32" s="140"/>
      <c r="G32" s="139"/>
      <c r="H32" s="140"/>
      <c r="I32" s="139"/>
      <c r="J32" s="140"/>
      <c r="K32" s="139"/>
      <c r="L32" s="140"/>
      <c r="M32" s="139">
        <f>0.08124+0.02019</f>
        <v>0.10143000000000001</v>
      </c>
      <c r="N32" s="140"/>
      <c r="O32" s="139"/>
      <c r="P32" s="140"/>
      <c r="Q32" s="139"/>
      <c r="R32" s="140">
        <v>6.2190000000000002E-2</v>
      </c>
      <c r="S32" s="139"/>
      <c r="T32" s="140"/>
      <c r="U32" s="139">
        <v>0.11550000000000001</v>
      </c>
      <c r="V32" s="138">
        <f>0.00826+0.00006+0.00002+0.00012</f>
        <v>8.4599999999999988E-3</v>
      </c>
      <c r="W32" s="66"/>
      <c r="X32" s="138"/>
      <c r="Y32" s="66"/>
      <c r="Z32" s="138"/>
      <c r="AA32" s="66"/>
      <c r="AB32" s="138"/>
      <c r="AC32" s="66"/>
      <c r="AD32" s="138">
        <f>0.05224+0.03405</f>
        <v>8.6290000000000006E-2</v>
      </c>
      <c r="AE32" s="66"/>
      <c r="AF32" s="138">
        <v>6.4799999999999996E-3</v>
      </c>
      <c r="AG32" s="66"/>
      <c r="AH32" s="138"/>
      <c r="AI32" s="66"/>
      <c r="AJ32" s="138"/>
      <c r="AK32" s="66"/>
      <c r="AL32" s="138"/>
      <c r="AM32" s="66"/>
      <c r="AN32" s="138">
        <v>1.7770000000000001E-2</v>
      </c>
      <c r="AO32" s="66"/>
      <c r="AP32" s="138"/>
      <c r="AQ32" s="66"/>
      <c r="AR32" s="138"/>
      <c r="AS32" s="66"/>
      <c r="AT32" s="138"/>
      <c r="AU32" s="66"/>
      <c r="AV32" s="138"/>
      <c r="AW32" s="66"/>
      <c r="AX32" s="138">
        <v>1.7168600000000001</v>
      </c>
      <c r="AY32" s="66"/>
      <c r="AZ32" s="138"/>
      <c r="BA32" s="66"/>
      <c r="BB32" s="138"/>
      <c r="BC32" s="66">
        <v>2.7E-4</v>
      </c>
      <c r="BD32" s="138"/>
      <c r="BE32" s="66"/>
      <c r="BF32" s="138"/>
      <c r="BG32" s="66"/>
      <c r="BH32" s="138">
        <f>0.00358+0.01267+0.0008</f>
        <v>1.7049999999999999E-2</v>
      </c>
      <c r="BI32" s="66"/>
      <c r="BJ32" s="138"/>
      <c r="BK32" s="66"/>
      <c r="BL32" s="138"/>
      <c r="BM32" s="66"/>
      <c r="BN32" s="138"/>
      <c r="BO32" s="66"/>
      <c r="BP32" s="138"/>
      <c r="BQ32" s="66"/>
      <c r="BR32" s="138"/>
      <c r="BS32" s="66"/>
      <c r="BT32" s="138"/>
      <c r="BU32" s="66"/>
      <c r="BV32" s="138"/>
      <c r="BW32" s="66"/>
      <c r="BX32" s="138"/>
      <c r="BY32" s="66"/>
      <c r="BZ32" s="138"/>
      <c r="CA32" s="66"/>
      <c r="CB32" s="138"/>
    </row>
    <row r="33" spans="1:80">
      <c r="A33" s="143"/>
      <c r="B33" s="68" t="s">
        <v>392</v>
      </c>
      <c r="C33" s="67">
        <v>4.54</v>
      </c>
      <c r="D33" s="142">
        <f t="shared" si="0"/>
        <v>4.5404400000000003</v>
      </c>
      <c r="E33" s="141"/>
      <c r="F33" s="140"/>
      <c r="G33" s="139"/>
      <c r="H33" s="140"/>
      <c r="I33" s="139"/>
      <c r="J33" s="140"/>
      <c r="K33" s="139"/>
      <c r="L33" s="140"/>
      <c r="M33" s="139">
        <f>0.07334+0.04452</f>
        <v>0.11785999999999999</v>
      </c>
      <c r="N33" s="140">
        <f>0.00204+0.000006+0.00546</f>
        <v>7.5059999999999997E-3</v>
      </c>
      <c r="O33" s="139"/>
      <c r="P33" s="140"/>
      <c r="Q33" s="139"/>
      <c r="R33" s="140">
        <f>0.000665+0.13275</f>
        <v>0.13341500000000001</v>
      </c>
      <c r="S33" s="139">
        <v>2E-3</v>
      </c>
      <c r="T33" s="140"/>
      <c r="U33" s="139">
        <v>0.11541999999999999</v>
      </c>
      <c r="V33" s="138">
        <f>0.00803+0.0008+0.00023+0.000825+0.000654+0.0026+0.000156</f>
        <v>1.3295E-2</v>
      </c>
      <c r="W33" s="66"/>
      <c r="X33" s="138"/>
      <c r="Y33" s="66">
        <v>1.8600000000000001E-3</v>
      </c>
      <c r="Z33" s="138"/>
      <c r="AA33" s="66"/>
      <c r="AB33" s="138"/>
      <c r="AC33" s="66"/>
      <c r="AD33" s="138"/>
      <c r="AE33" s="66"/>
      <c r="AF33" s="138"/>
      <c r="AG33" s="66"/>
      <c r="AH33" s="138"/>
      <c r="AI33" s="66"/>
      <c r="AJ33" s="138"/>
      <c r="AK33" s="66"/>
      <c r="AL33" s="138"/>
      <c r="AM33" s="66"/>
      <c r="AN33" s="138">
        <v>3.2129999999999999E-2</v>
      </c>
      <c r="AO33" s="66">
        <f>0.12046+0.00434</f>
        <v>0.12479999999999999</v>
      </c>
      <c r="AP33" s="138"/>
      <c r="AQ33" s="66"/>
      <c r="AR33" s="138"/>
      <c r="AS33" s="66">
        <v>6.6500000000000001E-4</v>
      </c>
      <c r="AT33" s="138"/>
      <c r="AU33" s="66"/>
      <c r="AV33" s="138"/>
      <c r="AW33" s="66">
        <f>0.03658+0.006006</f>
        <v>4.2585999999999999E-2</v>
      </c>
      <c r="AX33" s="138">
        <v>3.8548100000000001</v>
      </c>
      <c r="AY33" s="66"/>
      <c r="AZ33" s="138">
        <v>1.4024999999999999E-2</v>
      </c>
      <c r="BA33" s="66"/>
      <c r="BB33" s="138"/>
      <c r="BC33" s="66">
        <v>1.1599999999999999E-2</v>
      </c>
      <c r="BD33" s="138">
        <f>0.00002+0.001638</f>
        <v>1.658E-3</v>
      </c>
      <c r="BE33" s="66"/>
      <c r="BF33" s="138"/>
      <c r="BG33" s="66"/>
      <c r="BH33" s="138"/>
      <c r="BI33" s="66">
        <f>0.004+0.00407+0.0264+0.03234</f>
        <v>6.6810000000000008E-2</v>
      </c>
      <c r="BJ33" s="138"/>
      <c r="BK33" s="66"/>
      <c r="BL33" s="138"/>
      <c r="BM33" s="66"/>
      <c r="BN33" s="138"/>
      <c r="BO33" s="66"/>
      <c r="BP33" s="138"/>
      <c r="BQ33" s="66"/>
      <c r="BR33" s="138"/>
      <c r="BS33" s="66"/>
      <c r="BT33" s="138"/>
      <c r="BU33" s="66"/>
      <c r="BV33" s="138"/>
      <c r="BW33" s="66"/>
      <c r="BX33" s="138"/>
      <c r="BY33" s="66"/>
      <c r="BZ33" s="138"/>
      <c r="CA33" s="66"/>
      <c r="CB33" s="138"/>
    </row>
    <row r="34" spans="1:80">
      <c r="A34" s="143"/>
      <c r="B34" s="68" t="s">
        <v>388</v>
      </c>
      <c r="C34" s="67">
        <v>2.1611199999999999</v>
      </c>
      <c r="D34" s="142">
        <f t="shared" si="0"/>
        <v>2.1610189999999996</v>
      </c>
      <c r="E34" s="141"/>
      <c r="F34" s="140"/>
      <c r="G34" s="139"/>
      <c r="H34" s="140"/>
      <c r="I34" s="139">
        <f>0.001224+0.008165</f>
        <v>9.3889999999999998E-3</v>
      </c>
      <c r="J34" s="140"/>
      <c r="K34" s="139"/>
      <c r="L34" s="140"/>
      <c r="M34" s="139">
        <f>0.012982+0.014565+0.036742</f>
        <v>6.4288999999999999E-2</v>
      </c>
      <c r="N34" s="140">
        <v>8.1000000000000004E-5</v>
      </c>
      <c r="O34" s="139"/>
      <c r="P34" s="140"/>
      <c r="Q34" s="139"/>
      <c r="R34" s="140">
        <v>0.124</v>
      </c>
      <c r="S34" s="139">
        <v>1.75E-4</v>
      </c>
      <c r="T34" s="140"/>
      <c r="U34" s="139">
        <v>8.6999000000000007E-2</v>
      </c>
      <c r="V34" s="138"/>
      <c r="W34" s="66"/>
      <c r="X34" s="138"/>
      <c r="Y34" s="66">
        <v>7.7000000000000001E-5</v>
      </c>
      <c r="Z34" s="138"/>
      <c r="AA34" s="66">
        <f>0.000121+0.000225+0.003543+0.00816</f>
        <v>1.2049000000000001E-2</v>
      </c>
      <c r="AB34" s="138"/>
      <c r="AC34" s="66"/>
      <c r="AD34" s="138">
        <f>0.0378+0.000041+0.00015+0.003799+0.003519+0.000522</f>
        <v>4.5830999999999997E-2</v>
      </c>
      <c r="AE34" s="66"/>
      <c r="AF34" s="138">
        <v>3.6742999999999998E-2</v>
      </c>
      <c r="AG34" s="66"/>
      <c r="AH34" s="138"/>
      <c r="AI34" s="66"/>
      <c r="AJ34" s="138">
        <f>0.010557+0.001042</f>
        <v>1.1599E-2</v>
      </c>
      <c r="AK34" s="66"/>
      <c r="AL34" s="138">
        <v>1.55E-4</v>
      </c>
      <c r="AM34" s="66"/>
      <c r="AN34" s="138">
        <v>1.7999999999999999E-2</v>
      </c>
      <c r="AO34" s="66"/>
      <c r="AP34" s="138"/>
      <c r="AQ34" s="66"/>
      <c r="AR34" s="138"/>
      <c r="AS34" s="66"/>
      <c r="AT34" s="138"/>
      <c r="AU34" s="66"/>
      <c r="AV34" s="138"/>
      <c r="AW34" s="66"/>
      <c r="AX34" s="138">
        <v>1.7387999999999999</v>
      </c>
      <c r="AY34" s="66">
        <v>5.4000000000000003E-3</v>
      </c>
      <c r="AZ34" s="138">
        <v>3.163E-3</v>
      </c>
      <c r="BA34" s="66">
        <f>0.001242+0.001915</f>
        <v>3.1570000000000001E-3</v>
      </c>
      <c r="BB34" s="138">
        <v>6.2399999999999999E-4</v>
      </c>
      <c r="BC34" s="66">
        <v>3.4200000000000002E-4</v>
      </c>
      <c r="BD34" s="138">
        <v>1.46E-4</v>
      </c>
      <c r="BE34" s="66"/>
      <c r="BF34" s="138"/>
      <c r="BG34" s="66"/>
      <c r="BH34" s="138"/>
      <c r="BI34" s="66"/>
      <c r="BJ34" s="138"/>
      <c r="BK34" s="66"/>
      <c r="BL34" s="138"/>
      <c r="BM34" s="66"/>
      <c r="BN34" s="138"/>
      <c r="BO34" s="66"/>
      <c r="BP34" s="138"/>
      <c r="BQ34" s="66"/>
      <c r="BR34" s="138"/>
      <c r="BS34" s="66"/>
      <c r="BT34" s="138"/>
      <c r="BU34" s="66"/>
      <c r="BV34" s="138"/>
      <c r="BW34" s="66"/>
      <c r="BX34" s="138"/>
      <c r="BY34" s="66"/>
      <c r="BZ34" s="138"/>
      <c r="CA34" s="66"/>
      <c r="CB34" s="138"/>
    </row>
    <row r="35" spans="1:80">
      <c r="A35" s="143"/>
      <c r="B35" s="68" t="s">
        <v>385</v>
      </c>
      <c r="C35" s="67">
        <v>2.1611199999999999</v>
      </c>
      <c r="D35" s="142">
        <f t="shared" si="0"/>
        <v>2.1610189999999996</v>
      </c>
      <c r="E35" s="141"/>
      <c r="F35" s="140"/>
      <c r="G35" s="139"/>
      <c r="H35" s="140"/>
      <c r="I35" s="139">
        <f>0.001224+0.008165</f>
        <v>9.3889999999999998E-3</v>
      </c>
      <c r="J35" s="140"/>
      <c r="K35" s="139"/>
      <c r="L35" s="140"/>
      <c r="M35" s="139">
        <f>0.012982+0.014565+0.036742</f>
        <v>6.4288999999999999E-2</v>
      </c>
      <c r="N35" s="140">
        <v>8.1000000000000004E-5</v>
      </c>
      <c r="O35" s="139"/>
      <c r="P35" s="140"/>
      <c r="Q35" s="139"/>
      <c r="R35" s="140">
        <v>0.124</v>
      </c>
      <c r="S35" s="139">
        <v>1.75E-4</v>
      </c>
      <c r="T35" s="140"/>
      <c r="U35" s="139">
        <v>8.6999000000000007E-2</v>
      </c>
      <c r="V35" s="138"/>
      <c r="W35" s="66"/>
      <c r="X35" s="138"/>
      <c r="Y35" s="66">
        <v>7.7000000000000001E-5</v>
      </c>
      <c r="Z35" s="138"/>
      <c r="AA35" s="66">
        <f>0.000121+0.000225+0.003543+0.00816</f>
        <v>1.2049000000000001E-2</v>
      </c>
      <c r="AB35" s="138"/>
      <c r="AC35" s="66"/>
      <c r="AD35" s="138">
        <f>0.0378+0.000041+0.00015+0.003799+0.003519+0.000522</f>
        <v>4.5830999999999997E-2</v>
      </c>
      <c r="AE35" s="66"/>
      <c r="AF35" s="138">
        <v>3.6742999999999998E-2</v>
      </c>
      <c r="AG35" s="66"/>
      <c r="AH35" s="138"/>
      <c r="AI35" s="66"/>
      <c r="AJ35" s="138">
        <f>0.010557+0.001042</f>
        <v>1.1599E-2</v>
      </c>
      <c r="AK35" s="66"/>
      <c r="AL35" s="138">
        <v>1.55E-4</v>
      </c>
      <c r="AM35" s="66"/>
      <c r="AN35" s="138">
        <v>1.7999999999999999E-2</v>
      </c>
      <c r="AO35" s="66"/>
      <c r="AP35" s="138"/>
      <c r="AQ35" s="66"/>
      <c r="AR35" s="138"/>
      <c r="AS35" s="66"/>
      <c r="AT35" s="138"/>
      <c r="AU35" s="66"/>
      <c r="AV35" s="138"/>
      <c r="AW35" s="66"/>
      <c r="AX35" s="138">
        <v>1.7387999999999999</v>
      </c>
      <c r="AY35" s="66">
        <v>5.4000000000000003E-3</v>
      </c>
      <c r="AZ35" s="138">
        <v>3.163E-3</v>
      </c>
      <c r="BA35" s="66">
        <f>0.001242+0.001915</f>
        <v>3.1570000000000001E-3</v>
      </c>
      <c r="BB35" s="138">
        <v>6.2399999999999999E-4</v>
      </c>
      <c r="BC35" s="66">
        <v>3.4200000000000002E-4</v>
      </c>
      <c r="BD35" s="138">
        <v>1.46E-4</v>
      </c>
      <c r="BE35" s="66"/>
      <c r="BF35" s="138"/>
      <c r="BG35" s="66"/>
      <c r="BH35" s="138"/>
      <c r="BI35" s="66"/>
      <c r="BJ35" s="138"/>
      <c r="BK35" s="66"/>
      <c r="BL35" s="138"/>
      <c r="BM35" s="66"/>
      <c r="BN35" s="138"/>
      <c r="BO35" s="66"/>
      <c r="BP35" s="138"/>
      <c r="BQ35" s="66"/>
      <c r="BR35" s="138"/>
      <c r="BS35" s="66"/>
      <c r="BT35" s="138"/>
      <c r="BU35" s="66"/>
      <c r="BV35" s="138"/>
      <c r="BW35" s="66"/>
      <c r="BX35" s="138"/>
      <c r="BY35" s="66"/>
      <c r="BZ35" s="138"/>
      <c r="CA35" s="66"/>
      <c r="CB35" s="138"/>
    </row>
    <row r="36" spans="1:80">
      <c r="A36" s="143"/>
      <c r="B36" s="68" t="s">
        <v>381</v>
      </c>
      <c r="C36" s="67">
        <v>2.47343</v>
      </c>
      <c r="D36" s="142">
        <f t="shared" si="0"/>
        <v>2.4707100000000004</v>
      </c>
      <c r="E36" s="141"/>
      <c r="F36" s="140"/>
      <c r="G36" s="139"/>
      <c r="H36" s="140"/>
      <c r="I36" s="139"/>
      <c r="J36" s="140"/>
      <c r="K36" s="139"/>
      <c r="L36" s="140"/>
      <c r="M36" s="139">
        <f>0.02095+0.00964+0.00152</f>
        <v>3.211E-2</v>
      </c>
      <c r="N36" s="140"/>
      <c r="O36" s="139"/>
      <c r="P36" s="140"/>
      <c r="Q36" s="139"/>
      <c r="R36" s="140">
        <v>0.10335999999999999</v>
      </c>
      <c r="S36" s="139">
        <v>3.2000000000000003E-4</v>
      </c>
      <c r="T36" s="140"/>
      <c r="U36" s="139">
        <v>5.4050000000000001E-2</v>
      </c>
      <c r="V36" s="138"/>
      <c r="W36" s="66"/>
      <c r="X36" s="138"/>
      <c r="Y36" s="66"/>
      <c r="Z36" s="138"/>
      <c r="AA36" s="66"/>
      <c r="AB36" s="138"/>
      <c r="AC36" s="66"/>
      <c r="AD36" s="138"/>
      <c r="AE36" s="66"/>
      <c r="AF36" s="138">
        <f>0.02824+0.00034</f>
        <v>2.8580000000000001E-2</v>
      </c>
      <c r="AG36" s="66"/>
      <c r="AH36" s="138"/>
      <c r="AI36" s="66"/>
      <c r="AJ36" s="138"/>
      <c r="AK36" s="66"/>
      <c r="AL36" s="138"/>
      <c r="AM36" s="66"/>
      <c r="AN36" s="138">
        <v>4.4400000000000002E-2</v>
      </c>
      <c r="AO36" s="66">
        <v>4.4400000000000002E-2</v>
      </c>
      <c r="AP36" s="138"/>
      <c r="AQ36" s="66"/>
      <c r="AR36" s="138"/>
      <c r="AS36" s="66"/>
      <c r="AT36" s="138"/>
      <c r="AU36" s="66"/>
      <c r="AV36" s="138"/>
      <c r="AW36" s="66"/>
      <c r="AX36" s="138">
        <v>2.1312000000000002</v>
      </c>
      <c r="AY36" s="66"/>
      <c r="AZ36" s="138">
        <v>1.0919999999999999E-2</v>
      </c>
      <c r="BA36" s="66"/>
      <c r="BB36" s="138"/>
      <c r="BC36" s="66"/>
      <c r="BD36" s="138"/>
      <c r="BE36" s="66"/>
      <c r="BF36" s="138"/>
      <c r="BG36" s="66">
        <v>2.137E-2</v>
      </c>
      <c r="BH36" s="138"/>
      <c r="BI36" s="66"/>
      <c r="BJ36" s="138"/>
      <c r="BK36" s="66"/>
      <c r="BL36" s="138"/>
      <c r="BM36" s="66"/>
      <c r="BN36" s="138"/>
      <c r="BO36" s="66"/>
      <c r="BP36" s="138"/>
      <c r="BQ36" s="66"/>
      <c r="BR36" s="138"/>
      <c r="BS36" s="66"/>
      <c r="BT36" s="138"/>
      <c r="BU36" s="66"/>
      <c r="BV36" s="138"/>
      <c r="BW36" s="66"/>
      <c r="BX36" s="138"/>
      <c r="BY36" s="66"/>
      <c r="BZ36" s="138"/>
      <c r="CA36" s="66"/>
      <c r="CB36" s="138"/>
    </row>
    <row r="37" spans="1:80">
      <c r="A37" s="143"/>
      <c r="B37" s="68" t="s">
        <v>377</v>
      </c>
      <c r="C37" s="67">
        <v>2.47343</v>
      </c>
      <c r="D37" s="142">
        <f t="shared" si="0"/>
        <v>2.4707100000000004</v>
      </c>
      <c r="E37" s="141"/>
      <c r="F37" s="140"/>
      <c r="G37" s="139"/>
      <c r="H37" s="140"/>
      <c r="I37" s="139"/>
      <c r="J37" s="140"/>
      <c r="K37" s="139"/>
      <c r="L37" s="140"/>
      <c r="M37" s="139">
        <f>0.02095+0.00964+0.00152</f>
        <v>3.211E-2</v>
      </c>
      <c r="N37" s="140"/>
      <c r="O37" s="139"/>
      <c r="P37" s="140"/>
      <c r="Q37" s="139"/>
      <c r="R37" s="140">
        <v>0.10335999999999999</v>
      </c>
      <c r="S37" s="139">
        <v>3.2000000000000003E-4</v>
      </c>
      <c r="T37" s="140"/>
      <c r="U37" s="139">
        <v>5.4050000000000001E-2</v>
      </c>
      <c r="V37" s="138"/>
      <c r="W37" s="66"/>
      <c r="X37" s="138"/>
      <c r="Y37" s="66"/>
      <c r="Z37" s="138"/>
      <c r="AA37" s="66"/>
      <c r="AB37" s="138"/>
      <c r="AC37" s="66"/>
      <c r="AD37" s="138"/>
      <c r="AE37" s="66"/>
      <c r="AF37" s="138">
        <f>0.02824+0.00034</f>
        <v>2.8580000000000001E-2</v>
      </c>
      <c r="AG37" s="66"/>
      <c r="AH37" s="138"/>
      <c r="AI37" s="66"/>
      <c r="AJ37" s="138"/>
      <c r="AK37" s="66"/>
      <c r="AL37" s="138"/>
      <c r="AM37" s="66"/>
      <c r="AN37" s="138">
        <v>4.4400000000000002E-2</v>
      </c>
      <c r="AO37" s="66">
        <v>4.4400000000000002E-2</v>
      </c>
      <c r="AP37" s="138"/>
      <c r="AQ37" s="66"/>
      <c r="AR37" s="138"/>
      <c r="AS37" s="66"/>
      <c r="AT37" s="138"/>
      <c r="AU37" s="66"/>
      <c r="AV37" s="138"/>
      <c r="AW37" s="66"/>
      <c r="AX37" s="138">
        <v>2.1312000000000002</v>
      </c>
      <c r="AY37" s="66"/>
      <c r="AZ37" s="138">
        <v>1.0919999999999999E-2</v>
      </c>
      <c r="BA37" s="66"/>
      <c r="BB37" s="138"/>
      <c r="BC37" s="66"/>
      <c r="BD37" s="138"/>
      <c r="BE37" s="66"/>
      <c r="BF37" s="138"/>
      <c r="BG37" s="66">
        <v>2.137E-2</v>
      </c>
      <c r="BH37" s="138"/>
      <c r="BI37" s="66"/>
      <c r="BJ37" s="138"/>
      <c r="BK37" s="66"/>
      <c r="BL37" s="138"/>
      <c r="BM37" s="66"/>
      <c r="BN37" s="138"/>
      <c r="BO37" s="66"/>
      <c r="BP37" s="138"/>
      <c r="BQ37" s="66"/>
      <c r="BR37" s="138"/>
      <c r="BS37" s="66"/>
      <c r="BT37" s="138"/>
      <c r="BU37" s="66"/>
      <c r="BV37" s="138"/>
      <c r="BW37" s="66"/>
      <c r="BX37" s="138"/>
      <c r="BY37" s="66"/>
      <c r="BZ37" s="138"/>
      <c r="CA37" s="66"/>
      <c r="CB37" s="138"/>
    </row>
    <row r="38" spans="1:80">
      <c r="A38" s="143"/>
      <c r="B38" s="68" t="s">
        <v>373</v>
      </c>
      <c r="C38" s="67">
        <v>4.8129499999999998</v>
      </c>
      <c r="D38" s="142">
        <f t="shared" ref="D38:D54" si="4">SUM(E38:CV38)</f>
        <v>4.955750000000001</v>
      </c>
      <c r="E38" s="141"/>
      <c r="F38" s="140"/>
      <c r="G38" s="139"/>
      <c r="H38" s="140"/>
      <c r="I38" s="139">
        <f>0.00324+0.005831</f>
        <v>9.0709999999999992E-3</v>
      </c>
      <c r="J38" s="140"/>
      <c r="K38" s="139"/>
      <c r="L38" s="140"/>
      <c r="M38" s="139">
        <f>0.032982+0.027845+0.047136</f>
        <v>0.107963</v>
      </c>
      <c r="N38" s="140">
        <v>2.05E-4</v>
      </c>
      <c r="O38" s="139"/>
      <c r="P38" s="140"/>
      <c r="Q38" s="139"/>
      <c r="R38" s="140">
        <v>0.223</v>
      </c>
      <c r="S38" s="139">
        <v>4.4299999999999998E-4</v>
      </c>
      <c r="T38" s="140"/>
      <c r="U38" s="139">
        <v>0.156</v>
      </c>
      <c r="V38" s="138"/>
      <c r="W38" s="66"/>
      <c r="X38" s="138"/>
      <c r="Y38" s="66">
        <v>1.06E-4</v>
      </c>
      <c r="Z38" s="138"/>
      <c r="AA38" s="66">
        <f>0.000307+0.000429+0.004997+0.009832</f>
        <v>1.5564999999999999E-2</v>
      </c>
      <c r="AB38" s="138"/>
      <c r="AC38" s="66"/>
      <c r="AD38" s="138">
        <f>0.0882+0.000103+0.000286+0.004578+0.009315+0.000851</f>
        <v>0.10333300000000001</v>
      </c>
      <c r="AE38" s="66"/>
      <c r="AF38" s="138">
        <v>4.1208000000000002E-2</v>
      </c>
      <c r="AG38" s="66"/>
      <c r="AH38" s="138"/>
      <c r="AI38" s="66"/>
      <c r="AJ38" s="138">
        <f>0.027945+0.001701</f>
        <v>2.9646000000000002E-2</v>
      </c>
      <c r="AK38" s="66"/>
      <c r="AL38" s="138">
        <v>2.13E-4</v>
      </c>
      <c r="AM38" s="66"/>
      <c r="AN38" s="138">
        <v>4.2000000000000003E-2</v>
      </c>
      <c r="AO38" s="66"/>
      <c r="AP38" s="138"/>
      <c r="AQ38" s="66"/>
      <c r="AR38" s="138"/>
      <c r="AS38" s="66"/>
      <c r="AT38" s="138"/>
      <c r="AU38" s="66"/>
      <c r="AV38" s="138"/>
      <c r="AW38" s="66"/>
      <c r="AX38" s="138">
        <v>4.2</v>
      </c>
      <c r="AY38" s="66">
        <v>1.26E-2</v>
      </c>
      <c r="AZ38" s="138">
        <v>4.3400000000000001E-3</v>
      </c>
      <c r="BA38" s="66">
        <f>0.001704+0.002307</f>
        <v>4.0109999999999998E-3</v>
      </c>
      <c r="BB38" s="138">
        <v>7.5100000000000004E-4</v>
      </c>
      <c r="BC38" s="66">
        <v>4.1199999999999999E-4</v>
      </c>
      <c r="BD38" s="138">
        <v>2.3800000000000001E-4</v>
      </c>
      <c r="BE38" s="66">
        <v>4.6449999999999998E-3</v>
      </c>
      <c r="BF38" s="138"/>
      <c r="BG38" s="66"/>
      <c r="BH38" s="138"/>
      <c r="BI38" s="66"/>
      <c r="BJ38" s="138"/>
      <c r="BK38" s="66"/>
      <c r="BL38" s="138"/>
      <c r="BM38" s="66"/>
      <c r="BN38" s="138"/>
      <c r="BO38" s="66"/>
      <c r="BP38" s="138"/>
      <c r="BQ38" s="66"/>
      <c r="BR38" s="138"/>
      <c r="BS38" s="66"/>
      <c r="BT38" s="138"/>
      <c r="BU38" s="66"/>
      <c r="BV38" s="138"/>
      <c r="BW38" s="66"/>
      <c r="BX38" s="138"/>
      <c r="BY38" s="66"/>
      <c r="BZ38" s="138"/>
      <c r="CA38" s="66"/>
      <c r="CB38" s="138"/>
    </row>
    <row r="39" spans="1:80">
      <c r="A39" s="183" t="s">
        <v>718</v>
      </c>
      <c r="B39" s="68" t="s">
        <v>368</v>
      </c>
      <c r="C39" s="67">
        <v>420</v>
      </c>
      <c r="D39" s="142">
        <f t="shared" si="4"/>
        <v>429.20324376333917</v>
      </c>
      <c r="E39" s="141"/>
      <c r="F39" s="140"/>
      <c r="G39" s="139"/>
      <c r="H39" s="140"/>
      <c r="I39" s="139">
        <f>C39*(0.00324+0.005831)/C38</f>
        <v>0.79157689151144306</v>
      </c>
      <c r="J39" s="140"/>
      <c r="K39" s="139"/>
      <c r="L39" s="140"/>
      <c r="M39" s="139">
        <f>C39*(0.032982+0.027845+0.047136)/C38</f>
        <v>9.4213444976573619</v>
      </c>
      <c r="N39" s="140">
        <f>C39*(0.000205)/C38</f>
        <v>1.7889236331148257E-2</v>
      </c>
      <c r="O39" s="139"/>
      <c r="P39" s="140"/>
      <c r="Q39" s="139"/>
      <c r="R39" s="140">
        <f>C39*(0.223)/C38</f>
        <v>19.45999854559054</v>
      </c>
      <c r="S39" s="139">
        <f>C39*(0.000443)/C38</f>
        <v>3.8658203388774036E-2</v>
      </c>
      <c r="T39" s="140"/>
      <c r="U39" s="139">
        <f>C39*(0.156)/C38</f>
        <v>13.613272525166478</v>
      </c>
      <c r="V39" s="138"/>
      <c r="W39" s="66"/>
      <c r="X39" s="138"/>
      <c r="Y39" s="66">
        <f>C39*(0.000106)/C38</f>
        <v>9.2500441517156841E-3</v>
      </c>
      <c r="Z39" s="138"/>
      <c r="AA39" s="66">
        <f>C39*(0.000307+0.000429+0.004997+0.009832)/C38</f>
        <v>1.3582729926552322</v>
      </c>
      <c r="AB39" s="138"/>
      <c r="AC39" s="66"/>
      <c r="AD39" s="138">
        <f>C39*(0.0882+0.000103+0.000286+0.004578+0.009315+0.000851)/C38</f>
        <v>9.0173095502758187</v>
      </c>
      <c r="AE39" s="66"/>
      <c r="AF39" s="138">
        <f>C39*(0.041208)/C38</f>
        <v>3.5959982962632067</v>
      </c>
      <c r="AG39" s="66"/>
      <c r="AH39" s="138"/>
      <c r="AI39" s="66"/>
      <c r="AJ39" s="138">
        <f>C39*(0.027945+0.001701)/C38</f>
        <v>2.5870453671864451</v>
      </c>
      <c r="AK39" s="66"/>
      <c r="AL39" s="138">
        <f>C39*(0.000213)/C38</f>
        <v>1.8587352870900384E-2</v>
      </c>
      <c r="AM39" s="66"/>
      <c r="AN39" s="138">
        <f>C39*(0.042)/38</f>
        <v>0.46421052631578946</v>
      </c>
      <c r="AO39" s="66"/>
      <c r="AP39" s="138"/>
      <c r="AQ39" s="66"/>
      <c r="AR39" s="138"/>
      <c r="AS39" s="66"/>
      <c r="AT39" s="138"/>
      <c r="AU39" s="66"/>
      <c r="AV39" s="138"/>
      <c r="AW39" s="66"/>
      <c r="AX39" s="138">
        <f>C39*(4.2)/C38</f>
        <v>366.51118336986673</v>
      </c>
      <c r="AY39" s="66">
        <f>C39*(0.0126)/C38</f>
        <v>1.0995335501096002</v>
      </c>
      <c r="AZ39" s="138">
        <f>C39*(0.00434)/C38</f>
        <v>0.37872822281552893</v>
      </c>
      <c r="BA39" s="66">
        <f>C39*(0.001704+0.002307)/C38</f>
        <v>0.35001818011822272</v>
      </c>
      <c r="BB39" s="138">
        <f>C39*(0.000751)/38</f>
        <v>8.3005263157894752E-3</v>
      </c>
      <c r="BC39" s="66">
        <f>C39*(0.000412)/C38</f>
        <v>3.5953001797234548E-2</v>
      </c>
      <c r="BD39" s="138">
        <f>C39*(0.000238)/C38</f>
        <v>2.0768967057625782E-2</v>
      </c>
      <c r="BE39" s="66">
        <f>C39*(0.004645)/C38</f>
        <v>0.40534391589357877</v>
      </c>
      <c r="BF39" s="138"/>
      <c r="BG39" s="66"/>
      <c r="BH39" s="138"/>
      <c r="BI39" s="66"/>
      <c r="BJ39" s="138"/>
      <c r="BK39" s="66"/>
      <c r="BL39" s="138"/>
      <c r="BM39" s="66"/>
      <c r="BN39" s="138"/>
      <c r="BO39" s="66"/>
      <c r="BP39" s="138"/>
      <c r="BQ39" s="66"/>
      <c r="BR39" s="138"/>
      <c r="BS39" s="66"/>
      <c r="BT39" s="138"/>
      <c r="BU39" s="66"/>
      <c r="BV39" s="138"/>
      <c r="BW39" s="66"/>
      <c r="BX39" s="138"/>
      <c r="BY39" s="66"/>
      <c r="BZ39" s="138"/>
      <c r="CA39" s="66"/>
      <c r="CB39" s="138"/>
    </row>
    <row r="40" spans="1:80">
      <c r="A40" s="143"/>
      <c r="B40" s="68" t="s">
        <v>364</v>
      </c>
      <c r="C40" s="67">
        <v>39.448</v>
      </c>
      <c r="D40" s="142">
        <f t="shared" si="4"/>
        <v>39.447950000000006</v>
      </c>
      <c r="E40" s="141"/>
      <c r="F40" s="140">
        <v>0.27360000000000001</v>
      </c>
      <c r="G40" s="139"/>
      <c r="H40" s="140"/>
      <c r="I40" s="139">
        <v>3.2199999999999999E-2</v>
      </c>
      <c r="J40" s="140"/>
      <c r="K40" s="139"/>
      <c r="L40" s="140"/>
      <c r="M40" s="139">
        <f>0.4725+0.1144+0.0714</f>
        <v>0.6583</v>
      </c>
      <c r="N40" s="140"/>
      <c r="O40" s="139"/>
      <c r="P40" s="140"/>
      <c r="Q40" s="139"/>
      <c r="R40" s="140">
        <f>0.0065+1.432</f>
        <v>1.4384999999999999</v>
      </c>
      <c r="S40" s="139">
        <v>4.7999999999999996E-3</v>
      </c>
      <c r="T40" s="140"/>
      <c r="U40" s="139">
        <v>1.4319999999999999</v>
      </c>
      <c r="V40" s="138"/>
      <c r="W40" s="66"/>
      <c r="X40" s="138"/>
      <c r="Y40" s="66"/>
      <c r="Z40" s="138"/>
      <c r="AA40" s="66"/>
      <c r="AB40" s="138"/>
      <c r="AC40" s="66"/>
      <c r="AD40" s="138">
        <f>1.0498</f>
        <v>1.0498000000000001</v>
      </c>
      <c r="AE40" s="66"/>
      <c r="AF40" s="138">
        <f>0.2039+0.03156</f>
        <v>0.23546</v>
      </c>
      <c r="AG40" s="66"/>
      <c r="AH40" s="138"/>
      <c r="AI40" s="66"/>
      <c r="AJ40" s="138"/>
      <c r="AK40" s="66"/>
      <c r="AL40" s="138"/>
      <c r="AM40" s="66"/>
      <c r="AN40" s="138">
        <f>0.3499</f>
        <v>0.34989999999999999</v>
      </c>
      <c r="AO40" s="66"/>
      <c r="AP40" s="138"/>
      <c r="AQ40" s="66"/>
      <c r="AR40" s="138"/>
      <c r="AS40" s="66">
        <f>0.0053</f>
        <v>5.3E-3</v>
      </c>
      <c r="AT40" s="138"/>
      <c r="AU40" s="66"/>
      <c r="AV40" s="138"/>
      <c r="AW40" s="66"/>
      <c r="AX40" s="138">
        <f>33.5945</f>
        <v>33.594499999999996</v>
      </c>
      <c r="AY40" s="66"/>
      <c r="AZ40" s="138">
        <v>8.72E-2</v>
      </c>
      <c r="BA40" s="66"/>
      <c r="BB40" s="138"/>
      <c r="BC40" s="66"/>
      <c r="BD40" s="138">
        <f>0.00789</f>
        <v>7.8899999999999994E-3</v>
      </c>
      <c r="BE40" s="66"/>
      <c r="BF40" s="138">
        <f>0.146</f>
        <v>0.14599999999999999</v>
      </c>
      <c r="BG40" s="66"/>
      <c r="BH40" s="138"/>
      <c r="BI40" s="66">
        <f>0.1057</f>
        <v>0.1057</v>
      </c>
      <c r="BJ40" s="138">
        <f>0.0268</f>
        <v>2.6800000000000001E-2</v>
      </c>
      <c r="BK40" s="66"/>
      <c r="BL40" s="138"/>
      <c r="BM40" s="66"/>
      <c r="BN40" s="138"/>
      <c r="BO40" s="66"/>
      <c r="BP40" s="138"/>
      <c r="BQ40" s="66"/>
      <c r="BR40" s="138"/>
      <c r="BS40" s="66"/>
      <c r="BT40" s="138"/>
      <c r="BU40" s="66"/>
      <c r="BV40" s="138"/>
      <c r="BW40" s="66"/>
      <c r="BX40" s="138"/>
      <c r="BY40" s="66"/>
      <c r="BZ40" s="138"/>
      <c r="CA40" s="66"/>
      <c r="CB40" s="138"/>
    </row>
    <row r="41" spans="1:80">
      <c r="A41" s="143"/>
      <c r="B41" s="68" t="s">
        <v>358</v>
      </c>
      <c r="C41" s="67">
        <v>2</v>
      </c>
      <c r="D41" s="146">
        <f t="shared" si="4"/>
        <v>0</v>
      </c>
      <c r="E41" s="141"/>
      <c r="F41" s="140"/>
      <c r="G41" s="139"/>
      <c r="H41" s="140"/>
      <c r="I41" s="139"/>
      <c r="J41" s="140"/>
      <c r="K41" s="139"/>
      <c r="L41" s="140"/>
      <c r="M41" s="139"/>
      <c r="N41" s="140"/>
      <c r="O41" s="139"/>
      <c r="P41" s="140"/>
      <c r="Q41" s="139"/>
      <c r="R41" s="140"/>
      <c r="S41" s="139"/>
      <c r="T41" s="140"/>
      <c r="U41" s="139"/>
      <c r="V41" s="138"/>
      <c r="W41" s="66"/>
      <c r="X41" s="138"/>
      <c r="Y41" s="66"/>
      <c r="Z41" s="138"/>
      <c r="AA41" s="66"/>
      <c r="AB41" s="138"/>
      <c r="AC41" s="66"/>
      <c r="AD41" s="138"/>
      <c r="AE41" s="66"/>
      <c r="AF41" s="138"/>
      <c r="AG41" s="66"/>
      <c r="AH41" s="138"/>
      <c r="AI41" s="66"/>
      <c r="AJ41" s="138"/>
      <c r="AK41" s="66"/>
      <c r="AL41" s="138"/>
      <c r="AM41" s="66"/>
      <c r="AN41" s="138"/>
      <c r="AO41" s="66"/>
      <c r="AP41" s="138"/>
      <c r="AQ41" s="66"/>
      <c r="AR41" s="138"/>
      <c r="AS41" s="66"/>
      <c r="AT41" s="138"/>
      <c r="AU41" s="66"/>
      <c r="AV41" s="138"/>
      <c r="AW41" s="66"/>
      <c r="AX41" s="138"/>
      <c r="AY41" s="66"/>
      <c r="AZ41" s="138"/>
      <c r="BA41" s="66"/>
      <c r="BB41" s="138"/>
      <c r="BC41" s="66"/>
      <c r="BD41" s="138"/>
      <c r="BE41" s="66"/>
      <c r="BF41" s="138"/>
      <c r="BG41" s="66"/>
      <c r="BH41" s="138"/>
      <c r="BI41" s="66"/>
      <c r="BJ41" s="138"/>
      <c r="BK41" s="66"/>
      <c r="BL41" s="138"/>
      <c r="BM41" s="66"/>
      <c r="BN41" s="138"/>
      <c r="BO41" s="66"/>
      <c r="BP41" s="138"/>
      <c r="BQ41" s="66"/>
      <c r="BR41" s="138"/>
      <c r="BS41" s="66"/>
      <c r="BT41" s="138"/>
      <c r="BU41" s="66"/>
      <c r="BV41" s="138"/>
      <c r="BW41" s="66"/>
      <c r="BX41" s="138"/>
      <c r="BY41" s="66"/>
      <c r="BZ41" s="138"/>
      <c r="CA41" s="66"/>
      <c r="CB41" s="138"/>
    </row>
    <row r="42" spans="1:80">
      <c r="A42" s="143"/>
      <c r="B42" s="68" t="s">
        <v>353</v>
      </c>
      <c r="C42" s="67">
        <v>2.47343</v>
      </c>
      <c r="D42" s="142">
        <f t="shared" si="4"/>
        <v>2.4707100000000004</v>
      </c>
      <c r="E42" s="141"/>
      <c r="F42" s="140"/>
      <c r="G42" s="139"/>
      <c r="H42" s="140"/>
      <c r="I42" s="139"/>
      <c r="J42" s="140"/>
      <c r="K42" s="139"/>
      <c r="L42" s="140"/>
      <c r="M42" s="139">
        <f>0.02095+0.00964+0.00152</f>
        <v>3.211E-2</v>
      </c>
      <c r="N42" s="140"/>
      <c r="O42" s="139"/>
      <c r="P42" s="140"/>
      <c r="Q42" s="139"/>
      <c r="R42" s="140">
        <v>0.10335999999999999</v>
      </c>
      <c r="S42" s="139">
        <v>3.2000000000000003E-4</v>
      </c>
      <c r="T42" s="140"/>
      <c r="U42" s="139">
        <v>5.4050000000000001E-2</v>
      </c>
      <c r="V42" s="138"/>
      <c r="W42" s="66"/>
      <c r="X42" s="138"/>
      <c r="Y42" s="66"/>
      <c r="Z42" s="138"/>
      <c r="AA42" s="66"/>
      <c r="AB42" s="138"/>
      <c r="AC42" s="66"/>
      <c r="AD42" s="138"/>
      <c r="AE42" s="66"/>
      <c r="AF42" s="138">
        <f>0.02824+0.00034</f>
        <v>2.8580000000000001E-2</v>
      </c>
      <c r="AG42" s="66"/>
      <c r="AH42" s="138"/>
      <c r="AI42" s="66"/>
      <c r="AJ42" s="138"/>
      <c r="AK42" s="66"/>
      <c r="AL42" s="138"/>
      <c r="AM42" s="66"/>
      <c r="AN42" s="138">
        <v>4.4400000000000002E-2</v>
      </c>
      <c r="AO42" s="66">
        <v>4.4400000000000002E-2</v>
      </c>
      <c r="AP42" s="138"/>
      <c r="AQ42" s="66"/>
      <c r="AR42" s="138"/>
      <c r="AS42" s="66"/>
      <c r="AT42" s="138"/>
      <c r="AU42" s="66"/>
      <c r="AV42" s="138"/>
      <c r="AW42" s="66"/>
      <c r="AX42" s="138">
        <v>2.1312000000000002</v>
      </c>
      <c r="AY42" s="66"/>
      <c r="AZ42" s="138">
        <v>1.0919999999999999E-2</v>
      </c>
      <c r="BA42" s="66"/>
      <c r="BB42" s="138"/>
      <c r="BC42" s="66"/>
      <c r="BD42" s="138"/>
      <c r="BE42" s="66"/>
      <c r="BF42" s="138"/>
      <c r="BG42" s="66">
        <v>2.137E-2</v>
      </c>
      <c r="BH42" s="138"/>
      <c r="BI42" s="66"/>
      <c r="BJ42" s="138"/>
      <c r="BK42" s="66"/>
      <c r="BL42" s="138"/>
      <c r="BM42" s="66"/>
      <c r="BN42" s="138"/>
      <c r="BO42" s="66"/>
      <c r="BP42" s="138"/>
      <c r="BQ42" s="66"/>
      <c r="BR42" s="138"/>
      <c r="BS42" s="66"/>
      <c r="BT42" s="138"/>
      <c r="BU42" s="66"/>
      <c r="BV42" s="138"/>
      <c r="BW42" s="66"/>
      <c r="BX42" s="138"/>
      <c r="BY42" s="66"/>
      <c r="BZ42" s="138"/>
      <c r="CA42" s="66"/>
      <c r="CB42" s="138"/>
    </row>
    <row r="43" spans="1:80">
      <c r="A43" s="143"/>
      <c r="B43" s="68" t="s">
        <v>348</v>
      </c>
      <c r="C43" s="67">
        <v>2</v>
      </c>
      <c r="D43" s="146">
        <f t="shared" si="4"/>
        <v>0</v>
      </c>
      <c r="E43" s="141"/>
      <c r="F43" s="140"/>
      <c r="G43" s="139"/>
      <c r="H43" s="140"/>
      <c r="I43" s="139"/>
      <c r="J43" s="140"/>
      <c r="K43" s="139"/>
      <c r="L43" s="140"/>
      <c r="M43" s="139"/>
      <c r="N43" s="140"/>
      <c r="O43" s="139"/>
      <c r="P43" s="140"/>
      <c r="Q43" s="139"/>
      <c r="R43" s="140"/>
      <c r="S43" s="139"/>
      <c r="T43" s="140"/>
      <c r="U43" s="139"/>
      <c r="V43" s="138"/>
      <c r="W43" s="66"/>
      <c r="X43" s="138"/>
      <c r="Y43" s="66"/>
      <c r="Z43" s="138"/>
      <c r="AA43" s="66"/>
      <c r="AB43" s="138"/>
      <c r="AC43" s="66"/>
      <c r="AD43" s="138"/>
      <c r="AE43" s="66"/>
      <c r="AF43" s="138"/>
      <c r="AG43" s="66"/>
      <c r="AH43" s="138"/>
      <c r="AI43" s="66"/>
      <c r="AJ43" s="138"/>
      <c r="AK43" s="66"/>
      <c r="AL43" s="138"/>
      <c r="AM43" s="66"/>
      <c r="AN43" s="138"/>
      <c r="AO43" s="66"/>
      <c r="AP43" s="138"/>
      <c r="AQ43" s="66"/>
      <c r="AR43" s="138"/>
      <c r="AS43" s="66"/>
      <c r="AT43" s="138"/>
      <c r="AU43" s="66"/>
      <c r="AV43" s="138"/>
      <c r="AW43" s="66"/>
      <c r="AX43" s="138"/>
      <c r="AY43" s="66"/>
      <c r="AZ43" s="138"/>
      <c r="BA43" s="66"/>
      <c r="BB43" s="138"/>
      <c r="BC43" s="66"/>
      <c r="BD43" s="138"/>
      <c r="BE43" s="66"/>
      <c r="BF43" s="138"/>
      <c r="BG43" s="66"/>
      <c r="BH43" s="138"/>
      <c r="BI43" s="66"/>
      <c r="BJ43" s="138"/>
      <c r="BK43" s="66"/>
      <c r="BL43" s="138"/>
      <c r="BM43" s="66"/>
      <c r="BN43" s="138"/>
      <c r="BO43" s="66"/>
      <c r="BP43" s="138"/>
      <c r="BQ43" s="66"/>
      <c r="BR43" s="138"/>
      <c r="BS43" s="66"/>
      <c r="BT43" s="138"/>
      <c r="BU43" s="66"/>
      <c r="BV43" s="138"/>
      <c r="BW43" s="66"/>
      <c r="BX43" s="138"/>
      <c r="BY43" s="66"/>
      <c r="BZ43" s="138"/>
      <c r="CA43" s="66"/>
      <c r="CB43" s="138"/>
    </row>
    <row r="44" spans="1:80">
      <c r="A44" s="143"/>
      <c r="B44" s="68" t="s">
        <v>343</v>
      </c>
      <c r="C44" s="67">
        <v>2.14</v>
      </c>
      <c r="D44" s="142">
        <f t="shared" si="4"/>
        <v>2.1318893999999999</v>
      </c>
      <c r="E44" s="141"/>
      <c r="F44" s="140"/>
      <c r="G44" s="139"/>
      <c r="H44" s="140"/>
      <c r="I44" s="139"/>
      <c r="J44" s="140"/>
      <c r="K44" s="139"/>
      <c r="L44" s="140"/>
      <c r="M44" s="139">
        <f>2.14*0.0162+2.14*0.011</f>
        <v>5.8207999999999996E-2</v>
      </c>
      <c r="N44" s="140">
        <f>2.14*0.0012</f>
        <v>2.568E-3</v>
      </c>
      <c r="O44" s="139">
        <f>2.14*0.0265</f>
        <v>5.6710000000000003E-2</v>
      </c>
      <c r="P44" s="140"/>
      <c r="Q44" s="139"/>
      <c r="R44" s="140">
        <f>2.14*0.00015+2.14*0.02924</f>
        <v>6.2894600000000009E-2</v>
      </c>
      <c r="S44" s="139">
        <f>2.14*0.00044</f>
        <v>9.4160000000000012E-4</v>
      </c>
      <c r="T44" s="140"/>
      <c r="U44" s="139">
        <f>2.14*0.02482</f>
        <v>5.3114799999999997E-2</v>
      </c>
      <c r="V44" s="138"/>
      <c r="W44" s="66"/>
      <c r="X44" s="138"/>
      <c r="Y44" s="66">
        <f>2.14*0.0071+2.14*0.00041</f>
        <v>1.60714E-2</v>
      </c>
      <c r="Z44" s="138"/>
      <c r="AA44" s="66"/>
      <c r="AB44" s="138"/>
      <c r="AC44" s="66"/>
      <c r="AD44" s="138">
        <f>2.14*0.00035+2.14*0.00022+2.14*0.00178+2.14*0.00214+2.14*0.00096+2.14*0.00017</f>
        <v>1.2026800000000001E-2</v>
      </c>
      <c r="AE44" s="66"/>
      <c r="AF44" s="138"/>
      <c r="AG44" s="66"/>
      <c r="AH44" s="138"/>
      <c r="AI44" s="66"/>
      <c r="AJ44" s="138"/>
      <c r="AK44" s="66"/>
      <c r="AL44" s="138"/>
      <c r="AM44" s="66"/>
      <c r="AN44" s="138"/>
      <c r="AO44" s="66"/>
      <c r="AP44" s="138"/>
      <c r="AQ44" s="66"/>
      <c r="AR44" s="138"/>
      <c r="AS44" s="66">
        <f>2.14*0.00015</f>
        <v>3.21E-4</v>
      </c>
      <c r="AT44" s="138"/>
      <c r="AU44" s="66"/>
      <c r="AV44" s="138"/>
      <c r="AW44" s="66">
        <f>2.14*0.00806+2.14*0.00115</f>
        <v>1.9709400000000002E-2</v>
      </c>
      <c r="AX44" s="138"/>
      <c r="AY44" s="66"/>
      <c r="AZ44" s="138">
        <f>2.14*0.8491+2.14*0.0031</f>
        <v>1.8237080000000001</v>
      </c>
      <c r="BA44" s="66">
        <f>2.14*0.00018+2.14*0.00022+2.14*0.00142</f>
        <v>3.8948000000000003E-3</v>
      </c>
      <c r="BB44" s="138"/>
      <c r="BC44" s="66">
        <f>2.14*0.00246</f>
        <v>5.2643999999999998E-3</v>
      </c>
      <c r="BD44" s="138">
        <f>2.14*0.00034</f>
        <v>7.2760000000000012E-4</v>
      </c>
      <c r="BE44" s="66"/>
      <c r="BF44" s="138"/>
      <c r="BG44" s="66"/>
      <c r="BH44" s="138"/>
      <c r="BI44" s="66"/>
      <c r="BJ44" s="138"/>
      <c r="BK44" s="66">
        <f>2.14*0.00035+2.14*0.00034+2.14*0.0031+2.14*0.00356</f>
        <v>1.5729E-2</v>
      </c>
      <c r="BL44" s="138"/>
      <c r="BM44" s="66"/>
      <c r="BN44" s="138"/>
      <c r="BO44" s="66"/>
      <c r="BP44" s="138"/>
      <c r="BQ44" s="66"/>
      <c r="BR44" s="138"/>
      <c r="BS44" s="66"/>
      <c r="BT44" s="138"/>
      <c r="BU44" s="66"/>
      <c r="BV44" s="138"/>
      <c r="BW44" s="66"/>
      <c r="BX44" s="138"/>
      <c r="BY44" s="66"/>
      <c r="BZ44" s="138"/>
      <c r="CA44" s="66"/>
      <c r="CB44" s="138"/>
    </row>
    <row r="45" spans="1:80">
      <c r="A45" s="143"/>
      <c r="B45" s="68" t="s">
        <v>337</v>
      </c>
      <c r="C45" s="67">
        <v>4.7</v>
      </c>
      <c r="D45" s="146">
        <f t="shared" si="4"/>
        <v>0</v>
      </c>
      <c r="E45" s="141"/>
      <c r="F45" s="140"/>
      <c r="G45" s="139"/>
      <c r="H45" s="140"/>
      <c r="I45" s="139"/>
      <c r="J45" s="140"/>
      <c r="K45" s="139"/>
      <c r="L45" s="140"/>
      <c r="M45" s="139"/>
      <c r="N45" s="140"/>
      <c r="O45" s="139"/>
      <c r="P45" s="140"/>
      <c r="Q45" s="139"/>
      <c r="R45" s="140"/>
      <c r="S45" s="139"/>
      <c r="T45" s="140"/>
      <c r="U45" s="139"/>
      <c r="V45" s="138"/>
      <c r="W45" s="66"/>
      <c r="X45" s="138"/>
      <c r="Y45" s="66"/>
      <c r="Z45" s="138"/>
      <c r="AA45" s="66"/>
      <c r="AB45" s="138"/>
      <c r="AC45" s="66"/>
      <c r="AD45" s="138"/>
      <c r="AE45" s="66"/>
      <c r="AF45" s="138"/>
      <c r="AG45" s="66"/>
      <c r="AH45" s="138"/>
      <c r="AI45" s="66"/>
      <c r="AJ45" s="138"/>
      <c r="AK45" s="66"/>
      <c r="AL45" s="138"/>
      <c r="AM45" s="66"/>
      <c r="AN45" s="138"/>
      <c r="AO45" s="66"/>
      <c r="AP45" s="138"/>
      <c r="AQ45" s="66"/>
      <c r="AR45" s="138"/>
      <c r="AS45" s="66"/>
      <c r="AT45" s="138"/>
      <c r="AU45" s="66"/>
      <c r="AV45" s="138"/>
      <c r="AW45" s="66"/>
      <c r="AX45" s="138"/>
      <c r="AY45" s="66"/>
      <c r="AZ45" s="138"/>
      <c r="BA45" s="66"/>
      <c r="BB45" s="138"/>
      <c r="BC45" s="66"/>
      <c r="BD45" s="138"/>
      <c r="BE45" s="66"/>
      <c r="BF45" s="138"/>
      <c r="BG45" s="66"/>
      <c r="BH45" s="138"/>
      <c r="BI45" s="66"/>
      <c r="BJ45" s="138"/>
      <c r="BK45" s="66"/>
      <c r="BL45" s="138"/>
      <c r="BM45" s="66"/>
      <c r="BN45" s="138"/>
      <c r="BO45" s="66"/>
      <c r="BP45" s="138"/>
      <c r="BQ45" s="66"/>
      <c r="BR45" s="138"/>
      <c r="BS45" s="66"/>
      <c r="BT45" s="138"/>
      <c r="BU45" s="66"/>
      <c r="BV45" s="138"/>
      <c r="BW45" s="66"/>
      <c r="BX45" s="138"/>
      <c r="BY45" s="66"/>
      <c r="BZ45" s="138"/>
      <c r="CA45" s="66"/>
      <c r="CB45" s="138"/>
    </row>
    <row r="46" spans="1:80">
      <c r="A46" s="143"/>
      <c r="B46" s="68">
        <v>760390014</v>
      </c>
      <c r="C46" s="67">
        <v>338</v>
      </c>
      <c r="D46" s="142">
        <f t="shared" si="4"/>
        <v>338.61380800000006</v>
      </c>
      <c r="E46" s="141">
        <f>338*0.0731*0.4</f>
        <v>9.8831199999999999</v>
      </c>
      <c r="F46" s="140"/>
      <c r="G46" s="139"/>
      <c r="H46" s="140"/>
      <c r="I46" s="139"/>
      <c r="J46" s="140"/>
      <c r="K46" s="139">
        <f>338*0.005*0.028</f>
        <v>4.7320000000000001E-2</v>
      </c>
      <c r="L46" s="140"/>
      <c r="M46" s="139">
        <f>338*0.025*0.04</f>
        <v>0.33800000000000002</v>
      </c>
      <c r="N46" s="140">
        <f>338*0.3*0.1962</f>
        <v>19.894680000000001</v>
      </c>
      <c r="O46" s="139"/>
      <c r="P46" s="140">
        <f>338*0.925*0.028+338*0.1083678+338*0.025*0.02</f>
        <v>45.551516399999997</v>
      </c>
      <c r="Q46" s="139"/>
      <c r="R46" s="140">
        <f>338*0.5*0.003</f>
        <v>0.50700000000000001</v>
      </c>
      <c r="S46" s="139"/>
      <c r="T46" s="140"/>
      <c r="U46" s="139">
        <f>338*0.07*0.028+338*0.5*0.003+338*0.025*0.96</f>
        <v>9.2814800000000002</v>
      </c>
      <c r="V46" s="138"/>
      <c r="W46" s="66"/>
      <c r="X46" s="138"/>
      <c r="Y46" s="66"/>
      <c r="Z46" s="138"/>
      <c r="AA46" s="66"/>
      <c r="AB46" s="138"/>
      <c r="AC46" s="66">
        <f>338*0.45*0.1962</f>
        <v>29.842020000000002</v>
      </c>
      <c r="AD46" s="138"/>
      <c r="AE46" s="66"/>
      <c r="AF46" s="138"/>
      <c r="AG46" s="66"/>
      <c r="AH46" s="138"/>
      <c r="AI46" s="66"/>
      <c r="AJ46" s="138"/>
      <c r="AK46" s="66"/>
      <c r="AL46" s="138"/>
      <c r="AM46" s="66"/>
      <c r="AN46" s="138"/>
      <c r="AO46" s="66"/>
      <c r="AP46" s="138"/>
      <c r="AQ46" s="66"/>
      <c r="AR46" s="138"/>
      <c r="AS46" s="66"/>
      <c r="AT46" s="138"/>
      <c r="AU46" s="66"/>
      <c r="AV46" s="138"/>
      <c r="AW46" s="66"/>
      <c r="AX46" s="138"/>
      <c r="AY46" s="66"/>
      <c r="AZ46" s="138"/>
      <c r="BA46" s="66"/>
      <c r="BB46" s="138">
        <f>338*0.5302*0.13</f>
        <v>23.296988000000002</v>
      </c>
      <c r="BC46" s="66"/>
      <c r="BD46" s="138">
        <f>338*0.0005*0.254</f>
        <v>4.2926000000000006E-2</v>
      </c>
      <c r="BE46" s="66"/>
      <c r="BF46" s="138"/>
      <c r="BG46" s="66"/>
      <c r="BH46" s="138"/>
      <c r="BI46" s="66"/>
      <c r="BJ46" s="138"/>
      <c r="BK46" s="66"/>
      <c r="BL46" s="138">
        <f>338*0.25*0.1962+338*0.5302*0.17</f>
        <v>47.04419200000001</v>
      </c>
      <c r="BM46" s="66">
        <f>338*0.5302*0.7</f>
        <v>125.44532</v>
      </c>
      <c r="BN46" s="138">
        <f>338*0.0006322</f>
        <v>0.2136836</v>
      </c>
      <c r="BO46" s="66">
        <f>338*0.0731*0.96</f>
        <v>23.719487999999998</v>
      </c>
      <c r="BP46" s="138">
        <f>338*0.0005*0.746</f>
        <v>0.12607400000000002</v>
      </c>
      <c r="BQ46" s="66">
        <f>338*0.01</f>
        <v>3.38</v>
      </c>
      <c r="BR46" s="138"/>
      <c r="BS46" s="66"/>
      <c r="BT46" s="138"/>
      <c r="BU46" s="66"/>
      <c r="BV46" s="138"/>
      <c r="BW46" s="66"/>
      <c r="BX46" s="138"/>
      <c r="BY46" s="66"/>
      <c r="BZ46" s="138"/>
      <c r="CA46" s="66"/>
      <c r="CB46" s="138"/>
    </row>
    <row r="47" spans="1:80">
      <c r="A47" s="143"/>
      <c r="B47" s="68" t="s">
        <v>327</v>
      </c>
      <c r="C47" s="67">
        <v>16.5</v>
      </c>
      <c r="D47" s="142">
        <f t="shared" si="4"/>
        <v>16.500000000000004</v>
      </c>
      <c r="E47" s="141">
        <v>4.0000000000000001E-3</v>
      </c>
      <c r="F47" s="140">
        <v>7.4009999999999998</v>
      </c>
      <c r="G47" s="139">
        <f>0.533+0.026</f>
        <v>0.55900000000000005</v>
      </c>
      <c r="H47" s="140">
        <v>0.53300000000000003</v>
      </c>
      <c r="I47" s="139">
        <v>2.5999999999999999E-2</v>
      </c>
      <c r="J47" s="140">
        <v>0.14299999999999999</v>
      </c>
      <c r="K47" s="139">
        <v>5.0000000000000001E-3</v>
      </c>
      <c r="L47" s="140">
        <v>8.0000000000000002E-3</v>
      </c>
      <c r="M47" s="139">
        <f>0.116+0.11</f>
        <v>0.22600000000000001</v>
      </c>
      <c r="N47" s="140"/>
      <c r="O47" s="139">
        <v>0.17</v>
      </c>
      <c r="P47" s="140">
        <v>5.7990000000000004</v>
      </c>
      <c r="Q47" s="139">
        <v>9.0999999999999998E-2</v>
      </c>
      <c r="R47" s="140"/>
      <c r="S47" s="139"/>
      <c r="T47" s="140"/>
      <c r="U47" s="139">
        <v>1.3220000000000001</v>
      </c>
      <c r="V47" s="138"/>
      <c r="W47" s="66"/>
      <c r="X47" s="138"/>
      <c r="Y47" s="66"/>
      <c r="Z47" s="138"/>
      <c r="AA47" s="66"/>
      <c r="AB47" s="138"/>
      <c r="AC47" s="66"/>
      <c r="AD47" s="138"/>
      <c r="AE47" s="66"/>
      <c r="AF47" s="138"/>
      <c r="AG47" s="66"/>
      <c r="AH47" s="138"/>
      <c r="AI47" s="66"/>
      <c r="AJ47" s="138">
        <v>0.21299999999999999</v>
      </c>
      <c r="AK47" s="66"/>
      <c r="AL47" s="138"/>
      <c r="AM47" s="66"/>
      <c r="AN47" s="138"/>
      <c r="AO47" s="66"/>
      <c r="AP47" s="138"/>
      <c r="AQ47" s="66"/>
      <c r="AR47" s="138"/>
      <c r="AS47" s="66"/>
      <c r="AT47" s="138"/>
      <c r="AU47" s="66"/>
      <c r="AV47" s="138"/>
      <c r="AW47" s="66"/>
      <c r="AX47" s="138"/>
      <c r="AY47" s="66"/>
      <c r="AZ47" s="138"/>
      <c r="BA47" s="66"/>
      <c r="BB47" s="138"/>
      <c r="BC47" s="66"/>
      <c r="BD47" s="138"/>
      <c r="BE47" s="66"/>
      <c r="BF47" s="138"/>
      <c r="BG47" s="66"/>
      <c r="BH47" s="138"/>
      <c r="BI47" s="66"/>
      <c r="BJ47" s="138"/>
      <c r="BK47" s="66"/>
      <c r="BL47" s="138"/>
      <c r="BM47" s="66"/>
      <c r="BN47" s="138"/>
      <c r="BO47" s="66"/>
      <c r="BP47" s="138"/>
      <c r="BQ47" s="66"/>
      <c r="BR47" s="138"/>
      <c r="BS47" s="66"/>
      <c r="BT47" s="138"/>
      <c r="BU47" s="66"/>
      <c r="BV47" s="138"/>
      <c r="BW47" s="66"/>
      <c r="BX47" s="138"/>
      <c r="BY47" s="66"/>
      <c r="BZ47" s="138"/>
      <c r="CA47" s="66"/>
      <c r="CB47" s="138"/>
    </row>
    <row r="48" spans="1:80">
      <c r="A48" s="143"/>
      <c r="B48" s="68" t="s">
        <v>322</v>
      </c>
      <c r="C48" s="67">
        <v>17</v>
      </c>
      <c r="D48" s="142">
        <f t="shared" si="4"/>
        <v>16.999000000000002</v>
      </c>
      <c r="E48" s="141"/>
      <c r="F48" s="140">
        <v>11.531000000000001</v>
      </c>
      <c r="G48" s="139">
        <f>0.831+0.107</f>
        <v>0.93799999999999994</v>
      </c>
      <c r="H48" s="140">
        <v>0.83099999999999996</v>
      </c>
      <c r="I48" s="139">
        <v>4.1000000000000002E-2</v>
      </c>
      <c r="J48" s="140">
        <v>4.2000000000000003E-2</v>
      </c>
      <c r="K48" s="139">
        <v>1E-3</v>
      </c>
      <c r="L48" s="140">
        <v>2E-3</v>
      </c>
      <c r="M48" s="139">
        <v>3.4000000000000002E-2</v>
      </c>
      <c r="N48" s="140"/>
      <c r="O48" s="139">
        <v>1.2749999999999999</v>
      </c>
      <c r="P48" s="140">
        <v>1.7050000000000001</v>
      </c>
      <c r="Q48" s="139">
        <v>3.4000000000000002E-2</v>
      </c>
      <c r="R48" s="140"/>
      <c r="S48" s="139"/>
      <c r="T48" s="140"/>
      <c r="U48" s="139">
        <v>0.21299999999999999</v>
      </c>
      <c r="V48" s="138"/>
      <c r="W48" s="66"/>
      <c r="X48" s="138"/>
      <c r="Y48" s="66"/>
      <c r="Z48" s="138"/>
      <c r="AA48" s="66"/>
      <c r="AB48" s="138"/>
      <c r="AC48" s="66"/>
      <c r="AD48" s="138"/>
      <c r="AE48" s="66"/>
      <c r="AF48" s="138">
        <v>0.02</v>
      </c>
      <c r="AG48" s="66"/>
      <c r="AH48" s="138"/>
      <c r="AI48" s="66"/>
      <c r="AJ48" s="138">
        <v>0.33200000000000002</v>
      </c>
      <c r="AK48" s="66"/>
      <c r="AL48" s="138"/>
      <c r="AM48" s="66"/>
      <c r="AN48" s="138"/>
      <c r="AO48" s="66"/>
      <c r="AP48" s="138"/>
      <c r="AQ48" s="66"/>
      <c r="AR48" s="138"/>
      <c r="AS48" s="66"/>
      <c r="AT48" s="138"/>
      <c r="AU48" s="66"/>
      <c r="AV48" s="138"/>
      <c r="AW48" s="66"/>
      <c r="AX48" s="138"/>
      <c r="AY48" s="66"/>
      <c r="AZ48" s="138"/>
      <c r="BA48" s="66"/>
      <c r="BB48" s="138"/>
      <c r="BC48" s="66"/>
      <c r="BD48" s="138"/>
      <c r="BE48" s="66"/>
      <c r="BF48" s="138"/>
      <c r="BG48" s="66"/>
      <c r="BH48" s="138"/>
      <c r="BI48" s="66"/>
      <c r="BJ48" s="138"/>
      <c r="BK48" s="66"/>
      <c r="BL48" s="138"/>
      <c r="BM48" s="66"/>
      <c r="BN48" s="138"/>
      <c r="BO48" s="66"/>
      <c r="BP48" s="138"/>
      <c r="BQ48" s="66"/>
      <c r="BR48" s="138"/>
      <c r="BS48" s="66"/>
      <c r="BT48" s="138"/>
      <c r="BU48" s="66"/>
      <c r="BV48" s="138"/>
      <c r="BW48" s="66"/>
      <c r="BX48" s="138"/>
      <c r="BY48" s="66"/>
      <c r="BZ48" s="138"/>
      <c r="CA48" s="66"/>
      <c r="CB48" s="138"/>
    </row>
    <row r="49" spans="1:80">
      <c r="A49" s="143"/>
      <c r="B49" s="68" t="s">
        <v>317</v>
      </c>
      <c r="C49" s="67">
        <v>628.27</v>
      </c>
      <c r="D49" s="142">
        <f t="shared" si="4"/>
        <v>626.35377021730005</v>
      </c>
      <c r="E49" s="141"/>
      <c r="F49" s="140">
        <f>C49*0.4664952</f>
        <v>293.08493930399999</v>
      </c>
      <c r="G49" s="139">
        <f>C49*0.07133037+C49*0.00021848</f>
        <v>44.951995989500006</v>
      </c>
      <c r="H49" s="140"/>
      <c r="I49" s="139">
        <f>C49*0.00162731</f>
        <v>1.0223900537000001</v>
      </c>
      <c r="J49" s="140">
        <f>0.01020642*C49</f>
        <v>6.4123874934000007</v>
      </c>
      <c r="K49" s="139"/>
      <c r="L49" s="140">
        <f>C49*0.00044376</f>
        <v>0.27880109520000002</v>
      </c>
      <c r="M49" s="139">
        <f>C49*0.00065545+C49*0.00065545</f>
        <v>0.82359914300000003</v>
      </c>
      <c r="N49" s="140"/>
      <c r="O49" s="139">
        <f>C49*0.00454971+C49*0.00454971</f>
        <v>5.7168926033999998</v>
      </c>
      <c r="P49" s="140">
        <f>C49*0.43304074</f>
        <v>272.06650571979998</v>
      </c>
      <c r="Q49" s="139">
        <f>C49*0.00081812+C49*0.0000167</f>
        <v>0.5244923614</v>
      </c>
      <c r="R49" s="140">
        <f>C49*0.00203632</f>
        <v>1.2793587663999999</v>
      </c>
      <c r="S49" s="139">
        <f>C49*0.00008777</f>
        <v>5.5143257899999992E-2</v>
      </c>
      <c r="T49" s="140"/>
      <c r="U49" s="139"/>
      <c r="V49" s="138"/>
      <c r="W49" s="66"/>
      <c r="X49" s="138"/>
      <c r="Y49" s="66"/>
      <c r="Z49" s="138"/>
      <c r="AA49" s="66"/>
      <c r="AB49" s="138"/>
      <c r="AC49" s="66"/>
      <c r="AD49" s="138"/>
      <c r="AE49" s="66"/>
      <c r="AF49" s="138"/>
      <c r="AG49" s="66"/>
      <c r="AH49" s="138"/>
      <c r="AI49" s="66"/>
      <c r="AJ49" s="138"/>
      <c r="AK49" s="66"/>
      <c r="AL49" s="138"/>
      <c r="AM49" s="66"/>
      <c r="AN49" s="138"/>
      <c r="AO49" s="66"/>
      <c r="AP49" s="138"/>
      <c r="AQ49" s="66"/>
      <c r="AR49" s="138"/>
      <c r="AS49" s="66"/>
      <c r="AT49" s="138"/>
      <c r="AU49" s="66"/>
      <c r="AV49" s="138"/>
      <c r="AW49" s="66">
        <f>C49*0.00021848</f>
        <v>0.13726442960000002</v>
      </c>
      <c r="AX49" s="138"/>
      <c r="AY49" s="66"/>
      <c r="AZ49" s="138"/>
      <c r="BA49" s="66"/>
      <c r="BB49" s="138"/>
      <c r="BC49" s="66"/>
      <c r="BD49" s="138"/>
      <c r="BE49" s="66"/>
      <c r="BF49" s="138"/>
      <c r="BG49" s="66"/>
      <c r="BH49" s="138"/>
      <c r="BI49" s="66"/>
      <c r="BJ49" s="138"/>
      <c r="BK49" s="66"/>
      <c r="BL49" s="138"/>
      <c r="BM49" s="66"/>
      <c r="BN49" s="138"/>
      <c r="BO49" s="66"/>
      <c r="BP49" s="138"/>
      <c r="BQ49" s="66"/>
      <c r="BR49" s="138"/>
      <c r="BS49" s="66"/>
      <c r="BT49" s="138"/>
      <c r="BU49" s="66"/>
      <c r="BV49" s="138"/>
      <c r="BW49" s="66"/>
      <c r="BX49" s="138"/>
      <c r="BY49" s="66"/>
      <c r="BZ49" s="138"/>
      <c r="CA49" s="66"/>
      <c r="CB49" s="138"/>
    </row>
    <row r="50" spans="1:80">
      <c r="A50" s="143"/>
      <c r="B50" s="68" t="s">
        <v>311</v>
      </c>
      <c r="C50" s="67">
        <v>75</v>
      </c>
      <c r="D50" s="142">
        <f t="shared" si="4"/>
        <v>75.00200000000001</v>
      </c>
      <c r="E50" s="145"/>
      <c r="F50" s="140">
        <v>44.656999999999996</v>
      </c>
      <c r="G50" s="139">
        <f>4.571+0.015</f>
        <v>4.5859999999999994</v>
      </c>
      <c r="H50" s="140">
        <v>3.1520000000000001</v>
      </c>
      <c r="I50" s="139">
        <v>0.158</v>
      </c>
      <c r="J50" s="140">
        <v>0.03</v>
      </c>
      <c r="K50" s="139">
        <v>8.0000000000000002E-3</v>
      </c>
      <c r="L50" s="140">
        <v>6.0000000000000001E-3</v>
      </c>
      <c r="M50" s="139">
        <v>5.8000000000000003E-2</v>
      </c>
      <c r="N50" s="140">
        <v>2E-3</v>
      </c>
      <c r="O50" s="139">
        <v>0.71299999999999997</v>
      </c>
      <c r="P50" s="140">
        <f>0.366+20.131</f>
        <v>20.497</v>
      </c>
      <c r="Q50" s="139">
        <f>0.001+0.009</f>
        <v>9.9999999999999985E-3</v>
      </c>
      <c r="R50" s="140">
        <v>1.0429999999999999</v>
      </c>
      <c r="S50" s="139">
        <f>0.009+0.073</f>
        <v>8.199999999999999E-2</v>
      </c>
      <c r="T50" s="144"/>
      <c r="U50" s="66"/>
      <c r="V50" s="138"/>
      <c r="W50" s="66"/>
      <c r="X50" s="138"/>
      <c r="Y50" s="66"/>
      <c r="Z50" s="138"/>
      <c r="AA50" s="66"/>
      <c r="AB50" s="138"/>
      <c r="AC50" s="66"/>
      <c r="AD50" s="138"/>
      <c r="AE50" s="66"/>
      <c r="AF50" s="138"/>
      <c r="AG50" s="66"/>
      <c r="AH50" s="138"/>
      <c r="AI50" s="66"/>
      <c r="AJ50" s="138"/>
      <c r="AK50" s="66"/>
      <c r="AL50" s="138"/>
      <c r="AM50" s="66"/>
      <c r="AN50" s="138"/>
      <c r="AO50" s="66"/>
      <c r="AP50" s="138"/>
      <c r="AQ50" s="66"/>
      <c r="AR50" s="138"/>
      <c r="AS50" s="66"/>
      <c r="AT50" s="138"/>
      <c r="AU50" s="66"/>
      <c r="AV50" s="138"/>
      <c r="AW50" s="66"/>
      <c r="AX50" s="138"/>
      <c r="AY50" s="66"/>
      <c r="AZ50" s="138"/>
      <c r="BA50" s="66"/>
      <c r="BB50" s="138"/>
      <c r="BC50" s="66"/>
      <c r="BD50" s="138"/>
      <c r="BE50" s="66"/>
      <c r="BF50" s="138"/>
      <c r="BG50" s="66"/>
      <c r="BH50" s="138"/>
      <c r="BI50" s="66"/>
      <c r="BJ50" s="138"/>
      <c r="BK50" s="66"/>
      <c r="BL50" s="138"/>
      <c r="BM50" s="66"/>
      <c r="BN50" s="138"/>
      <c r="BO50" s="66"/>
      <c r="BP50" s="138"/>
      <c r="BQ50" s="66"/>
      <c r="BR50" s="138"/>
      <c r="BS50" s="66"/>
      <c r="BT50" s="138"/>
      <c r="BU50" s="66"/>
      <c r="BV50" s="138"/>
      <c r="BW50" s="66"/>
      <c r="BX50" s="138"/>
      <c r="BY50" s="66"/>
      <c r="BZ50" s="138"/>
      <c r="CA50" s="66"/>
      <c r="CB50" s="138"/>
    </row>
    <row r="51" spans="1:80">
      <c r="A51" s="143"/>
      <c r="B51" s="68" t="s">
        <v>306</v>
      </c>
      <c r="C51" s="67">
        <v>14.9</v>
      </c>
      <c r="D51" s="142">
        <f t="shared" si="4"/>
        <v>14.899000000000001</v>
      </c>
      <c r="E51" s="141"/>
      <c r="F51" s="140">
        <v>8.0060000000000002</v>
      </c>
      <c r="G51" s="139">
        <f>0.577+0.126</f>
        <v>0.70299999999999996</v>
      </c>
      <c r="H51" s="140">
        <v>0.57699999999999996</v>
      </c>
      <c r="I51" s="139">
        <v>2.8000000000000001E-2</v>
      </c>
      <c r="J51" s="140">
        <v>9.9000000000000005E-2</v>
      </c>
      <c r="K51" s="139">
        <v>3.0000000000000001E-3</v>
      </c>
      <c r="L51" s="140">
        <v>5.0000000000000001E-3</v>
      </c>
      <c r="M51" s="139">
        <v>0.08</v>
      </c>
      <c r="N51" s="140"/>
      <c r="O51" s="139">
        <v>0.47199999999999998</v>
      </c>
      <c r="P51" s="140">
        <v>4.0289999999999999</v>
      </c>
      <c r="Q51" s="139">
        <v>0.11</v>
      </c>
      <c r="R51" s="140"/>
      <c r="S51" s="139"/>
      <c r="T51" s="140"/>
      <c r="U51" s="139">
        <v>0.30099999999999999</v>
      </c>
      <c r="V51" s="138"/>
      <c r="W51" s="66"/>
      <c r="X51" s="138"/>
      <c r="Y51" s="66"/>
      <c r="Z51" s="138"/>
      <c r="AA51" s="66"/>
      <c r="AB51" s="138"/>
      <c r="AC51" s="66"/>
      <c r="AD51" s="138"/>
      <c r="AE51" s="66"/>
      <c r="AF51" s="138"/>
      <c r="AG51" s="66"/>
      <c r="AH51" s="138"/>
      <c r="AI51" s="66"/>
      <c r="AJ51" s="138">
        <v>0.23100000000000001</v>
      </c>
      <c r="AK51" s="66"/>
      <c r="AL51" s="138"/>
      <c r="AM51" s="66"/>
      <c r="AN51" s="138"/>
      <c r="AO51" s="66"/>
      <c r="AP51" s="138"/>
      <c r="AQ51" s="66"/>
      <c r="AR51" s="138"/>
      <c r="AS51" s="66"/>
      <c r="AT51" s="138"/>
      <c r="AU51" s="66"/>
      <c r="AV51" s="138"/>
      <c r="AW51" s="66"/>
      <c r="AX51" s="138"/>
      <c r="AY51" s="66"/>
      <c r="AZ51" s="138"/>
      <c r="BA51" s="66"/>
      <c r="BB51" s="138"/>
      <c r="BC51" s="66"/>
      <c r="BD51" s="138"/>
      <c r="BE51" s="66"/>
      <c r="BF51" s="138"/>
      <c r="BG51" s="66"/>
      <c r="BH51" s="138"/>
      <c r="BI51" s="66"/>
      <c r="BJ51" s="138">
        <v>9.5000000000000001E-2</v>
      </c>
      <c r="BK51" s="66"/>
      <c r="BL51" s="138"/>
      <c r="BM51" s="66"/>
      <c r="BN51" s="138"/>
      <c r="BO51" s="66"/>
      <c r="BP51" s="138"/>
      <c r="BQ51" s="66"/>
      <c r="BR51" s="138">
        <v>0.126</v>
      </c>
      <c r="BS51" s="66">
        <v>3.4000000000000002E-2</v>
      </c>
      <c r="BT51" s="138"/>
      <c r="BU51" s="66"/>
      <c r="BV51" s="138"/>
      <c r="BW51" s="66"/>
      <c r="BX51" s="138"/>
      <c r="BY51" s="66"/>
      <c r="BZ51" s="138"/>
      <c r="CA51" s="66"/>
      <c r="CB51" s="138"/>
    </row>
    <row r="52" spans="1:80">
      <c r="A52" s="143"/>
      <c r="B52" s="68" t="s">
        <v>300</v>
      </c>
      <c r="C52" s="67">
        <v>106.98</v>
      </c>
      <c r="D52" s="142">
        <f t="shared" si="4"/>
        <v>106.89</v>
      </c>
      <c r="E52" s="141">
        <v>0.28999999999999998</v>
      </c>
      <c r="F52" s="140">
        <v>58.36</v>
      </c>
      <c r="G52" s="139">
        <f>2+2.33</f>
        <v>4.33</v>
      </c>
      <c r="H52" s="140"/>
      <c r="I52" s="139">
        <v>0.2</v>
      </c>
      <c r="J52" s="140"/>
      <c r="K52" s="139"/>
      <c r="L52" s="140"/>
      <c r="M52" s="139">
        <f>0.72+0.1</f>
        <v>0.82</v>
      </c>
      <c r="N52" s="140"/>
      <c r="O52" s="139">
        <v>10.27</v>
      </c>
      <c r="P52" s="140">
        <v>27.86</v>
      </c>
      <c r="Q52" s="139">
        <v>1.08</v>
      </c>
      <c r="R52" s="140"/>
      <c r="S52" s="139"/>
      <c r="T52" s="140"/>
      <c r="U52" s="139"/>
      <c r="V52" s="138"/>
      <c r="W52" s="66"/>
      <c r="X52" s="138"/>
      <c r="Y52" s="66"/>
      <c r="Z52" s="138"/>
      <c r="AA52" s="66"/>
      <c r="AB52" s="138"/>
      <c r="AC52" s="66"/>
      <c r="AD52" s="138"/>
      <c r="AE52" s="66"/>
      <c r="AF52" s="138"/>
      <c r="AG52" s="66"/>
      <c r="AH52" s="138"/>
      <c r="AI52" s="66"/>
      <c r="AJ52" s="138"/>
      <c r="AK52" s="66">
        <v>2.66</v>
      </c>
      <c r="AL52" s="138"/>
      <c r="AM52" s="66"/>
      <c r="AN52" s="138"/>
      <c r="AO52" s="66"/>
      <c r="AP52" s="138"/>
      <c r="AQ52" s="66"/>
      <c r="AR52" s="138"/>
      <c r="AS52" s="66"/>
      <c r="AT52" s="138"/>
      <c r="AU52" s="66"/>
      <c r="AV52" s="138"/>
      <c r="AW52" s="66"/>
      <c r="AX52" s="138"/>
      <c r="AY52" s="66"/>
      <c r="AZ52" s="138"/>
      <c r="BA52" s="66"/>
      <c r="BB52" s="138"/>
      <c r="BC52" s="66"/>
      <c r="BD52" s="138"/>
      <c r="BE52" s="66"/>
      <c r="BF52" s="138"/>
      <c r="BG52" s="66"/>
      <c r="BH52" s="138"/>
      <c r="BI52" s="66"/>
      <c r="BJ52" s="138"/>
      <c r="BK52" s="66"/>
      <c r="BL52" s="138"/>
      <c r="BM52" s="66"/>
      <c r="BN52" s="138"/>
      <c r="BO52" s="66"/>
      <c r="BP52" s="138"/>
      <c r="BQ52" s="66"/>
      <c r="BR52" s="138"/>
      <c r="BS52" s="66"/>
      <c r="BT52" s="138">
        <v>0.01</v>
      </c>
      <c r="BU52" s="66">
        <v>0.01</v>
      </c>
      <c r="BV52" s="138">
        <v>1</v>
      </c>
      <c r="BW52" s="66"/>
      <c r="BX52" s="138"/>
      <c r="BY52" s="66"/>
      <c r="BZ52" s="138"/>
      <c r="CA52" s="66"/>
      <c r="CB52" s="138"/>
    </row>
    <row r="53" spans="1:80">
      <c r="A53" s="143"/>
      <c r="B53" s="68" t="s">
        <v>294</v>
      </c>
      <c r="C53" s="67">
        <v>33</v>
      </c>
      <c r="D53" s="142">
        <f t="shared" si="4"/>
        <v>33</v>
      </c>
      <c r="E53" s="141">
        <v>1.7999999999999999E-2</v>
      </c>
      <c r="F53" s="140">
        <v>16.565999999999999</v>
      </c>
      <c r="G53" s="139">
        <f>1.194+0.018</f>
        <v>1.212</v>
      </c>
      <c r="H53" s="140">
        <v>1.194</v>
      </c>
      <c r="I53" s="139">
        <v>5.8000000000000003E-2</v>
      </c>
      <c r="J53" s="140"/>
      <c r="K53" s="139"/>
      <c r="L53" s="140"/>
      <c r="M53" s="139">
        <f>0.174+0.333</f>
        <v>0.50700000000000001</v>
      </c>
      <c r="N53" s="140"/>
      <c r="O53" s="139">
        <f>0.047+2.079</f>
        <v>2.1260000000000003</v>
      </c>
      <c r="P53" s="140">
        <f>9.907+0.058</f>
        <v>9.9649999999999999</v>
      </c>
      <c r="Q53" s="139"/>
      <c r="R53" s="140">
        <v>0.26400000000000001</v>
      </c>
      <c r="S53" s="139">
        <v>1E-3</v>
      </c>
      <c r="T53" s="140"/>
      <c r="U53" s="139">
        <v>0.60099999999999998</v>
      </c>
      <c r="V53" s="138"/>
      <c r="W53" s="66"/>
      <c r="X53" s="138"/>
      <c r="Y53" s="66"/>
      <c r="Z53" s="138"/>
      <c r="AA53" s="66"/>
      <c r="AB53" s="138"/>
      <c r="AC53" s="66"/>
      <c r="AD53" s="138"/>
      <c r="AE53" s="66"/>
      <c r="AF53" s="138"/>
      <c r="AG53" s="66"/>
      <c r="AH53" s="138"/>
      <c r="AI53" s="66"/>
      <c r="AJ53" s="138">
        <v>0.47799999999999998</v>
      </c>
      <c r="AK53" s="66"/>
      <c r="AL53" s="138"/>
      <c r="AM53" s="66"/>
      <c r="AN53" s="138"/>
      <c r="AO53" s="66"/>
      <c r="AP53" s="138"/>
      <c r="AQ53" s="66"/>
      <c r="AR53" s="138"/>
      <c r="AS53" s="66"/>
      <c r="AT53" s="138"/>
      <c r="AU53" s="66"/>
      <c r="AV53" s="138"/>
      <c r="AW53" s="66"/>
      <c r="AX53" s="138"/>
      <c r="AY53" s="66"/>
      <c r="AZ53" s="138"/>
      <c r="BA53" s="66"/>
      <c r="BB53" s="138"/>
      <c r="BC53" s="66"/>
      <c r="BD53" s="138"/>
      <c r="BE53" s="66"/>
      <c r="BF53" s="138"/>
      <c r="BG53" s="66"/>
      <c r="BH53" s="138"/>
      <c r="BI53" s="66"/>
      <c r="BJ53" s="138"/>
      <c r="BK53" s="66"/>
      <c r="BL53" s="138"/>
      <c r="BM53" s="66"/>
      <c r="BN53" s="138"/>
      <c r="BO53" s="66"/>
      <c r="BP53" s="138"/>
      <c r="BQ53" s="66"/>
      <c r="BR53" s="138"/>
      <c r="BS53" s="66"/>
      <c r="BT53" s="138"/>
      <c r="BU53" s="66"/>
      <c r="BV53" s="138"/>
      <c r="BW53" s="66">
        <v>0.01</v>
      </c>
      <c r="BX53" s="138"/>
      <c r="BY53" s="66"/>
      <c r="BZ53" s="138"/>
      <c r="CA53" s="66"/>
      <c r="CB53" s="138"/>
    </row>
    <row r="54" spans="1:80">
      <c r="A54" s="143"/>
      <c r="B54" s="68" t="s">
        <v>287</v>
      </c>
      <c r="C54" s="67">
        <v>164.2</v>
      </c>
      <c r="D54" s="142">
        <f t="shared" si="4"/>
        <v>164.20000000000005</v>
      </c>
      <c r="E54" s="141"/>
      <c r="F54" s="140">
        <v>113.88</v>
      </c>
      <c r="G54" s="139">
        <v>10.050000000000001</v>
      </c>
      <c r="H54" s="140">
        <v>6.6959999999999997</v>
      </c>
      <c r="I54" s="139">
        <v>0.40600000000000003</v>
      </c>
      <c r="J54" s="140">
        <v>0.40500000000000003</v>
      </c>
      <c r="K54" s="139">
        <v>1.4E-2</v>
      </c>
      <c r="L54" s="140">
        <v>2.1999999999999999E-2</v>
      </c>
      <c r="M54" s="139">
        <f>0.328+0.924</f>
        <v>1.252</v>
      </c>
      <c r="N54" s="140"/>
      <c r="O54" s="139">
        <v>12.315</v>
      </c>
      <c r="P54" s="140">
        <v>16.472000000000001</v>
      </c>
      <c r="Q54" s="139">
        <v>0.32800000000000001</v>
      </c>
      <c r="R54" s="140"/>
      <c r="S54" s="139"/>
      <c r="T54" s="140"/>
      <c r="U54" s="139">
        <v>2.0529999999999999</v>
      </c>
      <c r="V54" s="138"/>
      <c r="W54" s="66"/>
      <c r="X54" s="138"/>
      <c r="Y54" s="66"/>
      <c r="Z54" s="138"/>
      <c r="AA54" s="66"/>
      <c r="AB54" s="138"/>
      <c r="AC54" s="66"/>
      <c r="AD54" s="138"/>
      <c r="AE54" s="66"/>
      <c r="AF54" s="138">
        <v>0.17199999999999999</v>
      </c>
      <c r="AG54" s="66"/>
      <c r="AH54" s="138"/>
      <c r="AI54" s="66"/>
      <c r="AJ54" s="138"/>
      <c r="AK54" s="66"/>
      <c r="AL54" s="138"/>
      <c r="AM54" s="66"/>
      <c r="AN54" s="138"/>
      <c r="AO54" s="66"/>
      <c r="AP54" s="138"/>
      <c r="AQ54" s="66"/>
      <c r="AR54" s="138"/>
      <c r="AS54" s="66"/>
      <c r="AT54" s="138"/>
      <c r="AU54" s="66"/>
      <c r="AV54" s="138"/>
      <c r="AW54" s="66"/>
      <c r="AX54" s="138"/>
      <c r="AY54" s="66"/>
      <c r="AZ54" s="138"/>
      <c r="BA54" s="66"/>
      <c r="BB54" s="138"/>
      <c r="BC54" s="66"/>
      <c r="BD54" s="138"/>
      <c r="BE54" s="66"/>
      <c r="BF54" s="138"/>
      <c r="BG54" s="66"/>
      <c r="BH54" s="138"/>
      <c r="BI54" s="66"/>
      <c r="BJ54" s="138"/>
      <c r="BK54" s="66"/>
      <c r="BL54" s="138"/>
      <c r="BM54" s="66"/>
      <c r="BN54" s="138"/>
      <c r="BO54" s="66"/>
      <c r="BP54" s="138"/>
      <c r="BQ54" s="66"/>
      <c r="BR54" s="138"/>
      <c r="BS54" s="66"/>
      <c r="BT54" s="138"/>
      <c r="BU54" s="66"/>
      <c r="BV54" s="138"/>
      <c r="BW54" s="66"/>
      <c r="BX54" s="138">
        <v>9.1999999999999998E-2</v>
      </c>
      <c r="BY54" s="66">
        <v>4.2999999999999997E-2</v>
      </c>
      <c r="BZ54" s="138"/>
      <c r="CA54" s="66"/>
      <c r="CB54" s="138"/>
    </row>
  </sheetData>
  <mergeCells count="1">
    <mergeCell ref="A1:C1"/>
  </mergeCells>
  <conditionalFormatting sqref="F50">
    <cfRule type="duplicateValues" dxfId="204" priority="101"/>
  </conditionalFormatting>
  <conditionalFormatting sqref="F5:G5 I5:S5">
    <cfRule type="duplicateValues" dxfId="203" priority="103"/>
  </conditionalFormatting>
  <conditionalFormatting sqref="H5">
    <cfRule type="duplicateValues" dxfId="202" priority="102"/>
  </conditionalFormatting>
  <conditionalFormatting sqref="T5">
    <cfRule type="duplicateValues" dxfId="201" priority="100"/>
  </conditionalFormatting>
  <conditionalFormatting sqref="U5">
    <cfRule type="duplicateValues" dxfId="200" priority="99"/>
    <cfRule type="duplicateValues" dxfId="199" priority="98"/>
  </conditionalFormatting>
  <conditionalFormatting sqref="W5">
    <cfRule type="duplicateValues" dxfId="198" priority="97"/>
    <cfRule type="duplicateValues" dxfId="197" priority="96"/>
  </conditionalFormatting>
  <conditionalFormatting sqref="X5">
    <cfRule type="duplicateValues" dxfId="196" priority="95"/>
    <cfRule type="duplicateValues" dxfId="195" priority="94"/>
  </conditionalFormatting>
  <conditionalFormatting sqref="Y5">
    <cfRule type="duplicateValues" dxfId="194" priority="93"/>
    <cfRule type="duplicateValues" dxfId="193" priority="92"/>
  </conditionalFormatting>
  <conditionalFormatting sqref="Z5">
    <cfRule type="duplicateValues" dxfId="192" priority="90"/>
    <cfRule type="duplicateValues" dxfId="191" priority="91"/>
  </conditionalFormatting>
  <conditionalFormatting sqref="AA5">
    <cfRule type="duplicateValues" dxfId="190" priority="89"/>
  </conditionalFormatting>
  <conditionalFormatting sqref="AC5">
    <cfRule type="duplicateValues" dxfId="189" priority="88"/>
    <cfRule type="duplicateValues" dxfId="188" priority="87"/>
    <cfRule type="duplicateValues" dxfId="187" priority="86"/>
    <cfRule type="duplicateValues" dxfId="186" priority="85"/>
  </conditionalFormatting>
  <conditionalFormatting sqref="AD5">
    <cfRule type="duplicateValues" dxfId="185" priority="84"/>
    <cfRule type="duplicateValues" dxfId="184" priority="83"/>
    <cfRule type="duplicateValues" dxfId="183" priority="82"/>
    <cfRule type="duplicateValues" dxfId="182" priority="81"/>
  </conditionalFormatting>
  <conditionalFormatting sqref="AE5">
    <cfRule type="duplicateValues" dxfId="181" priority="80"/>
    <cfRule type="duplicateValues" dxfId="180" priority="78"/>
    <cfRule type="duplicateValues" dxfId="179" priority="77"/>
    <cfRule type="duplicateValues" dxfId="178" priority="79"/>
  </conditionalFormatting>
  <conditionalFormatting sqref="AF5">
    <cfRule type="duplicateValues" dxfId="177" priority="73"/>
    <cfRule type="duplicateValues" dxfId="176" priority="76"/>
    <cfRule type="duplicateValues" dxfId="175" priority="75"/>
    <cfRule type="duplicateValues" dxfId="174" priority="74"/>
  </conditionalFormatting>
  <conditionalFormatting sqref="AG5">
    <cfRule type="duplicateValues" dxfId="173" priority="69"/>
    <cfRule type="duplicateValues" dxfId="172" priority="72"/>
    <cfRule type="duplicateValues" dxfId="171" priority="71"/>
    <cfRule type="duplicateValues" dxfId="170" priority="70"/>
  </conditionalFormatting>
  <conditionalFormatting sqref="AI5">
    <cfRule type="duplicateValues" dxfId="169" priority="68"/>
    <cfRule type="duplicateValues" dxfId="168" priority="67"/>
    <cfRule type="duplicateValues" dxfId="167" priority="66"/>
    <cfRule type="duplicateValues" dxfId="166" priority="65"/>
  </conditionalFormatting>
  <conditionalFormatting sqref="AK5">
    <cfRule type="duplicateValues" dxfId="165" priority="63"/>
    <cfRule type="duplicateValues" dxfId="164" priority="62"/>
    <cfRule type="duplicateValues" dxfId="163" priority="64"/>
    <cfRule type="duplicateValues" dxfId="162" priority="61"/>
  </conditionalFormatting>
  <conditionalFormatting sqref="AO5">
    <cfRule type="duplicateValues" dxfId="161" priority="60"/>
    <cfRule type="duplicateValues" dxfId="160" priority="59"/>
    <cfRule type="duplicateValues" dxfId="159" priority="58"/>
    <cfRule type="duplicateValues" dxfId="158" priority="57"/>
  </conditionalFormatting>
  <conditionalFormatting sqref="AT5">
    <cfRule type="duplicateValues" dxfId="157" priority="55"/>
    <cfRule type="duplicateValues" dxfId="156" priority="54"/>
    <cfRule type="duplicateValues" dxfId="155" priority="53"/>
    <cfRule type="duplicateValues" dxfId="154" priority="56"/>
  </conditionalFormatting>
  <conditionalFormatting sqref="AU5">
    <cfRule type="duplicateValues" dxfId="153" priority="52"/>
    <cfRule type="duplicateValues" dxfId="152" priority="49"/>
    <cfRule type="duplicateValues" dxfId="151" priority="50"/>
    <cfRule type="duplicateValues" dxfId="150" priority="51"/>
  </conditionalFormatting>
  <conditionalFormatting sqref="AZ5">
    <cfRule type="duplicateValues" dxfId="149" priority="45"/>
    <cfRule type="duplicateValues" dxfId="148" priority="46"/>
    <cfRule type="duplicateValues" dxfId="147" priority="48"/>
    <cfRule type="duplicateValues" dxfId="146" priority="47"/>
  </conditionalFormatting>
  <conditionalFormatting sqref="BD5">
    <cfRule type="duplicateValues" dxfId="145" priority="44"/>
    <cfRule type="duplicateValues" dxfId="144" priority="43"/>
    <cfRule type="duplicateValues" dxfId="143" priority="42"/>
    <cfRule type="duplicateValues" dxfId="142" priority="41"/>
  </conditionalFormatting>
  <conditionalFormatting sqref="BG5">
    <cfRule type="duplicateValues" dxfId="141" priority="39"/>
    <cfRule type="duplicateValues" dxfId="140" priority="38"/>
    <cfRule type="duplicateValues" dxfId="139" priority="37"/>
    <cfRule type="duplicateValues" dxfId="138" priority="40"/>
  </conditionalFormatting>
  <conditionalFormatting sqref="BH5">
    <cfRule type="duplicateValues" dxfId="137" priority="36"/>
    <cfRule type="duplicateValues" dxfId="136" priority="35"/>
    <cfRule type="duplicateValues" dxfId="135" priority="34"/>
    <cfRule type="duplicateValues" dxfId="134" priority="33"/>
  </conditionalFormatting>
  <conditionalFormatting sqref="BM5">
    <cfRule type="duplicateValues" dxfId="133" priority="32"/>
    <cfRule type="duplicateValues" dxfId="132" priority="31"/>
    <cfRule type="duplicateValues" dxfId="131" priority="30"/>
    <cfRule type="duplicateValues" dxfId="130" priority="29"/>
  </conditionalFormatting>
  <conditionalFormatting sqref="BT5">
    <cfRule type="duplicateValues" dxfId="129" priority="28"/>
    <cfRule type="duplicateValues" dxfId="128" priority="27"/>
    <cfRule type="duplicateValues" dxfId="127" priority="26"/>
    <cfRule type="duplicateValues" dxfId="126" priority="25"/>
  </conditionalFormatting>
  <conditionalFormatting sqref="BU5">
    <cfRule type="duplicateValues" dxfId="125" priority="21"/>
    <cfRule type="duplicateValues" dxfId="124" priority="24"/>
    <cfRule type="duplicateValues" dxfId="123" priority="23"/>
    <cfRule type="duplicateValues" dxfId="122" priority="22"/>
  </conditionalFormatting>
  <conditionalFormatting sqref="BV5">
    <cfRule type="duplicateValues" dxfId="121" priority="17"/>
    <cfRule type="duplicateValues" dxfId="120" priority="20"/>
    <cfRule type="duplicateValues" dxfId="119" priority="19"/>
    <cfRule type="duplicateValues" dxfId="118" priority="18"/>
  </conditionalFormatting>
  <conditionalFormatting sqref="BW5">
    <cfRule type="duplicateValues" dxfId="117" priority="16"/>
    <cfRule type="duplicateValues" dxfId="116" priority="15"/>
    <cfRule type="duplicateValues" dxfId="115" priority="14"/>
    <cfRule type="duplicateValues" dxfId="114" priority="13"/>
  </conditionalFormatting>
  <conditionalFormatting sqref="BZ5">
    <cfRule type="duplicateValues" dxfId="113" priority="12"/>
    <cfRule type="duplicateValues" dxfId="112" priority="11"/>
    <cfRule type="duplicateValues" dxfId="111" priority="10"/>
    <cfRule type="duplicateValues" dxfId="110" priority="9"/>
  </conditionalFormatting>
  <conditionalFormatting sqref="CA5">
    <cfRule type="duplicateValues" dxfId="109" priority="8"/>
    <cfRule type="duplicateValues" dxfId="108" priority="7"/>
    <cfRule type="duplicateValues" dxfId="107" priority="6"/>
    <cfRule type="duplicateValues" dxfId="106" priority="5"/>
  </conditionalFormatting>
  <conditionalFormatting sqref="CB5">
    <cfRule type="duplicateValues" dxfId="105" priority="1"/>
    <cfRule type="duplicateValues" dxfId="104" priority="3"/>
    <cfRule type="duplicateValues" dxfId="103" priority="2"/>
    <cfRule type="duplicateValues" dxfId="102" priority="4"/>
  </conditionalFormatting>
  <hyperlinks>
    <hyperlink ref="A29" r:id="rId1" xr:uid="{3F2B82C1-BFC0-1D47-98BA-772C3250E216}"/>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D3C5F-D337-CC48-9733-159E8F9EC23B}">
  <dimension ref="A1:DF54"/>
  <sheetViews>
    <sheetView zoomScale="94" workbookViewId="0">
      <selection activeCell="A2" sqref="A2"/>
    </sheetView>
  </sheetViews>
  <sheetFormatPr baseColWidth="10" defaultColWidth="10.77734375" defaultRowHeight="14.4"/>
  <cols>
    <col min="1" max="1" width="10.77734375" style="63"/>
    <col min="2" max="2" width="18.6640625" style="63" bestFit="1" customWidth="1"/>
    <col min="3" max="3" width="18.6640625" style="63" customWidth="1"/>
    <col min="4" max="4" width="19.6640625" style="63" bestFit="1" customWidth="1"/>
    <col min="5" max="5" width="18.6640625" style="63" customWidth="1"/>
    <col min="6" max="27" width="10.77734375" style="63"/>
    <col min="28" max="28" width="13.109375" style="63" bestFit="1" customWidth="1"/>
    <col min="29" max="37" width="10.77734375" style="63"/>
    <col min="38" max="39" width="13.109375" style="63" bestFit="1" customWidth="1"/>
    <col min="40" max="16384" width="10.77734375" style="63"/>
  </cols>
  <sheetData>
    <row r="1" spans="1:110" ht="28.8">
      <c r="A1" s="346" t="s">
        <v>753</v>
      </c>
      <c r="B1" s="346"/>
      <c r="C1" s="346"/>
    </row>
    <row r="3" spans="1:110">
      <c r="A3" s="63" t="s">
        <v>706</v>
      </c>
    </row>
    <row r="4" spans="1:110">
      <c r="D4" s="170" t="s">
        <v>705</v>
      </c>
      <c r="E4" s="170">
        <f t="shared" ref="E4:AJ4" si="0">SUM(E6:E263)</f>
        <v>22.935120000000001</v>
      </c>
      <c r="F4" s="170">
        <f t="shared" si="0"/>
        <v>4239.1726674967376</v>
      </c>
      <c r="G4" s="170">
        <f t="shared" si="0"/>
        <v>209.08512270687649</v>
      </c>
      <c r="H4" s="170">
        <f t="shared" si="0"/>
        <v>86.491441564793234</v>
      </c>
      <c r="I4" s="170">
        <f t="shared" si="0"/>
        <v>26.198304537297521</v>
      </c>
      <c r="J4" s="170">
        <f t="shared" si="0"/>
        <v>25.530531993321496</v>
      </c>
      <c r="K4" s="170">
        <f t="shared" si="0"/>
        <v>3.270184692032208</v>
      </c>
      <c r="L4" s="170">
        <f t="shared" si="0"/>
        <v>1986.3735445302159</v>
      </c>
      <c r="M4" s="170">
        <f t="shared" si="0"/>
        <v>18.163711680044415</v>
      </c>
      <c r="N4" s="170">
        <f t="shared" si="0"/>
        <v>19.933890236331148</v>
      </c>
      <c r="O4" s="170">
        <f t="shared" si="0"/>
        <v>38.956965565128002</v>
      </c>
      <c r="P4" s="170">
        <f t="shared" si="0"/>
        <v>10755.440157541283</v>
      </c>
      <c r="Q4" s="170">
        <f t="shared" si="0"/>
        <v>2.478385723758</v>
      </c>
      <c r="R4" s="170">
        <f t="shared" si="0"/>
        <v>2341.7058605592397</v>
      </c>
      <c r="S4" s="170">
        <f t="shared" si="0"/>
        <v>0.22988606128877401</v>
      </c>
      <c r="T4" s="170">
        <f t="shared" si="0"/>
        <v>154.26699999999997</v>
      </c>
      <c r="U4" s="170">
        <f t="shared" si="0"/>
        <v>1312.3024735911702</v>
      </c>
      <c r="V4" s="170">
        <f t="shared" si="0"/>
        <v>5.2248760000000001</v>
      </c>
      <c r="W4" s="170">
        <f t="shared" si="0"/>
        <v>151.65</v>
      </c>
      <c r="X4" s="170">
        <f t="shared" si="0"/>
        <v>2.8879999999999999</v>
      </c>
      <c r="Y4" s="170">
        <f t="shared" si="0"/>
        <v>15.685850444151715</v>
      </c>
      <c r="Z4" s="170">
        <f t="shared" si="0"/>
        <v>9.18</v>
      </c>
      <c r="AA4" s="170">
        <f t="shared" si="0"/>
        <v>1.7212074926552321</v>
      </c>
      <c r="AB4" s="170">
        <f t="shared" si="0"/>
        <v>19.278774572256502</v>
      </c>
      <c r="AC4" s="170">
        <f t="shared" si="0"/>
        <v>34.263816875000003</v>
      </c>
      <c r="AD4" s="170">
        <f t="shared" si="0"/>
        <v>752.81035971926315</v>
      </c>
      <c r="AE4" s="170">
        <f t="shared" si="0"/>
        <v>0.05</v>
      </c>
      <c r="AF4" s="170">
        <f t="shared" si="0"/>
        <v>7.1553612962632061</v>
      </c>
      <c r="AG4" s="170">
        <f t="shared" si="0"/>
        <v>1.55652396</v>
      </c>
      <c r="AH4" s="170">
        <f t="shared" si="0"/>
        <v>58780.9496764496</v>
      </c>
      <c r="AI4" s="170">
        <f t="shared" si="0"/>
        <v>0.15579070255499999</v>
      </c>
      <c r="AJ4" s="170">
        <f t="shared" si="0"/>
        <v>7.8505647531434448</v>
      </c>
      <c r="AK4" s="170">
        <f t="shared" ref="AK4:BP4" si="1">SUM(AK6:AK263)</f>
        <v>4.9435121095329997</v>
      </c>
      <c r="AL4" s="170">
        <f t="shared" si="1"/>
        <v>2.0705287501900385E-2</v>
      </c>
      <c r="AM4" s="170">
        <f t="shared" si="1"/>
        <v>1.67869262E-4</v>
      </c>
      <c r="AN4" s="170">
        <f t="shared" si="1"/>
        <v>2.6313447530477894</v>
      </c>
      <c r="AO4" s="170">
        <f t="shared" si="1"/>
        <v>7.1164000000000005</v>
      </c>
      <c r="AP4" s="170">
        <f t="shared" si="1"/>
        <v>0.05</v>
      </c>
      <c r="AQ4" s="170">
        <f t="shared" si="1"/>
        <v>0.12</v>
      </c>
      <c r="AR4" s="170">
        <f t="shared" si="1"/>
        <v>2.9395619370000004E-3</v>
      </c>
      <c r="AS4" s="170">
        <f t="shared" si="1"/>
        <v>2.8421964290000001E-2</v>
      </c>
      <c r="AT4" s="170">
        <f t="shared" si="1"/>
        <v>1.4709055140000003E-3</v>
      </c>
      <c r="AU4" s="170">
        <f t="shared" si="1"/>
        <v>0.41585917499099995</v>
      </c>
      <c r="AV4" s="170">
        <f t="shared" si="1"/>
        <v>7.1701021079999998E-3</v>
      </c>
      <c r="AW4" s="170">
        <f t="shared" si="1"/>
        <v>0.25214582959999998</v>
      </c>
      <c r="AX4" s="170">
        <f t="shared" si="1"/>
        <v>526.37666336986672</v>
      </c>
      <c r="AY4" s="170">
        <f t="shared" si="1"/>
        <v>1.2111335501096001</v>
      </c>
      <c r="AZ4" s="170">
        <f t="shared" si="1"/>
        <v>2.692579222815529</v>
      </c>
      <c r="BA4" s="170">
        <f t="shared" si="1"/>
        <v>0.40095498011822273</v>
      </c>
      <c r="BB4" s="170">
        <f t="shared" si="1"/>
        <v>23.314686526315793</v>
      </c>
      <c r="BC4" s="170">
        <f t="shared" si="1"/>
        <v>6.9839401797234552E-2</v>
      </c>
      <c r="BD4" s="170">
        <f t="shared" si="1"/>
        <v>8.5893567057625797E-2</v>
      </c>
      <c r="BE4" s="170">
        <f t="shared" si="1"/>
        <v>0.42273891589357876</v>
      </c>
      <c r="BF4" s="170">
        <f t="shared" si="1"/>
        <v>0.29472999999999999</v>
      </c>
      <c r="BG4" s="170">
        <f t="shared" si="1"/>
        <v>0.48514000000000002</v>
      </c>
      <c r="BH4" s="170">
        <f t="shared" si="1"/>
        <v>1.7049999999999999E-2</v>
      </c>
      <c r="BI4" s="170">
        <f t="shared" si="1"/>
        <v>0.34501999999999999</v>
      </c>
      <c r="BJ4" s="170">
        <f t="shared" si="1"/>
        <v>0.14860000000000001</v>
      </c>
      <c r="BK4" s="170">
        <f t="shared" si="1"/>
        <v>1.5729E-2</v>
      </c>
      <c r="BL4" s="170">
        <f t="shared" si="1"/>
        <v>47.04419200000001</v>
      </c>
      <c r="BM4" s="170">
        <f t="shared" si="1"/>
        <v>125.44532</v>
      </c>
      <c r="BN4" s="170">
        <f t="shared" si="1"/>
        <v>0.2136836</v>
      </c>
      <c r="BO4" s="170">
        <f t="shared" si="1"/>
        <v>23.719487999999998</v>
      </c>
      <c r="BP4" s="170">
        <f t="shared" si="1"/>
        <v>0.12607400000000002</v>
      </c>
      <c r="BQ4" s="170">
        <f t="shared" ref="BQ4:CB4" si="2">SUM(BQ6:BQ263)</f>
        <v>3.38</v>
      </c>
      <c r="BR4" s="170">
        <f t="shared" si="2"/>
        <v>0.126</v>
      </c>
      <c r="BS4" s="170">
        <f t="shared" si="2"/>
        <v>3.4000000000000002E-2</v>
      </c>
      <c r="BT4" s="170">
        <f t="shared" si="2"/>
        <v>0.01</v>
      </c>
      <c r="BU4" s="170">
        <f t="shared" si="2"/>
        <v>0.01</v>
      </c>
      <c r="BV4" s="170">
        <f t="shared" si="2"/>
        <v>1</v>
      </c>
      <c r="BW4" s="170">
        <f t="shared" si="2"/>
        <v>0.01</v>
      </c>
      <c r="BX4" s="170">
        <f t="shared" si="2"/>
        <v>9.1999999999999998E-2</v>
      </c>
      <c r="BY4" s="170">
        <f t="shared" si="2"/>
        <v>4.2999999999999997E-2</v>
      </c>
      <c r="BZ4" s="170">
        <f t="shared" si="2"/>
        <v>1200</v>
      </c>
      <c r="CA4" s="170">
        <f t="shared" si="2"/>
        <v>0</v>
      </c>
      <c r="CB4" s="170">
        <f t="shared" si="2"/>
        <v>10.284132152885455</v>
      </c>
    </row>
    <row r="5" spans="1:110">
      <c r="A5" s="76" t="s">
        <v>542</v>
      </c>
      <c r="B5" s="76" t="s">
        <v>537</v>
      </c>
      <c r="C5" s="76" t="s">
        <v>704</v>
      </c>
      <c r="D5" s="169" t="s">
        <v>534</v>
      </c>
      <c r="E5" s="169" t="s">
        <v>700</v>
      </c>
      <c r="F5" s="162" t="s">
        <v>692</v>
      </c>
      <c r="G5" s="161" t="s">
        <v>690</v>
      </c>
      <c r="H5" s="162" t="s">
        <v>689</v>
      </c>
      <c r="I5" s="161" t="s">
        <v>699</v>
      </c>
      <c r="J5" s="162" t="s">
        <v>685</v>
      </c>
      <c r="K5" s="161" t="s">
        <v>683</v>
      </c>
      <c r="L5" s="162" t="s">
        <v>681</v>
      </c>
      <c r="M5" s="161" t="s">
        <v>698</v>
      </c>
      <c r="N5" s="162" t="s">
        <v>677</v>
      </c>
      <c r="O5" s="161" t="s">
        <v>697</v>
      </c>
      <c r="P5" s="162" t="s">
        <v>673</v>
      </c>
      <c r="Q5" s="161" t="s">
        <v>671</v>
      </c>
      <c r="R5" s="162" t="s">
        <v>669</v>
      </c>
      <c r="S5" s="161" t="s">
        <v>667</v>
      </c>
      <c r="T5" s="166" t="s">
        <v>665</v>
      </c>
      <c r="U5" s="161" t="s">
        <v>664</v>
      </c>
      <c r="V5" s="166" t="s">
        <v>662</v>
      </c>
      <c r="W5" s="163" t="s">
        <v>660</v>
      </c>
      <c r="X5" s="164" t="s">
        <v>696</v>
      </c>
      <c r="Y5" s="163" t="s">
        <v>656</v>
      </c>
      <c r="Z5" s="164" t="s">
        <v>654</v>
      </c>
      <c r="AA5" s="168" t="s">
        <v>652</v>
      </c>
      <c r="AB5" s="167" t="s">
        <v>650</v>
      </c>
      <c r="AC5" s="163" t="s">
        <v>648</v>
      </c>
      <c r="AD5" s="164" t="s">
        <v>646</v>
      </c>
      <c r="AE5" s="163" t="s">
        <v>645</v>
      </c>
      <c r="AF5" s="164" t="s">
        <v>643</v>
      </c>
      <c r="AG5" s="163" t="s">
        <v>641</v>
      </c>
      <c r="AH5" s="166" t="s">
        <v>639</v>
      </c>
      <c r="AI5" s="163" t="s">
        <v>637</v>
      </c>
      <c r="AJ5" s="166" t="s">
        <v>635</v>
      </c>
      <c r="AK5" s="163" t="s">
        <v>633</v>
      </c>
      <c r="AL5" s="166" t="s">
        <v>631</v>
      </c>
      <c r="AM5" s="165" t="s">
        <v>629</v>
      </c>
      <c r="AN5" s="166" t="s">
        <v>627</v>
      </c>
      <c r="AO5" s="163" t="s">
        <v>625</v>
      </c>
      <c r="AP5" s="162" t="s">
        <v>623</v>
      </c>
      <c r="AQ5" s="161" t="s">
        <v>621</v>
      </c>
      <c r="AR5" s="164" t="s">
        <v>619</v>
      </c>
      <c r="AS5" s="161" t="s">
        <v>617</v>
      </c>
      <c r="AT5" s="164" t="s">
        <v>615</v>
      </c>
      <c r="AU5" s="163" t="s">
        <v>613</v>
      </c>
      <c r="AV5" s="162" t="s">
        <v>611</v>
      </c>
      <c r="AW5" s="161" t="s">
        <v>609</v>
      </c>
      <c r="AX5" s="162" t="s">
        <v>607</v>
      </c>
      <c r="AY5" s="161" t="s">
        <v>605</v>
      </c>
      <c r="AZ5" s="164" t="s">
        <v>603</v>
      </c>
      <c r="BA5" s="161" t="s">
        <v>601</v>
      </c>
      <c r="BB5" s="166" t="s">
        <v>599</v>
      </c>
      <c r="BC5" s="161" t="s">
        <v>597</v>
      </c>
      <c r="BD5" s="164" t="s">
        <v>595</v>
      </c>
      <c r="BE5" s="161" t="s">
        <v>593</v>
      </c>
      <c r="BF5" s="162" t="s">
        <v>591</v>
      </c>
      <c r="BG5" s="163" t="s">
        <v>589</v>
      </c>
      <c r="BH5" s="164" t="s">
        <v>587</v>
      </c>
      <c r="BI5" s="161" t="s">
        <v>585</v>
      </c>
      <c r="BJ5" s="162" t="s">
        <v>583</v>
      </c>
      <c r="BK5" s="161" t="s">
        <v>581</v>
      </c>
      <c r="BL5" s="166" t="s">
        <v>579</v>
      </c>
      <c r="BM5" s="163" t="s">
        <v>577</v>
      </c>
      <c r="BN5" s="166" t="s">
        <v>575</v>
      </c>
      <c r="BO5" s="165" t="s">
        <v>573</v>
      </c>
      <c r="BP5" s="162" t="s">
        <v>571</v>
      </c>
      <c r="BQ5" s="161" t="s">
        <v>569</v>
      </c>
      <c r="BR5" s="162" t="s">
        <v>567</v>
      </c>
      <c r="BS5" s="161" t="s">
        <v>565</v>
      </c>
      <c r="BT5" s="164" t="s">
        <v>563</v>
      </c>
      <c r="BU5" s="163" t="s">
        <v>561</v>
      </c>
      <c r="BV5" s="164" t="s">
        <v>559</v>
      </c>
      <c r="BW5" s="163" t="s">
        <v>557</v>
      </c>
      <c r="BX5" s="162" t="s">
        <v>555</v>
      </c>
      <c r="BY5" s="161" t="s">
        <v>553</v>
      </c>
      <c r="BZ5" s="160" t="s">
        <v>551</v>
      </c>
      <c r="CA5" s="151" t="s">
        <v>717</v>
      </c>
      <c r="CB5" s="160" t="s">
        <v>715</v>
      </c>
      <c r="CC5" s="80"/>
      <c r="CD5" s="80"/>
      <c r="CE5" s="80"/>
      <c r="CF5" s="80"/>
      <c r="CG5" s="80"/>
      <c r="CH5" s="80"/>
      <c r="CI5" s="80"/>
      <c r="CJ5" s="80"/>
      <c r="CK5" s="80"/>
      <c r="CL5" s="80"/>
      <c r="CM5" s="80"/>
      <c r="CN5" s="80"/>
      <c r="CO5" s="80"/>
      <c r="CP5" s="80"/>
      <c r="CQ5" s="80"/>
      <c r="CR5" s="80"/>
      <c r="CS5" s="80"/>
      <c r="CT5" s="80"/>
      <c r="CU5" s="80"/>
      <c r="CV5" s="80"/>
      <c r="CW5" s="80"/>
      <c r="CX5" s="80"/>
      <c r="CY5" s="80"/>
      <c r="CZ5" s="80"/>
      <c r="DA5" s="80"/>
      <c r="DB5" s="80"/>
      <c r="DC5" s="80"/>
      <c r="DD5" s="80"/>
      <c r="DE5" s="80"/>
      <c r="DF5" s="80"/>
    </row>
    <row r="6" spans="1:110">
      <c r="A6" s="69">
        <v>12</v>
      </c>
      <c r="B6" s="68" t="s">
        <v>527</v>
      </c>
      <c r="C6" s="75">
        <v>5.12</v>
      </c>
      <c r="D6" s="142">
        <f t="shared" ref="D6:D37" si="3">SUM(E6:CV6)</f>
        <v>61.440000000000005</v>
      </c>
      <c r="E6" s="147">
        <f>$A6*CAS_Component!E6</f>
        <v>0.96</v>
      </c>
      <c r="F6" s="159">
        <f>$A6*CAS_Component!F6</f>
        <v>0</v>
      </c>
      <c r="G6" s="147">
        <f>$A6*CAS_Component!G6</f>
        <v>0</v>
      </c>
      <c r="H6" s="159">
        <f>$A6*CAS_Component!H6</f>
        <v>0</v>
      </c>
      <c r="I6" s="147">
        <f>$A6*CAS_Component!I6</f>
        <v>0</v>
      </c>
      <c r="J6" s="159">
        <f>$A6*CAS_Component!J6</f>
        <v>0</v>
      </c>
      <c r="K6" s="147">
        <f>$A6*CAS_Component!K6</f>
        <v>0</v>
      </c>
      <c r="L6" s="159">
        <f>$A6*CAS_Component!L6</f>
        <v>0</v>
      </c>
      <c r="M6" s="147">
        <f>$A6*CAS_Component!M6</f>
        <v>0</v>
      </c>
      <c r="N6" s="159">
        <f>$A6*CAS_Component!N6</f>
        <v>0</v>
      </c>
      <c r="O6" s="147">
        <f>$A6*CAS_Component!O6</f>
        <v>0</v>
      </c>
      <c r="P6" s="159">
        <f>$A6*CAS_Component!P6</f>
        <v>10.32</v>
      </c>
      <c r="Q6" s="147">
        <f>$A6*CAS_Component!Q6</f>
        <v>0</v>
      </c>
      <c r="R6" s="159">
        <f>$A6*CAS_Component!R6</f>
        <v>6.24</v>
      </c>
      <c r="S6" s="147">
        <f>$A6*CAS_Component!S6</f>
        <v>0</v>
      </c>
      <c r="T6" s="159">
        <f>$A6*CAS_Component!T6</f>
        <v>43.08</v>
      </c>
      <c r="U6" s="147">
        <f>$A6*CAS_Component!U6</f>
        <v>0.84000000000000008</v>
      </c>
      <c r="V6" s="159">
        <f>$A6*CAS_Component!V6</f>
        <v>0</v>
      </c>
      <c r="W6" s="147">
        <f>$A6*CAS_Component!W6</f>
        <v>0</v>
      </c>
      <c r="X6" s="159">
        <f>$A6*CAS_Component!X6</f>
        <v>0</v>
      </c>
      <c r="Y6" s="147">
        <f>$A6*CAS_Component!Y6</f>
        <v>0</v>
      </c>
      <c r="Z6" s="159">
        <f>$A6*CAS_Component!Z6</f>
        <v>0</v>
      </c>
      <c r="AA6" s="147">
        <f>$A6*CAS_Component!AA6</f>
        <v>0</v>
      </c>
      <c r="AB6" s="159">
        <f>$A6*CAS_Component!AB6</f>
        <v>0</v>
      </c>
      <c r="AC6" s="147">
        <f>$A6*CAS_Component!AC6</f>
        <v>0</v>
      </c>
      <c r="AD6" s="159">
        <f>$A6*CAS_Component!AD6</f>
        <v>0</v>
      </c>
      <c r="AE6" s="147">
        <f>$A6*CAS_Component!AE6</f>
        <v>0</v>
      </c>
      <c r="AF6" s="159">
        <f>$A6*CAS_Component!AF6</f>
        <v>0</v>
      </c>
      <c r="AG6" s="147">
        <f>$A6*CAS_Component!AG6</f>
        <v>0</v>
      </c>
      <c r="AH6" s="159">
        <f>$A6*CAS_Component!AH6</f>
        <v>0</v>
      </c>
      <c r="AI6" s="147">
        <f>$A6*CAS_Component!AI6</f>
        <v>0</v>
      </c>
      <c r="AJ6" s="159">
        <f>$A6*CAS_Component!AJ6</f>
        <v>0</v>
      </c>
      <c r="AK6" s="147">
        <f>$A6*CAS_Component!AK6</f>
        <v>0</v>
      </c>
      <c r="AL6" s="159">
        <f>$A6*CAS_Component!AL6</f>
        <v>0</v>
      </c>
      <c r="AM6" s="147">
        <f>$A6*CAS_Component!AM6</f>
        <v>0</v>
      </c>
      <c r="AN6" s="159">
        <f>$A6*CAS_Component!AN6</f>
        <v>0</v>
      </c>
      <c r="AO6" s="147">
        <f>$A6*CAS_Component!AO6</f>
        <v>0</v>
      </c>
      <c r="AP6" s="159">
        <f>$A6*CAS_Component!AP6</f>
        <v>0</v>
      </c>
      <c r="AQ6" s="147">
        <f>$A6*CAS_Component!AQ6</f>
        <v>0</v>
      </c>
      <c r="AR6" s="159">
        <f>$A6*CAS_Component!AR6</f>
        <v>0</v>
      </c>
      <c r="AS6" s="147">
        <f>$A6*CAS_Component!AS6</f>
        <v>0</v>
      </c>
      <c r="AT6" s="159">
        <f>$A6*CAS_Component!AT6</f>
        <v>0</v>
      </c>
      <c r="AU6" s="147">
        <f>$A6*CAS_Component!AU6</f>
        <v>0</v>
      </c>
      <c r="AV6" s="159">
        <f>$A6*CAS_Component!AV6</f>
        <v>0</v>
      </c>
      <c r="AW6" s="147">
        <f>$A6*CAS_Component!AW6</f>
        <v>0</v>
      </c>
      <c r="AX6" s="159">
        <f>$A6*CAS_Component!AX6</f>
        <v>0</v>
      </c>
      <c r="AY6" s="147">
        <f>$A6*CAS_Component!AY6</f>
        <v>0</v>
      </c>
      <c r="AZ6" s="159">
        <f>$A6*CAS_Component!AZ6</f>
        <v>0</v>
      </c>
      <c r="BA6" s="147">
        <f>$A6*CAS_Component!BA6</f>
        <v>0</v>
      </c>
      <c r="BB6" s="159">
        <f>$A6*CAS_Component!BB6</f>
        <v>0</v>
      </c>
      <c r="BC6" s="147">
        <f>$A6*CAS_Component!BC6</f>
        <v>0</v>
      </c>
      <c r="BD6" s="159">
        <f>$A6*CAS_Component!BD6</f>
        <v>0</v>
      </c>
      <c r="BE6" s="147">
        <f>$A6*CAS_Component!BE6</f>
        <v>0</v>
      </c>
      <c r="BF6" s="159">
        <f>$A6*CAS_Component!BF6</f>
        <v>0</v>
      </c>
      <c r="BG6" s="147">
        <f>$A6*CAS_Component!BG6</f>
        <v>0</v>
      </c>
      <c r="BH6" s="159">
        <f>$A6*CAS_Component!BH6</f>
        <v>0</v>
      </c>
      <c r="BI6" s="147">
        <f>$A6*CAS_Component!BI6</f>
        <v>0</v>
      </c>
      <c r="BJ6" s="159">
        <f>$A6*CAS_Component!BJ6</f>
        <v>0</v>
      </c>
      <c r="BK6" s="147">
        <f>$A6*CAS_Component!BK6</f>
        <v>0</v>
      </c>
      <c r="BL6" s="159">
        <f>$A6*CAS_Component!BL6</f>
        <v>0</v>
      </c>
      <c r="BM6" s="147">
        <f>$A6*CAS_Component!BM6</f>
        <v>0</v>
      </c>
      <c r="BN6" s="159">
        <f>$A6*CAS_Component!BN6</f>
        <v>0</v>
      </c>
      <c r="BO6" s="147">
        <f>$A6*CAS_Component!BO6</f>
        <v>0</v>
      </c>
      <c r="BP6" s="159">
        <f>$A6*CAS_Component!BP6</f>
        <v>0</v>
      </c>
      <c r="BQ6" s="147">
        <f>$A6*CAS_Component!BQ6</f>
        <v>0</v>
      </c>
      <c r="BR6" s="159">
        <f>$A6*CAS_Component!BR6</f>
        <v>0</v>
      </c>
      <c r="BS6" s="147">
        <f>$A6*CAS_Component!BS6</f>
        <v>0</v>
      </c>
      <c r="BT6" s="159">
        <f>$A6*CAS_Component!BT6</f>
        <v>0</v>
      </c>
      <c r="BU6" s="147">
        <f>$A6*CAS_Component!BU6</f>
        <v>0</v>
      </c>
      <c r="BV6" s="159">
        <f>$A6*CAS_Component!BV6</f>
        <v>0</v>
      </c>
      <c r="BW6" s="147">
        <f>$A6*CAS_Component!BW6</f>
        <v>0</v>
      </c>
      <c r="BX6" s="159">
        <f>$A6*CAS_Component!BX6</f>
        <v>0</v>
      </c>
      <c r="BY6" s="147">
        <f>$A6*CAS_Component!BY6</f>
        <v>0</v>
      </c>
      <c r="BZ6" s="159">
        <f>$A6*CAS_Component!BZ6</f>
        <v>0</v>
      </c>
      <c r="CA6" s="147">
        <f>$A6*CAS_Component!CA6</f>
        <v>0</v>
      </c>
      <c r="CB6" s="159">
        <f>$A6*CAS_Component!CB6</f>
        <v>0</v>
      </c>
    </row>
    <row r="7" spans="1:110">
      <c r="A7" s="69">
        <v>1</v>
      </c>
      <c r="B7" s="68" t="s">
        <v>523</v>
      </c>
      <c r="C7" s="74">
        <v>18.97</v>
      </c>
      <c r="D7" s="142">
        <f t="shared" si="3"/>
        <v>18.979999999999997</v>
      </c>
      <c r="E7" s="147">
        <f>A7*CAS_Component!E7</f>
        <v>0</v>
      </c>
      <c r="F7" s="159">
        <f>$A7*CAS_Component!F7</f>
        <v>0</v>
      </c>
      <c r="G7" s="147">
        <f>$A7*CAS_Component!G7</f>
        <v>0</v>
      </c>
      <c r="H7" s="159">
        <f>$A7*CAS_Component!H7</f>
        <v>0</v>
      </c>
      <c r="I7" s="147">
        <f>$A7*CAS_Component!I7</f>
        <v>0</v>
      </c>
      <c r="J7" s="159">
        <f>$A7*CAS_Component!J7</f>
        <v>0</v>
      </c>
      <c r="K7" s="147">
        <f>$A7*CAS_Component!K7</f>
        <v>0</v>
      </c>
      <c r="L7" s="159">
        <f>$A7*CAS_Component!L7</f>
        <v>0</v>
      </c>
      <c r="M7" s="147">
        <f>$A7*CAS_Component!M7</f>
        <v>0</v>
      </c>
      <c r="N7" s="159">
        <f>$A7*CAS_Component!N7</f>
        <v>0</v>
      </c>
      <c r="O7" s="147">
        <f>$A7*CAS_Component!O7</f>
        <v>0</v>
      </c>
      <c r="P7" s="159">
        <f>$A7*CAS_Component!P7</f>
        <v>2.13</v>
      </c>
      <c r="Q7" s="147">
        <f>$A7*CAS_Component!Q7</f>
        <v>0</v>
      </c>
      <c r="R7" s="159">
        <f>$A7*CAS_Component!R7</f>
        <v>1.62</v>
      </c>
      <c r="S7" s="147">
        <f>$A7*CAS_Component!S7</f>
        <v>0</v>
      </c>
      <c r="T7" s="159">
        <f>$A7*CAS_Component!T7</f>
        <v>14.44</v>
      </c>
      <c r="U7" s="147">
        <f>$A7*CAS_Component!U7</f>
        <v>0.43</v>
      </c>
      <c r="V7" s="159">
        <f>$A7*CAS_Component!V7</f>
        <v>0.36</v>
      </c>
      <c r="W7" s="147">
        <f>$A7*CAS_Component!W7</f>
        <v>0</v>
      </c>
      <c r="X7" s="159">
        <f>$A7*CAS_Component!X7</f>
        <v>0</v>
      </c>
      <c r="Y7" s="147">
        <f>$A7*CAS_Component!Y7</f>
        <v>0</v>
      </c>
      <c r="Z7" s="159">
        <f>$A7*CAS_Component!Z7</f>
        <v>0</v>
      </c>
      <c r="AA7" s="147">
        <f>$A7*CAS_Component!AA7</f>
        <v>0</v>
      </c>
      <c r="AB7" s="159">
        <f>$A7*CAS_Component!AB7</f>
        <v>0</v>
      </c>
      <c r="AC7" s="147">
        <f>$A7*CAS_Component!AC7</f>
        <v>0</v>
      </c>
      <c r="AD7" s="159">
        <f>$A7*CAS_Component!AD7</f>
        <v>0</v>
      </c>
      <c r="AE7" s="147">
        <f>$A7*CAS_Component!AE7</f>
        <v>0</v>
      </c>
      <c r="AF7" s="159">
        <f>$A7*CAS_Component!AF7</f>
        <v>0</v>
      </c>
      <c r="AG7" s="147">
        <f>$A7*CAS_Component!AG7</f>
        <v>0</v>
      </c>
      <c r="AH7" s="159">
        <f>$A7*CAS_Component!AH7</f>
        <v>0</v>
      </c>
      <c r="AI7" s="147">
        <f>$A7*CAS_Component!AI7</f>
        <v>0</v>
      </c>
      <c r="AJ7" s="159">
        <f>$A7*CAS_Component!AJ7</f>
        <v>0</v>
      </c>
      <c r="AK7" s="147">
        <f>$A7*CAS_Component!AK7</f>
        <v>0</v>
      </c>
      <c r="AL7" s="159">
        <f>$A7*CAS_Component!AL7</f>
        <v>0</v>
      </c>
      <c r="AM7" s="147">
        <f>$A7*CAS_Component!AM7</f>
        <v>0</v>
      </c>
      <c r="AN7" s="159">
        <f>$A7*CAS_Component!AN7</f>
        <v>0</v>
      </c>
      <c r="AO7" s="147">
        <f>$A7*CAS_Component!AO7</f>
        <v>0</v>
      </c>
      <c r="AP7" s="159">
        <f>$A7*CAS_Component!AP7</f>
        <v>0</v>
      </c>
      <c r="AQ7" s="147">
        <f>$A7*CAS_Component!AQ7</f>
        <v>0</v>
      </c>
      <c r="AR7" s="159">
        <f>$A7*CAS_Component!AR7</f>
        <v>0</v>
      </c>
      <c r="AS7" s="147">
        <f>$A7*CAS_Component!AS7</f>
        <v>0</v>
      </c>
      <c r="AT7" s="159">
        <f>$A7*CAS_Component!AT7</f>
        <v>0</v>
      </c>
      <c r="AU7" s="147">
        <f>$A7*CAS_Component!AU7</f>
        <v>0</v>
      </c>
      <c r="AV7" s="159">
        <f>$A7*CAS_Component!AV7</f>
        <v>0</v>
      </c>
      <c r="AW7" s="147">
        <f>$A7*CAS_Component!AW7</f>
        <v>0</v>
      </c>
      <c r="AX7" s="159">
        <f>$A7*CAS_Component!AX7</f>
        <v>0</v>
      </c>
      <c r="AY7" s="147">
        <f>$A7*CAS_Component!AY7</f>
        <v>0</v>
      </c>
      <c r="AZ7" s="159">
        <f>$A7*CAS_Component!AZ7</f>
        <v>0</v>
      </c>
      <c r="BA7" s="147">
        <f>$A7*CAS_Component!BA7</f>
        <v>0</v>
      </c>
      <c r="BB7" s="159">
        <f>$A7*CAS_Component!BB7</f>
        <v>0</v>
      </c>
      <c r="BC7" s="147">
        <f>$A7*CAS_Component!BC7</f>
        <v>0</v>
      </c>
      <c r="BD7" s="159">
        <f>$A7*CAS_Component!BD7</f>
        <v>0</v>
      </c>
      <c r="BE7" s="147">
        <f>$A7*CAS_Component!BE7</f>
        <v>0</v>
      </c>
      <c r="BF7" s="159">
        <f>$A7*CAS_Component!BF7</f>
        <v>0</v>
      </c>
      <c r="BG7" s="147">
        <f>$A7*CAS_Component!BG7</f>
        <v>0</v>
      </c>
      <c r="BH7" s="159">
        <f>$A7*CAS_Component!BH7</f>
        <v>0</v>
      </c>
      <c r="BI7" s="147">
        <f>$A7*CAS_Component!BI7</f>
        <v>0</v>
      </c>
      <c r="BJ7" s="159">
        <f>$A7*CAS_Component!BJ7</f>
        <v>0</v>
      </c>
      <c r="BK7" s="147">
        <f>$A7*CAS_Component!BK7</f>
        <v>0</v>
      </c>
      <c r="BL7" s="159">
        <f>$A7*CAS_Component!BL7</f>
        <v>0</v>
      </c>
      <c r="BM7" s="147">
        <f>$A7*CAS_Component!BM7</f>
        <v>0</v>
      </c>
      <c r="BN7" s="159">
        <f>$A7*CAS_Component!BN7</f>
        <v>0</v>
      </c>
      <c r="BO7" s="147">
        <f>$A7*CAS_Component!BO7</f>
        <v>0</v>
      </c>
      <c r="BP7" s="159">
        <f>$A7*CAS_Component!BP7</f>
        <v>0</v>
      </c>
      <c r="BQ7" s="147">
        <f>$A7*CAS_Component!BQ7</f>
        <v>0</v>
      </c>
      <c r="BR7" s="159">
        <f>$A7*CAS_Component!BR7</f>
        <v>0</v>
      </c>
      <c r="BS7" s="147">
        <f>$A7*CAS_Component!BS7</f>
        <v>0</v>
      </c>
      <c r="BT7" s="159">
        <f>$A7*CAS_Component!BT7</f>
        <v>0</v>
      </c>
      <c r="BU7" s="147">
        <f>$A7*CAS_Component!BU7</f>
        <v>0</v>
      </c>
      <c r="BV7" s="159">
        <f>$A7*CAS_Component!BV7</f>
        <v>0</v>
      </c>
      <c r="BW7" s="147">
        <f>$A7*CAS_Component!BW7</f>
        <v>0</v>
      </c>
      <c r="BX7" s="159">
        <f>$A7*CAS_Component!BX7</f>
        <v>0</v>
      </c>
      <c r="BY7" s="147">
        <f>$A7*CAS_Component!BY7</f>
        <v>0</v>
      </c>
      <c r="BZ7" s="159">
        <f>$A7*CAS_Component!BZ7</f>
        <v>0</v>
      </c>
      <c r="CA7" s="147">
        <f>$A7*CAS_Component!CA7</f>
        <v>0</v>
      </c>
      <c r="CB7" s="159">
        <f>$A7*CAS_Component!CB7</f>
        <v>0</v>
      </c>
    </row>
    <row r="8" spans="1:110">
      <c r="A8" s="69">
        <v>4</v>
      </c>
      <c r="B8" s="68" t="s">
        <v>519</v>
      </c>
      <c r="C8" s="67">
        <v>40.96</v>
      </c>
      <c r="D8" s="142">
        <f t="shared" si="3"/>
        <v>163.83999999999997</v>
      </c>
      <c r="E8" s="147">
        <f>A8*CAS_Component!E8</f>
        <v>3.08</v>
      </c>
      <c r="F8" s="159">
        <f>$A8*CAS_Component!F8</f>
        <v>0</v>
      </c>
      <c r="G8" s="147">
        <f>$A8*CAS_Component!G8</f>
        <v>0</v>
      </c>
      <c r="H8" s="159">
        <f>$A8*CAS_Component!H8</f>
        <v>0</v>
      </c>
      <c r="I8" s="147">
        <f>$A8*CAS_Component!I8</f>
        <v>0</v>
      </c>
      <c r="J8" s="159">
        <f>$A8*CAS_Component!J8</f>
        <v>0</v>
      </c>
      <c r="K8" s="147">
        <f>$A8*CAS_Component!K8</f>
        <v>0</v>
      </c>
      <c r="L8" s="159">
        <f>$A8*CAS_Component!L8</f>
        <v>0</v>
      </c>
      <c r="M8" s="147">
        <f>$A8*CAS_Component!M8</f>
        <v>0</v>
      </c>
      <c r="N8" s="159">
        <f>$A8*CAS_Component!N8</f>
        <v>0</v>
      </c>
      <c r="O8" s="147">
        <f>$A8*CAS_Component!O8</f>
        <v>0</v>
      </c>
      <c r="P8" s="159">
        <f>$A8*CAS_Component!P8</f>
        <v>12.36</v>
      </c>
      <c r="Q8" s="147">
        <f>$A8*CAS_Component!Q8</f>
        <v>0</v>
      </c>
      <c r="R8" s="159">
        <f>$A8*CAS_Component!R8</f>
        <v>57.08</v>
      </c>
      <c r="S8" s="147">
        <f>$A8*CAS_Component!S8</f>
        <v>0</v>
      </c>
      <c r="T8" s="159">
        <f>$A8*CAS_Component!T8</f>
        <v>90.32</v>
      </c>
      <c r="U8" s="147">
        <f>$A8*CAS_Component!U8</f>
        <v>1</v>
      </c>
      <c r="V8" s="159">
        <f>$A8*CAS_Component!V8</f>
        <v>0</v>
      </c>
      <c r="W8" s="147">
        <f>$A8*CAS_Component!W8</f>
        <v>0</v>
      </c>
      <c r="X8" s="159">
        <f>$A8*CAS_Component!X8</f>
        <v>0</v>
      </c>
      <c r="Y8" s="147">
        <f>$A8*CAS_Component!Y8</f>
        <v>0</v>
      </c>
      <c r="Z8" s="159">
        <f>$A8*CAS_Component!Z8</f>
        <v>0</v>
      </c>
      <c r="AA8" s="147">
        <f>$A8*CAS_Component!AA8</f>
        <v>0</v>
      </c>
      <c r="AB8" s="159">
        <f>$A8*CAS_Component!AB8</f>
        <v>0</v>
      </c>
      <c r="AC8" s="147">
        <f>$A8*CAS_Component!AC8</f>
        <v>0</v>
      </c>
      <c r="AD8" s="159">
        <f>$A8*CAS_Component!AD8</f>
        <v>0</v>
      </c>
      <c r="AE8" s="147">
        <f>$A8*CAS_Component!AE8</f>
        <v>0</v>
      </c>
      <c r="AF8" s="159">
        <f>$A8*CAS_Component!AF8</f>
        <v>0</v>
      </c>
      <c r="AG8" s="147">
        <f>$A8*CAS_Component!AG8</f>
        <v>0</v>
      </c>
      <c r="AH8" s="159">
        <f>$A8*CAS_Component!AH8</f>
        <v>0</v>
      </c>
      <c r="AI8" s="147">
        <f>$A8*CAS_Component!AI8</f>
        <v>0</v>
      </c>
      <c r="AJ8" s="159">
        <f>$A8*CAS_Component!AJ8</f>
        <v>0</v>
      </c>
      <c r="AK8" s="147">
        <f>$A8*CAS_Component!AK8</f>
        <v>0</v>
      </c>
      <c r="AL8" s="159">
        <f>$A8*CAS_Component!AL8</f>
        <v>0</v>
      </c>
      <c r="AM8" s="147">
        <f>$A8*CAS_Component!AM8</f>
        <v>0</v>
      </c>
      <c r="AN8" s="159">
        <f>$A8*CAS_Component!AN8</f>
        <v>0</v>
      </c>
      <c r="AO8" s="147">
        <f>$A8*CAS_Component!AO8</f>
        <v>0</v>
      </c>
      <c r="AP8" s="159">
        <f>$A8*CAS_Component!AP8</f>
        <v>0</v>
      </c>
      <c r="AQ8" s="147">
        <f>$A8*CAS_Component!AQ8</f>
        <v>0</v>
      </c>
      <c r="AR8" s="159">
        <f>$A8*CAS_Component!AR8</f>
        <v>0</v>
      </c>
      <c r="AS8" s="147">
        <f>$A8*CAS_Component!AS8</f>
        <v>0</v>
      </c>
      <c r="AT8" s="159">
        <f>$A8*CAS_Component!AT8</f>
        <v>0</v>
      </c>
      <c r="AU8" s="147">
        <f>$A8*CAS_Component!AU8</f>
        <v>0</v>
      </c>
      <c r="AV8" s="159">
        <f>$A8*CAS_Component!AV8</f>
        <v>0</v>
      </c>
      <c r="AW8" s="147">
        <f>$A8*CAS_Component!AW8</f>
        <v>0</v>
      </c>
      <c r="AX8" s="159">
        <f>$A8*CAS_Component!AX8</f>
        <v>0</v>
      </c>
      <c r="AY8" s="147">
        <f>$A8*CAS_Component!AY8</f>
        <v>0</v>
      </c>
      <c r="AZ8" s="159">
        <f>$A8*CAS_Component!AZ8</f>
        <v>0</v>
      </c>
      <c r="BA8" s="147">
        <f>$A8*CAS_Component!BA8</f>
        <v>0</v>
      </c>
      <c r="BB8" s="159">
        <f>$A8*CAS_Component!BB8</f>
        <v>0</v>
      </c>
      <c r="BC8" s="147">
        <f>$A8*CAS_Component!BC8</f>
        <v>0</v>
      </c>
      <c r="BD8" s="159">
        <f>$A8*CAS_Component!BD8</f>
        <v>0</v>
      </c>
      <c r="BE8" s="147">
        <f>$A8*CAS_Component!BE8</f>
        <v>0</v>
      </c>
      <c r="BF8" s="159">
        <f>$A8*CAS_Component!BF8</f>
        <v>0</v>
      </c>
      <c r="BG8" s="147">
        <f>$A8*CAS_Component!BG8</f>
        <v>0</v>
      </c>
      <c r="BH8" s="159">
        <f>$A8*CAS_Component!BH8</f>
        <v>0</v>
      </c>
      <c r="BI8" s="147">
        <f>$A8*CAS_Component!BI8</f>
        <v>0</v>
      </c>
      <c r="BJ8" s="159">
        <f>$A8*CAS_Component!BJ8</f>
        <v>0</v>
      </c>
      <c r="BK8" s="147">
        <f>$A8*CAS_Component!BK8</f>
        <v>0</v>
      </c>
      <c r="BL8" s="159">
        <f>$A8*CAS_Component!BL8</f>
        <v>0</v>
      </c>
      <c r="BM8" s="147">
        <f>$A8*CAS_Component!BM8</f>
        <v>0</v>
      </c>
      <c r="BN8" s="159">
        <f>$A8*CAS_Component!BN8</f>
        <v>0</v>
      </c>
      <c r="BO8" s="147">
        <f>$A8*CAS_Component!BO8</f>
        <v>0</v>
      </c>
      <c r="BP8" s="159">
        <f>$A8*CAS_Component!BP8</f>
        <v>0</v>
      </c>
      <c r="BQ8" s="147">
        <f>$A8*CAS_Component!BQ8</f>
        <v>0</v>
      </c>
      <c r="BR8" s="159">
        <f>$A8*CAS_Component!BR8</f>
        <v>0</v>
      </c>
      <c r="BS8" s="147">
        <f>$A8*CAS_Component!BS8</f>
        <v>0</v>
      </c>
      <c r="BT8" s="159">
        <f>$A8*CAS_Component!BT8</f>
        <v>0</v>
      </c>
      <c r="BU8" s="147">
        <f>$A8*CAS_Component!BU8</f>
        <v>0</v>
      </c>
      <c r="BV8" s="159">
        <f>$A8*CAS_Component!BV8</f>
        <v>0</v>
      </c>
      <c r="BW8" s="147">
        <f>$A8*CAS_Component!BW8</f>
        <v>0</v>
      </c>
      <c r="BX8" s="159">
        <f>$A8*CAS_Component!BX8</f>
        <v>0</v>
      </c>
      <c r="BY8" s="147">
        <f>$A8*CAS_Component!BY8</f>
        <v>0</v>
      </c>
      <c r="BZ8" s="159">
        <f>$A8*CAS_Component!BZ8</f>
        <v>0</v>
      </c>
      <c r="CA8" s="147">
        <f>$A8*CAS_Component!CA8</f>
        <v>0</v>
      </c>
      <c r="CB8" s="159">
        <f>$A8*CAS_Component!CB8</f>
        <v>0</v>
      </c>
    </row>
    <row r="9" spans="1:110">
      <c r="A9" s="69">
        <v>3</v>
      </c>
      <c r="B9" s="68" t="s">
        <v>515</v>
      </c>
      <c r="C9" s="67">
        <v>47.52</v>
      </c>
      <c r="D9" s="142">
        <f t="shared" si="3"/>
        <v>142.59</v>
      </c>
      <c r="E9" s="147">
        <f>A9*CAS_Component!E9</f>
        <v>0</v>
      </c>
      <c r="F9" s="159">
        <f>$A9*CAS_Component!F9</f>
        <v>0</v>
      </c>
      <c r="G9" s="147">
        <f>$A9*CAS_Component!G9</f>
        <v>0</v>
      </c>
      <c r="H9" s="159">
        <f>$A9*CAS_Component!H9</f>
        <v>0</v>
      </c>
      <c r="I9" s="147">
        <f>$A9*CAS_Component!I9</f>
        <v>0</v>
      </c>
      <c r="J9" s="159">
        <f>$A9*CAS_Component!J9</f>
        <v>0</v>
      </c>
      <c r="K9" s="147">
        <f>$A9*CAS_Component!K9</f>
        <v>0</v>
      </c>
      <c r="L9" s="159">
        <f>$A9*CAS_Component!L9</f>
        <v>0</v>
      </c>
      <c r="M9" s="147">
        <f>$A9*CAS_Component!M9</f>
        <v>0</v>
      </c>
      <c r="N9" s="159">
        <f>$A9*CAS_Component!N9</f>
        <v>0</v>
      </c>
      <c r="O9" s="147">
        <f>$A9*CAS_Component!O9</f>
        <v>0</v>
      </c>
      <c r="P9" s="159">
        <f>$A9*CAS_Component!P9</f>
        <v>5.79</v>
      </c>
      <c r="Q9" s="147">
        <f>$A9*CAS_Component!Q9</f>
        <v>0</v>
      </c>
      <c r="R9" s="159">
        <f>$A9*CAS_Component!R9</f>
        <v>14.01</v>
      </c>
      <c r="S9" s="147">
        <f>$A9*CAS_Component!S9</f>
        <v>0</v>
      </c>
      <c r="T9" s="159">
        <f>$A9*CAS_Component!T9</f>
        <v>0</v>
      </c>
      <c r="U9" s="147">
        <f>$A9*CAS_Component!U9</f>
        <v>1.8900000000000001</v>
      </c>
      <c r="V9" s="159">
        <f>$A9*CAS_Component!V9</f>
        <v>1.8900000000000001</v>
      </c>
      <c r="W9" s="147">
        <f>$A9*CAS_Component!W9</f>
        <v>119.01</v>
      </c>
      <c r="X9" s="159">
        <f>$A9*CAS_Component!X9</f>
        <v>0</v>
      </c>
      <c r="Y9" s="147">
        <f>$A9*CAS_Component!Y9</f>
        <v>0</v>
      </c>
      <c r="Z9" s="159">
        <f>$A9*CAS_Component!Z9</f>
        <v>0</v>
      </c>
      <c r="AA9" s="147">
        <f>$A9*CAS_Component!AA9</f>
        <v>0</v>
      </c>
      <c r="AB9" s="159">
        <f>$A9*CAS_Component!AB9</f>
        <v>0</v>
      </c>
      <c r="AC9" s="147">
        <f>$A9*CAS_Component!AC9</f>
        <v>0</v>
      </c>
      <c r="AD9" s="159">
        <f>$A9*CAS_Component!AD9</f>
        <v>0</v>
      </c>
      <c r="AE9" s="147">
        <f>$A9*CAS_Component!AE9</f>
        <v>0</v>
      </c>
      <c r="AF9" s="159">
        <f>$A9*CAS_Component!AF9</f>
        <v>0</v>
      </c>
      <c r="AG9" s="147">
        <f>$A9*CAS_Component!AG9</f>
        <v>0</v>
      </c>
      <c r="AH9" s="159">
        <f>$A9*CAS_Component!AH9</f>
        <v>0</v>
      </c>
      <c r="AI9" s="147">
        <f>$A9*CAS_Component!AI9</f>
        <v>0</v>
      </c>
      <c r="AJ9" s="159">
        <f>$A9*CAS_Component!AJ9</f>
        <v>0</v>
      </c>
      <c r="AK9" s="147">
        <f>$A9*CAS_Component!AK9</f>
        <v>0</v>
      </c>
      <c r="AL9" s="159">
        <f>$A9*CAS_Component!AL9</f>
        <v>0</v>
      </c>
      <c r="AM9" s="147">
        <f>$A9*CAS_Component!AM9</f>
        <v>0</v>
      </c>
      <c r="AN9" s="159">
        <f>$A9*CAS_Component!AN9</f>
        <v>0</v>
      </c>
      <c r="AO9" s="147">
        <f>$A9*CAS_Component!AO9</f>
        <v>0</v>
      </c>
      <c r="AP9" s="159">
        <f>$A9*CAS_Component!AP9</f>
        <v>0</v>
      </c>
      <c r="AQ9" s="147">
        <f>$A9*CAS_Component!AQ9</f>
        <v>0</v>
      </c>
      <c r="AR9" s="159">
        <f>$A9*CAS_Component!AR9</f>
        <v>0</v>
      </c>
      <c r="AS9" s="147">
        <f>$A9*CAS_Component!AS9</f>
        <v>0</v>
      </c>
      <c r="AT9" s="159">
        <f>$A9*CAS_Component!AT9</f>
        <v>0</v>
      </c>
      <c r="AU9" s="147">
        <f>$A9*CAS_Component!AU9</f>
        <v>0</v>
      </c>
      <c r="AV9" s="159">
        <f>$A9*CAS_Component!AV9</f>
        <v>0</v>
      </c>
      <c r="AW9" s="147">
        <f>$A9*CAS_Component!AW9</f>
        <v>0</v>
      </c>
      <c r="AX9" s="159">
        <f>$A9*CAS_Component!AX9</f>
        <v>0</v>
      </c>
      <c r="AY9" s="147">
        <f>$A9*CAS_Component!AY9</f>
        <v>0</v>
      </c>
      <c r="AZ9" s="159">
        <f>$A9*CAS_Component!AZ9</f>
        <v>0</v>
      </c>
      <c r="BA9" s="147">
        <f>$A9*CAS_Component!BA9</f>
        <v>0</v>
      </c>
      <c r="BB9" s="159">
        <f>$A9*CAS_Component!BB9</f>
        <v>0</v>
      </c>
      <c r="BC9" s="147">
        <f>$A9*CAS_Component!BC9</f>
        <v>0</v>
      </c>
      <c r="BD9" s="159">
        <f>$A9*CAS_Component!BD9</f>
        <v>0</v>
      </c>
      <c r="BE9" s="147">
        <f>$A9*CAS_Component!BE9</f>
        <v>0</v>
      </c>
      <c r="BF9" s="159">
        <f>$A9*CAS_Component!BF9</f>
        <v>0</v>
      </c>
      <c r="BG9" s="147">
        <f>$A9*CAS_Component!BG9</f>
        <v>0</v>
      </c>
      <c r="BH9" s="159">
        <f>$A9*CAS_Component!BH9</f>
        <v>0</v>
      </c>
      <c r="BI9" s="147">
        <f>$A9*CAS_Component!BI9</f>
        <v>0</v>
      </c>
      <c r="BJ9" s="159">
        <f>$A9*CAS_Component!BJ9</f>
        <v>0</v>
      </c>
      <c r="BK9" s="147">
        <f>$A9*CAS_Component!BK9</f>
        <v>0</v>
      </c>
      <c r="BL9" s="159">
        <f>$A9*CAS_Component!BL9</f>
        <v>0</v>
      </c>
      <c r="BM9" s="147">
        <f>$A9*CAS_Component!BM9</f>
        <v>0</v>
      </c>
      <c r="BN9" s="159">
        <f>$A9*CAS_Component!BN9</f>
        <v>0</v>
      </c>
      <c r="BO9" s="147">
        <f>$A9*CAS_Component!BO9</f>
        <v>0</v>
      </c>
      <c r="BP9" s="159">
        <f>$A9*CAS_Component!BP9</f>
        <v>0</v>
      </c>
      <c r="BQ9" s="147">
        <f>$A9*CAS_Component!BQ9</f>
        <v>0</v>
      </c>
      <c r="BR9" s="159">
        <f>$A9*CAS_Component!BR9</f>
        <v>0</v>
      </c>
      <c r="BS9" s="147">
        <f>$A9*CAS_Component!BS9</f>
        <v>0</v>
      </c>
      <c r="BT9" s="159">
        <f>$A9*CAS_Component!BT9</f>
        <v>0</v>
      </c>
      <c r="BU9" s="147">
        <f>$A9*CAS_Component!BU9</f>
        <v>0</v>
      </c>
      <c r="BV9" s="159">
        <f>$A9*CAS_Component!BV9</f>
        <v>0</v>
      </c>
      <c r="BW9" s="147">
        <f>$A9*CAS_Component!BW9</f>
        <v>0</v>
      </c>
      <c r="BX9" s="159">
        <f>$A9*CAS_Component!BX9</f>
        <v>0</v>
      </c>
      <c r="BY9" s="147">
        <f>$A9*CAS_Component!BY9</f>
        <v>0</v>
      </c>
      <c r="BZ9" s="159">
        <f>$A9*CAS_Component!BZ9</f>
        <v>0</v>
      </c>
      <c r="CA9" s="147">
        <f>$A9*CAS_Component!CA9</f>
        <v>0</v>
      </c>
      <c r="CB9" s="159">
        <f>$A9*CAS_Component!CB9</f>
        <v>0</v>
      </c>
    </row>
    <row r="10" spans="1:110">
      <c r="A10" s="69">
        <v>1</v>
      </c>
      <c r="B10" s="68" t="s">
        <v>512</v>
      </c>
      <c r="C10" s="67">
        <v>18.97</v>
      </c>
      <c r="D10" s="142">
        <f t="shared" si="3"/>
        <v>18.98</v>
      </c>
      <c r="E10" s="147">
        <f>A10*CAS_Component!E10</f>
        <v>0</v>
      </c>
      <c r="F10" s="159">
        <f>$A10*CAS_Component!F10</f>
        <v>0</v>
      </c>
      <c r="G10" s="147">
        <f>$A10*CAS_Component!G10</f>
        <v>0</v>
      </c>
      <c r="H10" s="159">
        <f>$A10*CAS_Component!H10</f>
        <v>0</v>
      </c>
      <c r="I10" s="147">
        <f>$A10*CAS_Component!I10</f>
        <v>0</v>
      </c>
      <c r="J10" s="159">
        <f>$A10*CAS_Component!J10</f>
        <v>0</v>
      </c>
      <c r="K10" s="147">
        <f>$A10*CAS_Component!K10</f>
        <v>0</v>
      </c>
      <c r="L10" s="159">
        <f>$A10*CAS_Component!L10</f>
        <v>0</v>
      </c>
      <c r="M10" s="147">
        <f>$A10*CAS_Component!M10</f>
        <v>0</v>
      </c>
      <c r="N10" s="159">
        <f>$A10*CAS_Component!N10</f>
        <v>0</v>
      </c>
      <c r="O10" s="147">
        <f>$A10*CAS_Component!O10</f>
        <v>0</v>
      </c>
      <c r="P10" s="159">
        <f>$A10*CAS_Component!P10</f>
        <v>2.13</v>
      </c>
      <c r="Q10" s="147">
        <f>$A10*CAS_Component!Q10</f>
        <v>0</v>
      </c>
      <c r="R10" s="159">
        <f>$A10*CAS_Component!R10</f>
        <v>1.62</v>
      </c>
      <c r="S10" s="147">
        <f>$A10*CAS_Component!S10</f>
        <v>0</v>
      </c>
      <c r="T10" s="159">
        <f>$A10*CAS_Component!T10</f>
        <v>0</v>
      </c>
      <c r="U10" s="147">
        <f>$A10*CAS_Component!U10</f>
        <v>0.43</v>
      </c>
      <c r="V10" s="159">
        <f>$A10*CAS_Component!V10</f>
        <v>0.36</v>
      </c>
      <c r="W10" s="147">
        <f>$A10*CAS_Component!W10</f>
        <v>14.44</v>
      </c>
      <c r="X10" s="159">
        <f>$A10*CAS_Component!X10</f>
        <v>0</v>
      </c>
      <c r="Y10" s="147">
        <f>$A10*CAS_Component!Y10</f>
        <v>0</v>
      </c>
      <c r="Z10" s="159">
        <f>$A10*CAS_Component!Z10</f>
        <v>0</v>
      </c>
      <c r="AA10" s="147">
        <f>$A10*CAS_Component!AA10</f>
        <v>0</v>
      </c>
      <c r="AB10" s="159">
        <f>$A10*CAS_Component!AB10</f>
        <v>0</v>
      </c>
      <c r="AC10" s="147">
        <f>$A10*CAS_Component!AC10</f>
        <v>0</v>
      </c>
      <c r="AD10" s="159">
        <f>$A10*CAS_Component!AD10</f>
        <v>0</v>
      </c>
      <c r="AE10" s="147">
        <f>$A10*CAS_Component!AE10</f>
        <v>0</v>
      </c>
      <c r="AF10" s="159">
        <f>$A10*CAS_Component!AF10</f>
        <v>0</v>
      </c>
      <c r="AG10" s="147">
        <f>$A10*CAS_Component!AG10</f>
        <v>0</v>
      </c>
      <c r="AH10" s="159">
        <f>$A10*CAS_Component!AH10</f>
        <v>0</v>
      </c>
      <c r="AI10" s="147">
        <f>$A10*CAS_Component!AI10</f>
        <v>0</v>
      </c>
      <c r="AJ10" s="159">
        <f>$A10*CAS_Component!AJ10</f>
        <v>0</v>
      </c>
      <c r="AK10" s="147">
        <f>$A10*CAS_Component!AK10</f>
        <v>0</v>
      </c>
      <c r="AL10" s="159">
        <f>$A10*CAS_Component!AL10</f>
        <v>0</v>
      </c>
      <c r="AM10" s="147">
        <f>$A10*CAS_Component!AM10</f>
        <v>0</v>
      </c>
      <c r="AN10" s="159">
        <f>$A10*CAS_Component!AN10</f>
        <v>0</v>
      </c>
      <c r="AO10" s="147">
        <f>$A10*CAS_Component!AO10</f>
        <v>0</v>
      </c>
      <c r="AP10" s="159">
        <f>$A10*CAS_Component!AP10</f>
        <v>0</v>
      </c>
      <c r="AQ10" s="147">
        <f>$A10*CAS_Component!AQ10</f>
        <v>0</v>
      </c>
      <c r="AR10" s="159">
        <f>$A10*CAS_Component!AR10</f>
        <v>0</v>
      </c>
      <c r="AS10" s="147">
        <f>$A10*CAS_Component!AS10</f>
        <v>0</v>
      </c>
      <c r="AT10" s="159">
        <f>$A10*CAS_Component!AT10</f>
        <v>0</v>
      </c>
      <c r="AU10" s="147">
        <f>$A10*CAS_Component!AU10</f>
        <v>0</v>
      </c>
      <c r="AV10" s="159">
        <f>$A10*CAS_Component!AV10</f>
        <v>0</v>
      </c>
      <c r="AW10" s="147">
        <f>$A10*CAS_Component!AW10</f>
        <v>0</v>
      </c>
      <c r="AX10" s="159">
        <f>$A10*CAS_Component!AX10</f>
        <v>0</v>
      </c>
      <c r="AY10" s="147">
        <f>$A10*CAS_Component!AY10</f>
        <v>0</v>
      </c>
      <c r="AZ10" s="159">
        <f>$A10*CAS_Component!AZ10</f>
        <v>0</v>
      </c>
      <c r="BA10" s="147">
        <f>$A10*CAS_Component!BA10</f>
        <v>0</v>
      </c>
      <c r="BB10" s="159">
        <f>$A10*CAS_Component!BB10</f>
        <v>0</v>
      </c>
      <c r="BC10" s="147">
        <f>$A10*CAS_Component!BC10</f>
        <v>0</v>
      </c>
      <c r="BD10" s="159">
        <f>$A10*CAS_Component!BD10</f>
        <v>0</v>
      </c>
      <c r="BE10" s="147">
        <f>$A10*CAS_Component!BE10</f>
        <v>0</v>
      </c>
      <c r="BF10" s="159">
        <f>$A10*CAS_Component!BF10</f>
        <v>0</v>
      </c>
      <c r="BG10" s="147">
        <f>$A10*CAS_Component!BG10</f>
        <v>0</v>
      </c>
      <c r="BH10" s="159">
        <f>$A10*CAS_Component!BH10</f>
        <v>0</v>
      </c>
      <c r="BI10" s="147">
        <f>$A10*CAS_Component!BI10</f>
        <v>0</v>
      </c>
      <c r="BJ10" s="159">
        <f>$A10*CAS_Component!BJ10</f>
        <v>0</v>
      </c>
      <c r="BK10" s="147">
        <f>$A10*CAS_Component!BK10</f>
        <v>0</v>
      </c>
      <c r="BL10" s="159">
        <f>$A10*CAS_Component!BL10</f>
        <v>0</v>
      </c>
      <c r="BM10" s="147">
        <f>$A10*CAS_Component!BM10</f>
        <v>0</v>
      </c>
      <c r="BN10" s="159">
        <f>$A10*CAS_Component!BN10</f>
        <v>0</v>
      </c>
      <c r="BO10" s="147">
        <f>$A10*CAS_Component!BO10</f>
        <v>0</v>
      </c>
      <c r="BP10" s="159">
        <f>$A10*CAS_Component!BP10</f>
        <v>0</v>
      </c>
      <c r="BQ10" s="147">
        <f>$A10*CAS_Component!BQ10</f>
        <v>0</v>
      </c>
      <c r="BR10" s="159">
        <f>$A10*CAS_Component!BR10</f>
        <v>0</v>
      </c>
      <c r="BS10" s="147">
        <f>$A10*CAS_Component!BS10</f>
        <v>0</v>
      </c>
      <c r="BT10" s="159">
        <f>$A10*CAS_Component!BT10</f>
        <v>0</v>
      </c>
      <c r="BU10" s="147">
        <f>$A10*CAS_Component!BU10</f>
        <v>0</v>
      </c>
      <c r="BV10" s="159">
        <f>$A10*CAS_Component!BV10</f>
        <v>0</v>
      </c>
      <c r="BW10" s="147">
        <f>$A10*CAS_Component!BW10</f>
        <v>0</v>
      </c>
      <c r="BX10" s="159">
        <f>$A10*CAS_Component!BX10</f>
        <v>0</v>
      </c>
      <c r="BY10" s="147">
        <f>$A10*CAS_Component!BY10</f>
        <v>0</v>
      </c>
      <c r="BZ10" s="159">
        <f>$A10*CAS_Component!BZ10</f>
        <v>0</v>
      </c>
      <c r="CA10" s="147">
        <f>$A10*CAS_Component!CA10</f>
        <v>0</v>
      </c>
      <c r="CB10" s="159">
        <f>$A10*CAS_Component!CB10</f>
        <v>0</v>
      </c>
    </row>
    <row r="11" spans="1:110">
      <c r="A11" s="69">
        <v>3</v>
      </c>
      <c r="B11" s="68" t="s">
        <v>508</v>
      </c>
      <c r="C11" s="67">
        <f>6*A11</f>
        <v>18</v>
      </c>
      <c r="D11" s="142">
        <f t="shared" si="3"/>
        <v>18</v>
      </c>
      <c r="E11" s="147">
        <f>A11*CAS_Component!E11</f>
        <v>0</v>
      </c>
      <c r="F11" s="159">
        <f>$A11*CAS_Component!F11</f>
        <v>0</v>
      </c>
      <c r="G11" s="147">
        <f>$A11*CAS_Component!G11</f>
        <v>0</v>
      </c>
      <c r="H11" s="159">
        <f>$A11*CAS_Component!H11</f>
        <v>0</v>
      </c>
      <c r="I11" s="147">
        <f>$A11*CAS_Component!I11</f>
        <v>0</v>
      </c>
      <c r="J11" s="159">
        <f>$A11*CAS_Component!J11</f>
        <v>0</v>
      </c>
      <c r="K11" s="147">
        <f>$A11*CAS_Component!K11</f>
        <v>0</v>
      </c>
      <c r="L11" s="159">
        <f>$A11*CAS_Component!L11</f>
        <v>0</v>
      </c>
      <c r="M11" s="147">
        <f>$A11*CAS_Component!M11</f>
        <v>0</v>
      </c>
      <c r="N11" s="159">
        <f>$A11*CAS_Component!N11</f>
        <v>0</v>
      </c>
      <c r="O11" s="147">
        <f>$A11*CAS_Component!O11</f>
        <v>0</v>
      </c>
      <c r="P11" s="159">
        <f>$A11*CAS_Component!P11</f>
        <v>0.67500000000000004</v>
      </c>
      <c r="Q11" s="147">
        <f>$A11*CAS_Component!Q11</f>
        <v>0</v>
      </c>
      <c r="R11" s="159">
        <f>$A11*CAS_Component!R11</f>
        <v>1.7040000000000002</v>
      </c>
      <c r="S11" s="147">
        <f>$A11*CAS_Component!S11</f>
        <v>0</v>
      </c>
      <c r="T11" s="159">
        <f>$A11*CAS_Component!T11</f>
        <v>3.87</v>
      </c>
      <c r="U11" s="147">
        <f>$A11*CAS_Component!U11</f>
        <v>0.57600000000000007</v>
      </c>
      <c r="V11" s="159">
        <f>$A11*CAS_Component!V11</f>
        <v>0</v>
      </c>
      <c r="W11" s="147">
        <f>$A11*CAS_Component!W11</f>
        <v>0</v>
      </c>
      <c r="X11" s="159">
        <f>$A11*CAS_Component!X11</f>
        <v>1.7399999999999998</v>
      </c>
      <c r="Y11" s="147">
        <f>$A11*CAS_Component!Y11</f>
        <v>9.42</v>
      </c>
      <c r="Z11" s="159">
        <f>$A11*CAS_Component!Z11</f>
        <v>0</v>
      </c>
      <c r="AA11" s="147">
        <f>$A11*CAS_Component!AA11</f>
        <v>0</v>
      </c>
      <c r="AB11" s="159">
        <f>$A11*CAS_Component!AB11</f>
        <v>0</v>
      </c>
      <c r="AC11" s="147">
        <f>$A11*CAS_Component!AC11</f>
        <v>0</v>
      </c>
      <c r="AD11" s="159">
        <f>$A11*CAS_Component!AD11</f>
        <v>0</v>
      </c>
      <c r="AE11" s="147">
        <f>$A11*CAS_Component!AE11</f>
        <v>0</v>
      </c>
      <c r="AF11" s="159">
        <f>$A11*CAS_Component!AF11</f>
        <v>0</v>
      </c>
      <c r="AG11" s="147">
        <f>$A11*CAS_Component!AG11</f>
        <v>0</v>
      </c>
      <c r="AH11" s="159">
        <f>$A11*CAS_Component!AH11</f>
        <v>0</v>
      </c>
      <c r="AI11" s="147">
        <f>$A11*CAS_Component!AI11</f>
        <v>0</v>
      </c>
      <c r="AJ11" s="159">
        <f>$A11*CAS_Component!AJ11</f>
        <v>0</v>
      </c>
      <c r="AK11" s="147">
        <f>$A11*CAS_Component!AK11</f>
        <v>0</v>
      </c>
      <c r="AL11" s="159">
        <f>$A11*CAS_Component!AL11</f>
        <v>0</v>
      </c>
      <c r="AM11" s="147">
        <f>$A11*CAS_Component!AM11</f>
        <v>0</v>
      </c>
      <c r="AN11" s="159">
        <f>$A11*CAS_Component!AN11</f>
        <v>0</v>
      </c>
      <c r="AO11" s="147">
        <f>$A11*CAS_Component!AO11</f>
        <v>0</v>
      </c>
      <c r="AP11" s="159">
        <f>$A11*CAS_Component!AP11</f>
        <v>0</v>
      </c>
      <c r="AQ11" s="147">
        <f>$A11*CAS_Component!AQ11</f>
        <v>0</v>
      </c>
      <c r="AR11" s="159">
        <f>$A11*CAS_Component!AR11</f>
        <v>0</v>
      </c>
      <c r="AS11" s="147">
        <f>$A11*CAS_Component!AS11</f>
        <v>0</v>
      </c>
      <c r="AT11" s="159">
        <f>$A11*CAS_Component!AT11</f>
        <v>0</v>
      </c>
      <c r="AU11" s="147">
        <f>$A11*CAS_Component!AU11</f>
        <v>0</v>
      </c>
      <c r="AV11" s="159">
        <f>$A11*CAS_Component!AV11</f>
        <v>0</v>
      </c>
      <c r="AW11" s="147">
        <f>$A11*CAS_Component!AW11</f>
        <v>0</v>
      </c>
      <c r="AX11" s="159">
        <f>$A11*CAS_Component!AX11</f>
        <v>0</v>
      </c>
      <c r="AY11" s="147">
        <f>$A11*CAS_Component!AY11</f>
        <v>0</v>
      </c>
      <c r="AZ11" s="159">
        <f>$A11*CAS_Component!AZ11</f>
        <v>0</v>
      </c>
      <c r="BA11" s="147">
        <f>$A11*CAS_Component!BA11</f>
        <v>0</v>
      </c>
      <c r="BB11" s="159">
        <f>$A11*CAS_Component!BB11</f>
        <v>0</v>
      </c>
      <c r="BC11" s="147">
        <f>$A11*CAS_Component!BC11</f>
        <v>0</v>
      </c>
      <c r="BD11" s="159">
        <f>$A11*CAS_Component!BD11</f>
        <v>0</v>
      </c>
      <c r="BE11" s="147">
        <f>$A11*CAS_Component!BE11</f>
        <v>0</v>
      </c>
      <c r="BF11" s="159">
        <f>$A11*CAS_Component!BF11</f>
        <v>0</v>
      </c>
      <c r="BG11" s="147">
        <f>$A11*CAS_Component!BG11</f>
        <v>1.4999999999999999E-2</v>
      </c>
      <c r="BH11" s="159">
        <f>$A11*CAS_Component!BH11</f>
        <v>0</v>
      </c>
      <c r="BI11" s="147">
        <f>$A11*CAS_Component!BI11</f>
        <v>0</v>
      </c>
      <c r="BJ11" s="159">
        <f>$A11*CAS_Component!BJ11</f>
        <v>0</v>
      </c>
      <c r="BK11" s="147">
        <f>$A11*CAS_Component!BK11</f>
        <v>0</v>
      </c>
      <c r="BL11" s="159">
        <f>$A11*CAS_Component!BL11</f>
        <v>0</v>
      </c>
      <c r="BM11" s="147">
        <f>$A11*CAS_Component!BM11</f>
        <v>0</v>
      </c>
      <c r="BN11" s="159">
        <f>$A11*CAS_Component!BN11</f>
        <v>0</v>
      </c>
      <c r="BO11" s="147">
        <f>$A11*CAS_Component!BO11</f>
        <v>0</v>
      </c>
      <c r="BP11" s="159">
        <f>$A11*CAS_Component!BP11</f>
        <v>0</v>
      </c>
      <c r="BQ11" s="147">
        <f>$A11*CAS_Component!BQ11</f>
        <v>0</v>
      </c>
      <c r="BR11" s="159">
        <f>$A11*CAS_Component!BR11</f>
        <v>0</v>
      </c>
      <c r="BS11" s="147">
        <f>$A11*CAS_Component!BS11</f>
        <v>0</v>
      </c>
      <c r="BT11" s="159">
        <f>$A11*CAS_Component!BT11</f>
        <v>0</v>
      </c>
      <c r="BU11" s="147">
        <f>$A11*CAS_Component!BU11</f>
        <v>0</v>
      </c>
      <c r="BV11" s="159">
        <f>$A11*CAS_Component!BV11</f>
        <v>0</v>
      </c>
      <c r="BW11" s="147">
        <f>$A11*CAS_Component!BW11</f>
        <v>0</v>
      </c>
      <c r="BX11" s="159">
        <f>$A11*CAS_Component!BX11</f>
        <v>0</v>
      </c>
      <c r="BY11" s="147">
        <f>$A11*CAS_Component!BY11</f>
        <v>0</v>
      </c>
      <c r="BZ11" s="159">
        <f>$A11*CAS_Component!BZ11</f>
        <v>0</v>
      </c>
      <c r="CA11" s="147">
        <f>$A11*CAS_Component!CA11</f>
        <v>0</v>
      </c>
      <c r="CB11" s="159">
        <f>$A11*CAS_Component!CB11</f>
        <v>0</v>
      </c>
    </row>
    <row r="12" spans="1:110">
      <c r="A12" s="69">
        <v>1</v>
      </c>
      <c r="B12" s="68" t="s">
        <v>503</v>
      </c>
      <c r="C12" s="67">
        <v>12</v>
      </c>
      <c r="D12" s="142">
        <f t="shared" si="3"/>
        <v>12</v>
      </c>
      <c r="E12" s="147">
        <f>A12*CAS_Component!E12</f>
        <v>0</v>
      </c>
      <c r="F12" s="159">
        <f>$A12*CAS_Component!F12</f>
        <v>0</v>
      </c>
      <c r="G12" s="147">
        <f>$A12*CAS_Component!G12</f>
        <v>0</v>
      </c>
      <c r="H12" s="159">
        <f>$A12*CAS_Component!H12</f>
        <v>0</v>
      </c>
      <c r="I12" s="147">
        <f>$A12*CAS_Component!I12</f>
        <v>0</v>
      </c>
      <c r="J12" s="159">
        <f>$A12*CAS_Component!J12</f>
        <v>0</v>
      </c>
      <c r="K12" s="147">
        <f>$A12*CAS_Component!K12</f>
        <v>0</v>
      </c>
      <c r="L12" s="159">
        <f>$A12*CAS_Component!L12</f>
        <v>0</v>
      </c>
      <c r="M12" s="147">
        <f>$A12*CAS_Component!M12</f>
        <v>0</v>
      </c>
      <c r="N12" s="159">
        <f>$A12*CAS_Component!N12</f>
        <v>0</v>
      </c>
      <c r="O12" s="147">
        <f>$A12*CAS_Component!O12</f>
        <v>0</v>
      </c>
      <c r="P12" s="159">
        <f>$A12*CAS_Component!P12</f>
        <v>0.17</v>
      </c>
      <c r="Q12" s="147">
        <f>$A12*CAS_Component!Q12</f>
        <v>0</v>
      </c>
      <c r="R12" s="159">
        <f>$A12*CAS_Component!R12</f>
        <v>1.47</v>
      </c>
      <c r="S12" s="147">
        <f>$A12*CAS_Component!S12</f>
        <v>0</v>
      </c>
      <c r="T12" s="159">
        <f>$A12*CAS_Component!T12</f>
        <v>2.5569999999999999</v>
      </c>
      <c r="U12" s="147">
        <f>$A12*CAS_Component!U12</f>
        <v>0.42</v>
      </c>
      <c r="V12" s="159">
        <f>$A12*CAS_Component!V12</f>
        <v>0</v>
      </c>
      <c r="W12" s="147">
        <f>$A12*CAS_Component!W12</f>
        <v>0</v>
      </c>
      <c r="X12" s="159">
        <f>$A12*CAS_Component!X12</f>
        <v>1.1479999999999999</v>
      </c>
      <c r="Y12" s="147">
        <f>$A12*CAS_Component!Y12</f>
        <v>6.2350000000000003</v>
      </c>
      <c r="Z12" s="159">
        <f>$A12*CAS_Component!Z12</f>
        <v>0</v>
      </c>
      <c r="AA12" s="147">
        <f>$A12*CAS_Component!AA12</f>
        <v>0</v>
      </c>
      <c r="AB12" s="159">
        <f>$A12*CAS_Component!AB12</f>
        <v>0</v>
      </c>
      <c r="AC12" s="147">
        <f>$A12*CAS_Component!AC12</f>
        <v>0</v>
      </c>
      <c r="AD12" s="159">
        <f>$A12*CAS_Component!AD12</f>
        <v>0</v>
      </c>
      <c r="AE12" s="147">
        <f>$A12*CAS_Component!AE12</f>
        <v>0</v>
      </c>
      <c r="AF12" s="159">
        <f>$A12*CAS_Component!AF12</f>
        <v>0</v>
      </c>
      <c r="AG12" s="147">
        <f>$A12*CAS_Component!AG12</f>
        <v>0</v>
      </c>
      <c r="AH12" s="159">
        <f>$A12*CAS_Component!AH12</f>
        <v>0</v>
      </c>
      <c r="AI12" s="147">
        <f>$A12*CAS_Component!AI12</f>
        <v>0</v>
      </c>
      <c r="AJ12" s="159">
        <f>$A12*CAS_Component!AJ12</f>
        <v>0</v>
      </c>
      <c r="AK12" s="147">
        <f>$A12*CAS_Component!AK12</f>
        <v>0</v>
      </c>
      <c r="AL12" s="159">
        <f>$A12*CAS_Component!AL12</f>
        <v>0</v>
      </c>
      <c r="AM12" s="147">
        <f>$A12*CAS_Component!AM12</f>
        <v>0</v>
      </c>
      <c r="AN12" s="159">
        <f>$A12*CAS_Component!AN12</f>
        <v>0</v>
      </c>
      <c r="AO12" s="147">
        <f>$A12*CAS_Component!AO12</f>
        <v>0</v>
      </c>
      <c r="AP12" s="159">
        <f>$A12*CAS_Component!AP12</f>
        <v>0</v>
      </c>
      <c r="AQ12" s="147">
        <f>$A12*CAS_Component!AQ12</f>
        <v>0</v>
      </c>
      <c r="AR12" s="159">
        <f>$A12*CAS_Component!AR12</f>
        <v>0</v>
      </c>
      <c r="AS12" s="147">
        <f>$A12*CAS_Component!AS12</f>
        <v>0</v>
      </c>
      <c r="AT12" s="159">
        <f>$A12*CAS_Component!AT12</f>
        <v>0</v>
      </c>
      <c r="AU12" s="147">
        <f>$A12*CAS_Component!AU12</f>
        <v>0</v>
      </c>
      <c r="AV12" s="159">
        <f>$A12*CAS_Component!AV12</f>
        <v>0</v>
      </c>
      <c r="AW12" s="147">
        <f>$A12*CAS_Component!AW12</f>
        <v>0</v>
      </c>
      <c r="AX12" s="159">
        <f>$A12*CAS_Component!AX12</f>
        <v>0</v>
      </c>
      <c r="AY12" s="147">
        <f>$A12*CAS_Component!AY12</f>
        <v>0</v>
      </c>
      <c r="AZ12" s="159">
        <f>$A12*CAS_Component!AZ12</f>
        <v>0</v>
      </c>
      <c r="BA12" s="147">
        <f>$A12*CAS_Component!BA12</f>
        <v>0</v>
      </c>
      <c r="BB12" s="159">
        <f>$A12*CAS_Component!BB12</f>
        <v>0</v>
      </c>
      <c r="BC12" s="147">
        <f>$A12*CAS_Component!BC12</f>
        <v>0</v>
      </c>
      <c r="BD12" s="159">
        <f>$A12*CAS_Component!BD12</f>
        <v>0</v>
      </c>
      <c r="BE12" s="147">
        <f>$A12*CAS_Component!BE12</f>
        <v>0</v>
      </c>
      <c r="BF12" s="159">
        <f>$A12*CAS_Component!BF12</f>
        <v>0</v>
      </c>
      <c r="BG12" s="147">
        <f>$A12*CAS_Component!BG12</f>
        <v>0</v>
      </c>
      <c r="BH12" s="159">
        <f>$A12*CAS_Component!BH12</f>
        <v>0</v>
      </c>
      <c r="BI12" s="147">
        <f>$A12*CAS_Component!BI12</f>
        <v>0</v>
      </c>
      <c r="BJ12" s="159">
        <f>$A12*CAS_Component!BJ12</f>
        <v>0</v>
      </c>
      <c r="BK12" s="147">
        <f>$A12*CAS_Component!BK12</f>
        <v>0</v>
      </c>
      <c r="BL12" s="159">
        <f>$A12*CAS_Component!BL12</f>
        <v>0</v>
      </c>
      <c r="BM12" s="147">
        <f>$A12*CAS_Component!BM12</f>
        <v>0</v>
      </c>
      <c r="BN12" s="159">
        <f>$A12*CAS_Component!BN12</f>
        <v>0</v>
      </c>
      <c r="BO12" s="147">
        <f>$A12*CAS_Component!BO12</f>
        <v>0</v>
      </c>
      <c r="BP12" s="159">
        <f>$A12*CAS_Component!BP12</f>
        <v>0</v>
      </c>
      <c r="BQ12" s="147">
        <f>$A12*CAS_Component!BQ12</f>
        <v>0</v>
      </c>
      <c r="BR12" s="159">
        <f>$A12*CAS_Component!BR12</f>
        <v>0</v>
      </c>
      <c r="BS12" s="147">
        <f>$A12*CAS_Component!BS12</f>
        <v>0</v>
      </c>
      <c r="BT12" s="159">
        <f>$A12*CAS_Component!BT12</f>
        <v>0</v>
      </c>
      <c r="BU12" s="147">
        <f>$A12*CAS_Component!BU12</f>
        <v>0</v>
      </c>
      <c r="BV12" s="159">
        <f>$A12*CAS_Component!BV12</f>
        <v>0</v>
      </c>
      <c r="BW12" s="147">
        <f>$A12*CAS_Component!BW12</f>
        <v>0</v>
      </c>
      <c r="BX12" s="159">
        <f>$A12*CAS_Component!BX12</f>
        <v>0</v>
      </c>
      <c r="BY12" s="147">
        <f>$A12*CAS_Component!BY12</f>
        <v>0</v>
      </c>
      <c r="BZ12" s="159">
        <f>$A12*CAS_Component!BZ12</f>
        <v>0</v>
      </c>
      <c r="CA12" s="147">
        <f>$A12*CAS_Component!CA12</f>
        <v>0</v>
      </c>
      <c r="CB12" s="159">
        <f>$A12*CAS_Component!CB12</f>
        <v>0</v>
      </c>
    </row>
    <row r="13" spans="1:110">
      <c r="A13" s="69">
        <v>3</v>
      </c>
      <c r="B13" s="68" t="s">
        <v>499</v>
      </c>
      <c r="C13" s="67">
        <v>4.51</v>
      </c>
      <c r="D13" s="142">
        <f t="shared" si="3"/>
        <v>13.5</v>
      </c>
      <c r="E13" s="147">
        <f>A13*CAS_Component!E13</f>
        <v>0</v>
      </c>
      <c r="F13" s="159">
        <f>$A13*CAS_Component!F13</f>
        <v>0</v>
      </c>
      <c r="G13" s="147">
        <f>$A13*CAS_Component!G13</f>
        <v>0</v>
      </c>
      <c r="H13" s="159">
        <f>$A13*CAS_Component!H13</f>
        <v>0</v>
      </c>
      <c r="I13" s="147">
        <f>$A13*CAS_Component!I13</f>
        <v>0</v>
      </c>
      <c r="J13" s="159">
        <f>$A13*CAS_Component!J13</f>
        <v>0</v>
      </c>
      <c r="K13" s="147">
        <f>$A13*CAS_Component!K13</f>
        <v>0</v>
      </c>
      <c r="L13" s="159">
        <f>$A13*CAS_Component!L13</f>
        <v>0</v>
      </c>
      <c r="M13" s="147">
        <f>$A13*CAS_Component!M13</f>
        <v>0</v>
      </c>
      <c r="N13" s="159">
        <f>$A13*CAS_Component!N13</f>
        <v>0</v>
      </c>
      <c r="O13" s="147">
        <f>$A13*CAS_Component!O13</f>
        <v>0</v>
      </c>
      <c r="P13" s="159">
        <f>$A13*CAS_Component!P13</f>
        <v>0.84000000000000008</v>
      </c>
      <c r="Q13" s="147">
        <f>$A13*CAS_Component!Q13</f>
        <v>0</v>
      </c>
      <c r="R13" s="159">
        <f>$A13*CAS_Component!R13</f>
        <v>1.47</v>
      </c>
      <c r="S13" s="147">
        <f>$A13*CAS_Component!S13</f>
        <v>0</v>
      </c>
      <c r="T13" s="159">
        <f>$A13*CAS_Component!T13</f>
        <v>0</v>
      </c>
      <c r="U13" s="147">
        <f>$A13*CAS_Component!U13</f>
        <v>0.36</v>
      </c>
      <c r="V13" s="159">
        <f>$A13*CAS_Component!V13</f>
        <v>1.6500000000000001</v>
      </c>
      <c r="W13" s="147">
        <f>$A13*CAS_Component!W13</f>
        <v>0</v>
      </c>
      <c r="X13" s="159">
        <f>$A13*CAS_Component!X13</f>
        <v>0</v>
      </c>
      <c r="Y13" s="147">
        <f>$A13*CAS_Component!Y13</f>
        <v>0</v>
      </c>
      <c r="Z13" s="159">
        <f>$A13*CAS_Component!Z13</f>
        <v>9.18</v>
      </c>
      <c r="AA13" s="147">
        <f>$A13*CAS_Component!AA13</f>
        <v>0</v>
      </c>
      <c r="AB13" s="159">
        <f>$A13*CAS_Component!AB13</f>
        <v>0</v>
      </c>
      <c r="AC13" s="147">
        <f>$A13*CAS_Component!AC13</f>
        <v>0</v>
      </c>
      <c r="AD13" s="159">
        <f>$A13*CAS_Component!AD13</f>
        <v>0</v>
      </c>
      <c r="AE13" s="147">
        <f>$A13*CAS_Component!AE13</f>
        <v>0</v>
      </c>
      <c r="AF13" s="159">
        <f>$A13*CAS_Component!AF13</f>
        <v>0</v>
      </c>
      <c r="AG13" s="147">
        <f>$A13*CAS_Component!AG13</f>
        <v>0</v>
      </c>
      <c r="AH13" s="159">
        <f>$A13*CAS_Component!AH13</f>
        <v>0</v>
      </c>
      <c r="AI13" s="147">
        <f>$A13*CAS_Component!AI13</f>
        <v>0</v>
      </c>
      <c r="AJ13" s="159">
        <f>$A13*CAS_Component!AJ13</f>
        <v>0</v>
      </c>
      <c r="AK13" s="147">
        <f>$A13*CAS_Component!AK13</f>
        <v>0</v>
      </c>
      <c r="AL13" s="159">
        <f>$A13*CAS_Component!AL13</f>
        <v>0</v>
      </c>
      <c r="AM13" s="147">
        <f>$A13*CAS_Component!AM13</f>
        <v>0</v>
      </c>
      <c r="AN13" s="159">
        <f>$A13*CAS_Component!AN13</f>
        <v>0</v>
      </c>
      <c r="AO13" s="147">
        <f>$A13*CAS_Component!AO13</f>
        <v>0</v>
      </c>
      <c r="AP13" s="159">
        <f>$A13*CAS_Component!AP13</f>
        <v>0</v>
      </c>
      <c r="AQ13" s="147">
        <f>$A13*CAS_Component!AQ13</f>
        <v>0</v>
      </c>
      <c r="AR13" s="159">
        <f>$A13*CAS_Component!AR13</f>
        <v>0</v>
      </c>
      <c r="AS13" s="147">
        <f>$A13*CAS_Component!AS13</f>
        <v>0</v>
      </c>
      <c r="AT13" s="159">
        <f>$A13*CAS_Component!AT13</f>
        <v>0</v>
      </c>
      <c r="AU13" s="147">
        <f>$A13*CAS_Component!AU13</f>
        <v>0</v>
      </c>
      <c r="AV13" s="159">
        <f>$A13*CAS_Component!AV13</f>
        <v>0</v>
      </c>
      <c r="AW13" s="147">
        <f>$A13*CAS_Component!AW13</f>
        <v>0</v>
      </c>
      <c r="AX13" s="159">
        <f>$A13*CAS_Component!AX13</f>
        <v>0</v>
      </c>
      <c r="AY13" s="147">
        <f>$A13*CAS_Component!AY13</f>
        <v>0</v>
      </c>
      <c r="AZ13" s="159">
        <f>$A13*CAS_Component!AZ13</f>
        <v>0</v>
      </c>
      <c r="BA13" s="147">
        <f>$A13*CAS_Component!BA13</f>
        <v>0</v>
      </c>
      <c r="BB13" s="159">
        <f>$A13*CAS_Component!BB13</f>
        <v>0</v>
      </c>
      <c r="BC13" s="147">
        <f>$A13*CAS_Component!BC13</f>
        <v>0</v>
      </c>
      <c r="BD13" s="159">
        <f>$A13*CAS_Component!BD13</f>
        <v>0</v>
      </c>
      <c r="BE13" s="147">
        <f>$A13*CAS_Component!BE13</f>
        <v>0</v>
      </c>
      <c r="BF13" s="159">
        <f>$A13*CAS_Component!BF13</f>
        <v>0</v>
      </c>
      <c r="BG13" s="147">
        <f>$A13*CAS_Component!BG13</f>
        <v>0</v>
      </c>
      <c r="BH13" s="159">
        <f>$A13*CAS_Component!BH13</f>
        <v>0</v>
      </c>
      <c r="BI13" s="147">
        <f>$A13*CAS_Component!BI13</f>
        <v>0</v>
      </c>
      <c r="BJ13" s="159">
        <f>$A13*CAS_Component!BJ13</f>
        <v>0</v>
      </c>
      <c r="BK13" s="147">
        <f>$A13*CAS_Component!BK13</f>
        <v>0</v>
      </c>
      <c r="BL13" s="159">
        <f>$A13*CAS_Component!BL13</f>
        <v>0</v>
      </c>
      <c r="BM13" s="147">
        <f>$A13*CAS_Component!BM13</f>
        <v>0</v>
      </c>
      <c r="BN13" s="159">
        <f>$A13*CAS_Component!BN13</f>
        <v>0</v>
      </c>
      <c r="BO13" s="147">
        <f>$A13*CAS_Component!BO13</f>
        <v>0</v>
      </c>
      <c r="BP13" s="159">
        <f>$A13*CAS_Component!BP13</f>
        <v>0</v>
      </c>
      <c r="BQ13" s="147">
        <f>$A13*CAS_Component!BQ13</f>
        <v>0</v>
      </c>
      <c r="BR13" s="159">
        <f>$A13*CAS_Component!BR13</f>
        <v>0</v>
      </c>
      <c r="BS13" s="147">
        <f>$A13*CAS_Component!BS13</f>
        <v>0</v>
      </c>
      <c r="BT13" s="159">
        <f>$A13*CAS_Component!BT13</f>
        <v>0</v>
      </c>
      <c r="BU13" s="147">
        <f>$A13*CAS_Component!BU13</f>
        <v>0</v>
      </c>
      <c r="BV13" s="159">
        <f>$A13*CAS_Component!BV13</f>
        <v>0</v>
      </c>
      <c r="BW13" s="147">
        <f>$A13*CAS_Component!BW13</f>
        <v>0</v>
      </c>
      <c r="BX13" s="159">
        <f>$A13*CAS_Component!BX13</f>
        <v>0</v>
      </c>
      <c r="BY13" s="147">
        <f>$A13*CAS_Component!BY13</f>
        <v>0</v>
      </c>
      <c r="BZ13" s="159">
        <f>$A13*CAS_Component!BZ13</f>
        <v>0</v>
      </c>
      <c r="CA13" s="147">
        <f>$A13*CAS_Component!CA13</f>
        <v>0</v>
      </c>
      <c r="CB13" s="159">
        <f>$A13*CAS_Component!CB13</f>
        <v>0</v>
      </c>
    </row>
    <row r="14" spans="1:110">
      <c r="A14" s="69">
        <v>4</v>
      </c>
      <c r="B14" s="68" t="s">
        <v>494</v>
      </c>
      <c r="C14" s="67">
        <v>6.01</v>
      </c>
      <c r="D14" s="142">
        <f t="shared" si="3"/>
        <v>24</v>
      </c>
      <c r="E14" s="147">
        <f>A14*CAS_Component!E14</f>
        <v>0</v>
      </c>
      <c r="F14" s="159">
        <f>$A14*CAS_Component!F14</f>
        <v>0</v>
      </c>
      <c r="G14" s="147">
        <f>$A14*CAS_Component!G14</f>
        <v>0</v>
      </c>
      <c r="H14" s="159">
        <f>$A14*CAS_Component!H14</f>
        <v>0</v>
      </c>
      <c r="I14" s="147">
        <f>$A14*CAS_Component!I14</f>
        <v>0</v>
      </c>
      <c r="J14" s="159">
        <f>$A14*CAS_Component!J14</f>
        <v>0</v>
      </c>
      <c r="K14" s="147">
        <f>$A14*CAS_Component!K14</f>
        <v>0</v>
      </c>
      <c r="L14" s="159">
        <f>$A14*CAS_Component!L14</f>
        <v>0</v>
      </c>
      <c r="M14" s="147">
        <f>$A14*CAS_Component!M14</f>
        <v>0</v>
      </c>
      <c r="N14" s="159">
        <f>$A14*CAS_Component!N14</f>
        <v>0</v>
      </c>
      <c r="O14" s="147">
        <f>$A14*CAS_Component!O14</f>
        <v>0</v>
      </c>
      <c r="P14" s="159">
        <f>$A14*CAS_Component!P14</f>
        <v>1.28</v>
      </c>
      <c r="Q14" s="147">
        <f>$A14*CAS_Component!Q14</f>
        <v>0</v>
      </c>
      <c r="R14" s="159">
        <f>$A14*CAS_Component!R14</f>
        <v>3.2399999999999998</v>
      </c>
      <c r="S14" s="147">
        <f>$A14*CAS_Component!S14</f>
        <v>0</v>
      </c>
      <c r="T14" s="159">
        <f>$A14*CAS_Component!T14</f>
        <v>0</v>
      </c>
      <c r="U14" s="147">
        <f>$A14*CAS_Component!U14</f>
        <v>1.04</v>
      </c>
      <c r="V14" s="159">
        <f>$A14*CAS_Component!V14</f>
        <v>0.24</v>
      </c>
      <c r="W14" s="147">
        <f>$A14*CAS_Component!W14</f>
        <v>18.2</v>
      </c>
      <c r="X14" s="159">
        <f>$A14*CAS_Component!X14</f>
        <v>0</v>
      </c>
      <c r="Y14" s="147">
        <f>$A14*CAS_Component!Y14</f>
        <v>0</v>
      </c>
      <c r="Z14" s="159">
        <f>$A14*CAS_Component!Z14</f>
        <v>0</v>
      </c>
      <c r="AA14" s="147">
        <f>$A14*CAS_Component!AA14</f>
        <v>0</v>
      </c>
      <c r="AB14" s="159">
        <f>$A14*CAS_Component!AB14</f>
        <v>0</v>
      </c>
      <c r="AC14" s="147">
        <f>$A14*CAS_Component!AC14</f>
        <v>0</v>
      </c>
      <c r="AD14" s="159">
        <f>$A14*CAS_Component!AD14</f>
        <v>0</v>
      </c>
      <c r="AE14" s="147">
        <f>$A14*CAS_Component!AE14</f>
        <v>0</v>
      </c>
      <c r="AF14" s="159">
        <f>$A14*CAS_Component!AF14</f>
        <v>0</v>
      </c>
      <c r="AG14" s="147">
        <f>$A14*CAS_Component!AG14</f>
        <v>0</v>
      </c>
      <c r="AH14" s="159">
        <f>$A14*CAS_Component!AH14</f>
        <v>0</v>
      </c>
      <c r="AI14" s="147">
        <f>$A14*CAS_Component!AI14</f>
        <v>0</v>
      </c>
      <c r="AJ14" s="159">
        <f>$A14*CAS_Component!AJ14</f>
        <v>0</v>
      </c>
      <c r="AK14" s="147">
        <f>$A14*CAS_Component!AK14</f>
        <v>0</v>
      </c>
      <c r="AL14" s="159">
        <f>$A14*CAS_Component!AL14</f>
        <v>0</v>
      </c>
      <c r="AM14" s="147">
        <f>$A14*CAS_Component!AM14</f>
        <v>0</v>
      </c>
      <c r="AN14" s="159">
        <f>$A14*CAS_Component!AN14</f>
        <v>0</v>
      </c>
      <c r="AO14" s="147">
        <f>$A14*CAS_Component!AO14</f>
        <v>0</v>
      </c>
      <c r="AP14" s="159">
        <f>$A14*CAS_Component!AP14</f>
        <v>0</v>
      </c>
      <c r="AQ14" s="147">
        <f>$A14*CAS_Component!AQ14</f>
        <v>0</v>
      </c>
      <c r="AR14" s="159">
        <f>$A14*CAS_Component!AR14</f>
        <v>0</v>
      </c>
      <c r="AS14" s="147">
        <f>$A14*CAS_Component!AS14</f>
        <v>0</v>
      </c>
      <c r="AT14" s="159">
        <f>$A14*CAS_Component!AT14</f>
        <v>0</v>
      </c>
      <c r="AU14" s="147">
        <f>$A14*CAS_Component!AU14</f>
        <v>0</v>
      </c>
      <c r="AV14" s="159">
        <f>$A14*CAS_Component!AV14</f>
        <v>0</v>
      </c>
      <c r="AW14" s="147">
        <f>$A14*CAS_Component!AW14</f>
        <v>0</v>
      </c>
      <c r="AX14" s="159">
        <f>$A14*CAS_Component!AX14</f>
        <v>0</v>
      </c>
      <c r="AY14" s="147">
        <f>$A14*CAS_Component!AY14</f>
        <v>0</v>
      </c>
      <c r="AZ14" s="159">
        <f>$A14*CAS_Component!AZ14</f>
        <v>0</v>
      </c>
      <c r="BA14" s="147">
        <f>$A14*CAS_Component!BA14</f>
        <v>0</v>
      </c>
      <c r="BB14" s="159">
        <f>$A14*CAS_Component!BB14</f>
        <v>0</v>
      </c>
      <c r="BC14" s="147">
        <f>$A14*CAS_Component!BC14</f>
        <v>0</v>
      </c>
      <c r="BD14" s="159">
        <f>$A14*CAS_Component!BD14</f>
        <v>0</v>
      </c>
      <c r="BE14" s="147">
        <f>$A14*CAS_Component!BE14</f>
        <v>0</v>
      </c>
      <c r="BF14" s="159">
        <f>$A14*CAS_Component!BF14</f>
        <v>0</v>
      </c>
      <c r="BG14" s="147">
        <f>$A14*CAS_Component!BG14</f>
        <v>0</v>
      </c>
      <c r="BH14" s="159">
        <f>$A14*CAS_Component!BH14</f>
        <v>0</v>
      </c>
      <c r="BI14" s="147">
        <f>$A14*CAS_Component!BI14</f>
        <v>0</v>
      </c>
      <c r="BJ14" s="159">
        <f>$A14*CAS_Component!BJ14</f>
        <v>0</v>
      </c>
      <c r="BK14" s="147">
        <f>$A14*CAS_Component!BK14</f>
        <v>0</v>
      </c>
      <c r="BL14" s="159">
        <f>$A14*CAS_Component!BL14</f>
        <v>0</v>
      </c>
      <c r="BM14" s="147">
        <f>$A14*CAS_Component!BM14</f>
        <v>0</v>
      </c>
      <c r="BN14" s="159">
        <f>$A14*CAS_Component!BN14</f>
        <v>0</v>
      </c>
      <c r="BO14" s="147">
        <f>$A14*CAS_Component!BO14</f>
        <v>0</v>
      </c>
      <c r="BP14" s="159">
        <f>$A14*CAS_Component!BP14</f>
        <v>0</v>
      </c>
      <c r="BQ14" s="147">
        <f>$A14*CAS_Component!BQ14</f>
        <v>0</v>
      </c>
      <c r="BR14" s="159">
        <f>$A14*CAS_Component!BR14</f>
        <v>0</v>
      </c>
      <c r="BS14" s="147">
        <f>$A14*CAS_Component!BS14</f>
        <v>0</v>
      </c>
      <c r="BT14" s="159">
        <f>$A14*CAS_Component!BT14</f>
        <v>0</v>
      </c>
      <c r="BU14" s="147">
        <f>$A14*CAS_Component!BU14</f>
        <v>0</v>
      </c>
      <c r="BV14" s="159">
        <f>$A14*CAS_Component!BV14</f>
        <v>0</v>
      </c>
      <c r="BW14" s="147">
        <f>$A14*CAS_Component!BW14</f>
        <v>0</v>
      </c>
      <c r="BX14" s="159">
        <f>$A14*CAS_Component!BX14</f>
        <v>0</v>
      </c>
      <c r="BY14" s="147">
        <f>$A14*CAS_Component!BY14</f>
        <v>0</v>
      </c>
      <c r="BZ14" s="159">
        <f>$A14*CAS_Component!BZ14</f>
        <v>0</v>
      </c>
      <c r="CA14" s="147">
        <f>$A14*CAS_Component!CA14</f>
        <v>0</v>
      </c>
      <c r="CB14" s="159">
        <f>$A14*CAS_Component!CB14</f>
        <v>0</v>
      </c>
    </row>
    <row r="15" spans="1:110">
      <c r="A15" s="69">
        <v>1</v>
      </c>
      <c r="B15" s="68" t="s">
        <v>489</v>
      </c>
      <c r="C15" s="67">
        <v>64</v>
      </c>
      <c r="D15" s="142">
        <f t="shared" si="3"/>
        <v>64</v>
      </c>
      <c r="E15" s="147">
        <f>A15*CAS_Component!E15</f>
        <v>0</v>
      </c>
      <c r="F15" s="159">
        <f>$A15*CAS_Component!F15</f>
        <v>9.69</v>
      </c>
      <c r="G15" s="147">
        <f>$A15*CAS_Component!G15</f>
        <v>1.9379999999999997</v>
      </c>
      <c r="H15" s="159">
        <f>$A15*CAS_Component!H15</f>
        <v>1.9379999999999997</v>
      </c>
      <c r="I15" s="147">
        <f>$A15*CAS_Component!I15</f>
        <v>0.16149999999999998</v>
      </c>
      <c r="J15" s="159">
        <f>$A15*CAS_Component!J15</f>
        <v>2.6600000000000005E-3</v>
      </c>
      <c r="K15" s="147">
        <f>$A15*CAS_Component!K15</f>
        <v>7.9799999999999992E-3</v>
      </c>
      <c r="L15" s="159">
        <f>$A15*CAS_Component!L15</f>
        <v>2.6600000000000005E-3</v>
      </c>
      <c r="M15" s="147">
        <f>$A15*CAS_Component!M15</f>
        <v>6.4000000000000001E-2</v>
      </c>
      <c r="N15" s="159">
        <f>$A15*CAS_Component!N15</f>
        <v>0</v>
      </c>
      <c r="O15" s="147">
        <f>$A15*CAS_Component!O15</f>
        <v>1.8049999999999999</v>
      </c>
      <c r="P15" s="159">
        <f>$A15*CAS_Component!P15</f>
        <v>26.586700000000004</v>
      </c>
      <c r="Q15" s="147">
        <f>$A15*CAS_Component!Q15</f>
        <v>0</v>
      </c>
      <c r="R15" s="159">
        <f>$A15*CAS_Component!R15</f>
        <v>1.9E-2</v>
      </c>
      <c r="S15" s="147">
        <f>$A15*CAS_Component!S15</f>
        <v>0</v>
      </c>
      <c r="T15" s="159">
        <f>$A15*CAS_Component!T15</f>
        <v>0</v>
      </c>
      <c r="U15" s="147">
        <f>$A15*CAS_Component!U15</f>
        <v>0.76800000000000002</v>
      </c>
      <c r="V15" s="159">
        <f>$A15*CAS_Component!V15</f>
        <v>0</v>
      </c>
      <c r="W15" s="147">
        <f>$A15*CAS_Component!W15</f>
        <v>0</v>
      </c>
      <c r="X15" s="159">
        <f>$A15*CAS_Component!X15</f>
        <v>0</v>
      </c>
      <c r="Y15" s="147">
        <f>$A15*CAS_Component!Y15</f>
        <v>0</v>
      </c>
      <c r="Z15" s="159">
        <f>$A15*CAS_Component!Z15</f>
        <v>0</v>
      </c>
      <c r="AA15" s="147">
        <f>$A15*CAS_Component!AA15</f>
        <v>7.5999999999999998E-2</v>
      </c>
      <c r="AB15" s="159">
        <f>$A15*CAS_Component!AB15</f>
        <v>2.3680000000000003</v>
      </c>
      <c r="AC15" s="147">
        <f>$A15*CAS_Component!AC15</f>
        <v>1.615</v>
      </c>
      <c r="AD15" s="159">
        <f>$A15*CAS_Component!AD15</f>
        <v>16.9575</v>
      </c>
      <c r="AE15" s="147">
        <f>$A15*CAS_Component!AE15</f>
        <v>0</v>
      </c>
      <c r="AF15" s="159">
        <f>$A15*CAS_Component!AF15</f>
        <v>0</v>
      </c>
      <c r="AG15" s="147">
        <f>$A15*CAS_Component!AG15</f>
        <v>0</v>
      </c>
      <c r="AH15" s="159">
        <f>$A15*CAS_Component!AH15</f>
        <v>0</v>
      </c>
      <c r="AI15" s="147">
        <f>$A15*CAS_Component!AI15</f>
        <v>0</v>
      </c>
      <c r="AJ15" s="159">
        <f>$A15*CAS_Component!AJ15</f>
        <v>0</v>
      </c>
      <c r="AK15" s="147">
        <f>$A15*CAS_Component!AK15</f>
        <v>0</v>
      </c>
      <c r="AL15" s="159">
        <f>$A15*CAS_Component!AL15</f>
        <v>0</v>
      </c>
      <c r="AM15" s="147">
        <f>$A15*CAS_Component!AM15</f>
        <v>0</v>
      </c>
      <c r="AN15" s="159">
        <f>$A15*CAS_Component!AN15</f>
        <v>0</v>
      </c>
      <c r="AO15" s="147">
        <f>$A15*CAS_Component!AO15</f>
        <v>0</v>
      </c>
      <c r="AP15" s="159">
        <f>$A15*CAS_Component!AP15</f>
        <v>0</v>
      </c>
      <c r="AQ15" s="147">
        <f>$A15*CAS_Component!AQ15</f>
        <v>0</v>
      </c>
      <c r="AR15" s="159">
        <f>$A15*CAS_Component!AR15</f>
        <v>0</v>
      </c>
      <c r="AS15" s="147">
        <f>$A15*CAS_Component!AS15</f>
        <v>0</v>
      </c>
      <c r="AT15" s="159">
        <f>$A15*CAS_Component!AT15</f>
        <v>0</v>
      </c>
      <c r="AU15" s="147">
        <f>$A15*CAS_Component!AU15</f>
        <v>0</v>
      </c>
      <c r="AV15" s="159">
        <f>$A15*CAS_Component!AV15</f>
        <v>0</v>
      </c>
      <c r="AW15" s="147">
        <f>$A15*CAS_Component!AW15</f>
        <v>0</v>
      </c>
      <c r="AX15" s="159">
        <f>$A15*CAS_Component!AX15</f>
        <v>0</v>
      </c>
      <c r="AY15" s="147">
        <f>$A15*CAS_Component!AY15</f>
        <v>0</v>
      </c>
      <c r="AZ15" s="159">
        <f>$A15*CAS_Component!AZ15</f>
        <v>0</v>
      </c>
      <c r="BA15" s="147">
        <f>$A15*CAS_Component!BA15</f>
        <v>0</v>
      </c>
      <c r="BB15" s="159">
        <f>$A15*CAS_Component!BB15</f>
        <v>0</v>
      </c>
      <c r="BC15" s="147">
        <f>$A15*CAS_Component!BC15</f>
        <v>0</v>
      </c>
      <c r="BD15" s="159">
        <f>$A15*CAS_Component!BD15</f>
        <v>0</v>
      </c>
      <c r="BE15" s="147">
        <f>$A15*CAS_Component!BE15</f>
        <v>0</v>
      </c>
      <c r="BF15" s="159">
        <f>$A15*CAS_Component!BF15</f>
        <v>0</v>
      </c>
      <c r="BG15" s="147">
        <f>$A15*CAS_Component!BG15</f>
        <v>0</v>
      </c>
      <c r="BH15" s="159">
        <f>$A15*CAS_Component!BH15</f>
        <v>0</v>
      </c>
      <c r="BI15" s="147">
        <f>$A15*CAS_Component!BI15</f>
        <v>0</v>
      </c>
      <c r="BJ15" s="159">
        <f>$A15*CAS_Component!BJ15</f>
        <v>0</v>
      </c>
      <c r="BK15" s="147">
        <f>$A15*CAS_Component!BK15</f>
        <v>0</v>
      </c>
      <c r="BL15" s="159">
        <f>$A15*CAS_Component!BL15</f>
        <v>0</v>
      </c>
      <c r="BM15" s="147">
        <f>$A15*CAS_Component!BM15</f>
        <v>0</v>
      </c>
      <c r="BN15" s="159">
        <f>$A15*CAS_Component!BN15</f>
        <v>0</v>
      </c>
      <c r="BO15" s="147">
        <f>$A15*CAS_Component!BO15</f>
        <v>0</v>
      </c>
      <c r="BP15" s="159">
        <f>$A15*CAS_Component!BP15</f>
        <v>0</v>
      </c>
      <c r="BQ15" s="147">
        <f>$A15*CAS_Component!BQ15</f>
        <v>0</v>
      </c>
      <c r="BR15" s="159">
        <f>$A15*CAS_Component!BR15</f>
        <v>0</v>
      </c>
      <c r="BS15" s="147">
        <f>$A15*CAS_Component!BS15</f>
        <v>0</v>
      </c>
      <c r="BT15" s="159">
        <f>$A15*CAS_Component!BT15</f>
        <v>0</v>
      </c>
      <c r="BU15" s="147">
        <f>$A15*CAS_Component!BU15</f>
        <v>0</v>
      </c>
      <c r="BV15" s="159">
        <f>$A15*CAS_Component!BV15</f>
        <v>0</v>
      </c>
      <c r="BW15" s="147">
        <f>$A15*CAS_Component!BW15</f>
        <v>0</v>
      </c>
      <c r="BX15" s="159">
        <f>$A15*CAS_Component!BX15</f>
        <v>0</v>
      </c>
      <c r="BY15" s="147">
        <f>$A15*CAS_Component!BY15</f>
        <v>0</v>
      </c>
      <c r="BZ15" s="159">
        <f>$A15*CAS_Component!BZ15</f>
        <v>0</v>
      </c>
      <c r="CA15" s="147">
        <f>$A15*CAS_Component!CA15</f>
        <v>0</v>
      </c>
      <c r="CB15" s="159">
        <f>$A15*CAS_Component!CB15</f>
        <v>0</v>
      </c>
    </row>
    <row r="16" spans="1:110">
      <c r="A16" s="69">
        <v>1</v>
      </c>
      <c r="B16" s="68" t="s">
        <v>483</v>
      </c>
      <c r="C16" s="72">
        <v>93</v>
      </c>
      <c r="D16" s="142">
        <f t="shared" si="3"/>
        <v>93</v>
      </c>
      <c r="E16" s="147">
        <v>0</v>
      </c>
      <c r="F16" s="159">
        <f>$A16*CAS_Component!F16</f>
        <v>14.080781249999999</v>
      </c>
      <c r="G16" s="147">
        <f>$A16*CAS_Component!G16</f>
        <v>2.8161562499999997</v>
      </c>
      <c r="H16" s="159">
        <f>$A16*CAS_Component!H16</f>
        <v>2.8161562499999997</v>
      </c>
      <c r="I16" s="147">
        <f>$A16*CAS_Component!I16</f>
        <v>0.23467968749999996</v>
      </c>
      <c r="J16" s="159">
        <f>$A16*CAS_Component!J16</f>
        <v>3.8653125000000007E-3</v>
      </c>
      <c r="K16" s="147">
        <f>$A16*CAS_Component!K16</f>
        <v>1.1595937499999999E-2</v>
      </c>
      <c r="L16" s="159">
        <f>$A16*CAS_Component!L16</f>
        <v>3.8653125000000007E-3</v>
      </c>
      <c r="M16" s="147">
        <f>$A16*CAS_Component!M16</f>
        <v>9.2999999999999999E-2</v>
      </c>
      <c r="N16" s="159">
        <f>$A16*CAS_Component!N16</f>
        <v>0</v>
      </c>
      <c r="O16" s="147">
        <f>$A16*CAS_Component!O16</f>
        <v>2.6228906249999997</v>
      </c>
      <c r="P16" s="159">
        <f>$A16*CAS_Component!P16</f>
        <v>38.633798437500005</v>
      </c>
      <c r="Q16" s="147">
        <f>$A16*CAS_Component!Q16</f>
        <v>0</v>
      </c>
      <c r="R16" s="159">
        <f>$A16*CAS_Component!R16</f>
        <v>2.7609374999999999E-2</v>
      </c>
      <c r="S16" s="147">
        <f>$A16*CAS_Component!S16</f>
        <v>0</v>
      </c>
      <c r="T16" s="159">
        <f>$A16*CAS_Component!T16</f>
        <v>0</v>
      </c>
      <c r="U16" s="147">
        <f>$A16*CAS_Component!U16</f>
        <v>1.1160000000000001</v>
      </c>
      <c r="V16" s="159">
        <f>$A16*CAS_Component!V16</f>
        <v>0</v>
      </c>
      <c r="W16" s="147">
        <f>$A16*CAS_Component!W16</f>
        <v>0</v>
      </c>
      <c r="X16" s="159">
        <f>$A16*CAS_Component!X16</f>
        <v>0</v>
      </c>
      <c r="Y16" s="147">
        <f>$A16*CAS_Component!Y16</f>
        <v>0</v>
      </c>
      <c r="Z16" s="159">
        <f>$A16*CAS_Component!Z16</f>
        <v>0</v>
      </c>
      <c r="AA16" s="147">
        <f>$A16*CAS_Component!AA16</f>
        <v>0.11043749999999999</v>
      </c>
      <c r="AB16" s="159">
        <f>$A16*CAS_Component!AB16</f>
        <v>3.4410000000000003</v>
      </c>
      <c r="AC16" s="147">
        <f>$A16*CAS_Component!AC16</f>
        <v>2.3467968749999999</v>
      </c>
      <c r="AD16" s="159">
        <f>$A16*CAS_Component!AD16</f>
        <v>24.641367187499998</v>
      </c>
      <c r="AE16" s="147">
        <f>$A16*CAS_Component!AE16</f>
        <v>0</v>
      </c>
      <c r="AF16" s="159">
        <f>$A16*CAS_Component!AF16</f>
        <v>0</v>
      </c>
      <c r="AG16" s="147">
        <f>$A16*CAS_Component!AG16</f>
        <v>0</v>
      </c>
      <c r="AH16" s="159">
        <f>$A16*CAS_Component!AH16</f>
        <v>0</v>
      </c>
      <c r="AI16" s="147">
        <f>$A16*CAS_Component!AI16</f>
        <v>0</v>
      </c>
      <c r="AJ16" s="159">
        <f>$A16*CAS_Component!AJ16</f>
        <v>0</v>
      </c>
      <c r="AK16" s="147">
        <f>$A16*CAS_Component!AK16</f>
        <v>0</v>
      </c>
      <c r="AL16" s="159">
        <f>$A16*CAS_Component!AL16</f>
        <v>0</v>
      </c>
      <c r="AM16" s="147">
        <f>$A16*CAS_Component!AM16</f>
        <v>0</v>
      </c>
      <c r="AN16" s="159">
        <f>$A16*CAS_Component!AN16</f>
        <v>0</v>
      </c>
      <c r="AO16" s="147">
        <f>$A16*CAS_Component!AO16</f>
        <v>0</v>
      </c>
      <c r="AP16" s="159">
        <f>$A16*CAS_Component!AP16</f>
        <v>0</v>
      </c>
      <c r="AQ16" s="147">
        <f>$A16*CAS_Component!AQ16</f>
        <v>0</v>
      </c>
      <c r="AR16" s="159">
        <f>$A16*CAS_Component!AR16</f>
        <v>0</v>
      </c>
      <c r="AS16" s="147">
        <f>$A16*CAS_Component!AS16</f>
        <v>0</v>
      </c>
      <c r="AT16" s="159">
        <f>$A16*CAS_Component!AT16</f>
        <v>0</v>
      </c>
      <c r="AU16" s="147">
        <f>$A16*CAS_Component!AU16</f>
        <v>0</v>
      </c>
      <c r="AV16" s="159">
        <f>$A16*CAS_Component!AV16</f>
        <v>0</v>
      </c>
      <c r="AW16" s="147">
        <f>$A16*CAS_Component!AW16</f>
        <v>0</v>
      </c>
      <c r="AX16" s="159">
        <f>$A16*CAS_Component!AX16</f>
        <v>0</v>
      </c>
      <c r="AY16" s="147">
        <f>$A16*CAS_Component!AY16</f>
        <v>0</v>
      </c>
      <c r="AZ16" s="159">
        <f>$A16*CAS_Component!AZ16</f>
        <v>0</v>
      </c>
      <c r="BA16" s="147">
        <f>$A16*CAS_Component!BA16</f>
        <v>0</v>
      </c>
      <c r="BB16" s="159">
        <f>$A16*CAS_Component!BB16</f>
        <v>0</v>
      </c>
      <c r="BC16" s="147">
        <f>$A16*CAS_Component!BC16</f>
        <v>0</v>
      </c>
      <c r="BD16" s="159">
        <f>$A16*CAS_Component!BD16</f>
        <v>0</v>
      </c>
      <c r="BE16" s="147">
        <f>$A16*CAS_Component!BE16</f>
        <v>0</v>
      </c>
      <c r="BF16" s="159">
        <f>$A16*CAS_Component!BF16</f>
        <v>0</v>
      </c>
      <c r="BG16" s="147">
        <f>$A16*CAS_Component!BG16</f>
        <v>0</v>
      </c>
      <c r="BH16" s="159">
        <f>$A16*CAS_Component!BH16</f>
        <v>0</v>
      </c>
      <c r="BI16" s="147">
        <f>$A16*CAS_Component!BI16</f>
        <v>0</v>
      </c>
      <c r="BJ16" s="159">
        <f>$A16*CAS_Component!BJ16</f>
        <v>0</v>
      </c>
      <c r="BK16" s="147">
        <f>$A16*CAS_Component!BK16</f>
        <v>0</v>
      </c>
      <c r="BL16" s="159">
        <f>$A16*CAS_Component!BL16</f>
        <v>0</v>
      </c>
      <c r="BM16" s="147">
        <f>$A16*CAS_Component!BM16</f>
        <v>0</v>
      </c>
      <c r="BN16" s="159">
        <f>$A16*CAS_Component!BN16</f>
        <v>0</v>
      </c>
      <c r="BO16" s="147">
        <f>$A16*CAS_Component!BO16</f>
        <v>0</v>
      </c>
      <c r="BP16" s="159">
        <f>$A16*CAS_Component!BP16</f>
        <v>0</v>
      </c>
      <c r="BQ16" s="147">
        <f>$A16*CAS_Component!BQ16</f>
        <v>0</v>
      </c>
      <c r="BR16" s="159">
        <f>$A16*CAS_Component!BR16</f>
        <v>0</v>
      </c>
      <c r="BS16" s="147">
        <f>$A16*CAS_Component!BS16</f>
        <v>0</v>
      </c>
      <c r="BT16" s="159">
        <f>$A16*CAS_Component!BT16</f>
        <v>0</v>
      </c>
      <c r="BU16" s="147">
        <f>$A16*CAS_Component!BU16</f>
        <v>0</v>
      </c>
      <c r="BV16" s="159">
        <f>$A16*CAS_Component!BV16</f>
        <v>0</v>
      </c>
      <c r="BW16" s="147">
        <f>$A16*CAS_Component!BW16</f>
        <v>0</v>
      </c>
      <c r="BX16" s="159">
        <f>$A16*CAS_Component!BX16</f>
        <v>0</v>
      </c>
      <c r="BY16" s="147">
        <f>$A16*CAS_Component!BY16</f>
        <v>0</v>
      </c>
      <c r="BZ16" s="159">
        <f>$A16*CAS_Component!BZ16</f>
        <v>0</v>
      </c>
      <c r="CA16" s="147">
        <f>$A16*CAS_Component!CA16</f>
        <v>0</v>
      </c>
      <c r="CB16" s="159">
        <f>$A16*CAS_Component!CB16</f>
        <v>0</v>
      </c>
    </row>
    <row r="17" spans="1:80">
      <c r="A17" s="69">
        <v>2</v>
      </c>
      <c r="B17" s="68" t="s">
        <v>477</v>
      </c>
      <c r="C17" s="67">
        <v>1.6</v>
      </c>
      <c r="D17" s="159">
        <f t="shared" si="3"/>
        <v>3.2</v>
      </c>
      <c r="E17" s="147">
        <f>A17*CAS_Component!E17</f>
        <v>0</v>
      </c>
      <c r="F17" s="159">
        <f>$A17*CAS_Component!F17</f>
        <v>0</v>
      </c>
      <c r="G17" s="147">
        <f>$A17*CAS_Component!G17</f>
        <v>0</v>
      </c>
      <c r="H17" s="159">
        <f>$A17*CAS_Component!H17</f>
        <v>0</v>
      </c>
      <c r="I17" s="147">
        <f>$A17*CAS_Component!I17</f>
        <v>0</v>
      </c>
      <c r="J17" s="159">
        <f>$A17*CAS_Component!J17</f>
        <v>0</v>
      </c>
      <c r="K17" s="147">
        <f>$A17*CAS_Component!K17</f>
        <v>0.05</v>
      </c>
      <c r="L17" s="159">
        <f>$A17*CAS_Component!L17</f>
        <v>0</v>
      </c>
      <c r="M17" s="147">
        <f>$A17*CAS_Component!M17</f>
        <v>4.4999999999999998E-2</v>
      </c>
      <c r="N17" s="159">
        <f>$A17*CAS_Component!N17</f>
        <v>0</v>
      </c>
      <c r="O17" s="147">
        <f>$A17*CAS_Component!O17</f>
        <v>0</v>
      </c>
      <c r="P17" s="159">
        <f>$A17*CAS_Component!P17</f>
        <v>8.7111839999999996E-2</v>
      </c>
      <c r="Q17" s="147">
        <f>$A17*CAS_Component!Q17</f>
        <v>2.537184E-2</v>
      </c>
      <c r="R17" s="159">
        <f>$A17*CAS_Component!R17</f>
        <v>6.9792359999999998E-2</v>
      </c>
      <c r="S17" s="147">
        <f>$A17*CAS_Component!S17</f>
        <v>0</v>
      </c>
      <c r="T17" s="159">
        <f>$A17*CAS_Component!T17</f>
        <v>0</v>
      </c>
      <c r="U17" s="147">
        <f>$A17*CAS_Component!U17</f>
        <v>0</v>
      </c>
      <c r="V17" s="159">
        <f>$A17*CAS_Component!V17</f>
        <v>0</v>
      </c>
      <c r="W17" s="147">
        <f>$A17*CAS_Component!W17</f>
        <v>0</v>
      </c>
      <c r="X17" s="159">
        <f>$A17*CAS_Component!X17</f>
        <v>0</v>
      </c>
      <c r="Y17" s="147">
        <f>$A17*CAS_Component!Y17</f>
        <v>0</v>
      </c>
      <c r="Z17" s="159">
        <f>$A17*CAS_Component!Z17</f>
        <v>0</v>
      </c>
      <c r="AA17" s="147">
        <f>$A17*CAS_Component!AA17</f>
        <v>0</v>
      </c>
      <c r="AB17" s="159">
        <f>$A17*CAS_Component!AB17</f>
        <v>0</v>
      </c>
      <c r="AC17" s="147">
        <f>$A17*CAS_Component!AC17</f>
        <v>0</v>
      </c>
      <c r="AD17" s="159">
        <f>$A17*CAS_Component!AD17</f>
        <v>0</v>
      </c>
      <c r="AE17" s="147">
        <f>$A17*CAS_Component!AE17</f>
        <v>0.05</v>
      </c>
      <c r="AF17" s="159">
        <f>$A17*CAS_Component!AF17</f>
        <v>1.3161999999999998</v>
      </c>
      <c r="AG17" s="147">
        <f>$A17*CAS_Component!AG17</f>
        <v>1.55652396</v>
      </c>
      <c r="AH17" s="159">
        <f>$A17*CAS_Component!AH17</f>
        <v>0</v>
      </c>
      <c r="AI17" s="147">
        <f>$A17*CAS_Component!AI17</f>
        <v>0</v>
      </c>
      <c r="AJ17" s="159">
        <f>$A17*CAS_Component!AJ17</f>
        <v>0</v>
      </c>
      <c r="AK17" s="147">
        <f>$A17*CAS_Component!AK17</f>
        <v>0</v>
      </c>
      <c r="AL17" s="159">
        <f>$A17*CAS_Component!AL17</f>
        <v>0</v>
      </c>
      <c r="AM17" s="147">
        <f>$A17*CAS_Component!AM17</f>
        <v>0</v>
      </c>
      <c r="AN17" s="159">
        <f>$A17*CAS_Component!AN17</f>
        <v>0</v>
      </c>
      <c r="AO17" s="147">
        <f>$A17*CAS_Component!AO17</f>
        <v>0</v>
      </c>
      <c r="AP17" s="159">
        <f>$A17*CAS_Component!AP17</f>
        <v>0</v>
      </c>
      <c r="AQ17" s="147">
        <f>$A17*CAS_Component!AQ17</f>
        <v>0</v>
      </c>
      <c r="AR17" s="159">
        <f>$A17*CAS_Component!AR17</f>
        <v>0</v>
      </c>
      <c r="AS17" s="147">
        <f>$A17*CAS_Component!AS17</f>
        <v>0</v>
      </c>
      <c r="AT17" s="159">
        <f>$A17*CAS_Component!AT17</f>
        <v>0</v>
      </c>
      <c r="AU17" s="147">
        <f>$A17*CAS_Component!AU17</f>
        <v>0</v>
      </c>
      <c r="AV17" s="159">
        <f>$A17*CAS_Component!AV17</f>
        <v>0</v>
      </c>
      <c r="AW17" s="147">
        <f>$A17*CAS_Component!AW17</f>
        <v>0</v>
      </c>
      <c r="AX17" s="159">
        <f>$A17*CAS_Component!AX17</f>
        <v>0</v>
      </c>
      <c r="AY17" s="147">
        <f>$A17*CAS_Component!AY17</f>
        <v>0</v>
      </c>
      <c r="AZ17" s="159">
        <f>$A17*CAS_Component!AZ17</f>
        <v>0</v>
      </c>
      <c r="BA17" s="147">
        <f>$A17*CAS_Component!BA17</f>
        <v>0</v>
      </c>
      <c r="BB17" s="159">
        <f>$A17*CAS_Component!BB17</f>
        <v>0</v>
      </c>
      <c r="BC17" s="147">
        <f>$A17*CAS_Component!BC17</f>
        <v>0</v>
      </c>
      <c r="BD17" s="159">
        <f>$A17*CAS_Component!BD17</f>
        <v>0</v>
      </c>
      <c r="BE17" s="147">
        <f>$A17*CAS_Component!BE17</f>
        <v>0</v>
      </c>
      <c r="BF17" s="159">
        <f>$A17*CAS_Component!BF17</f>
        <v>0</v>
      </c>
      <c r="BG17" s="147">
        <f>$A17*CAS_Component!BG17</f>
        <v>0</v>
      </c>
      <c r="BH17" s="159">
        <f>$A17*CAS_Component!BH17</f>
        <v>0</v>
      </c>
      <c r="BI17" s="147">
        <f>$A17*CAS_Component!BI17</f>
        <v>0</v>
      </c>
      <c r="BJ17" s="159">
        <f>$A17*CAS_Component!BJ17</f>
        <v>0</v>
      </c>
      <c r="BK17" s="147">
        <f>$A17*CAS_Component!BK17</f>
        <v>0</v>
      </c>
      <c r="BL17" s="159">
        <f>$A17*CAS_Component!BL17</f>
        <v>0</v>
      </c>
      <c r="BM17" s="147">
        <f>$A17*CAS_Component!BM17</f>
        <v>0</v>
      </c>
      <c r="BN17" s="159">
        <f>$A17*CAS_Component!BN17</f>
        <v>0</v>
      </c>
      <c r="BO17" s="147">
        <f>$A17*CAS_Component!BO17</f>
        <v>0</v>
      </c>
      <c r="BP17" s="159">
        <f>$A17*CAS_Component!BP17</f>
        <v>0</v>
      </c>
      <c r="BQ17" s="147">
        <f>$A17*CAS_Component!BQ17</f>
        <v>0</v>
      </c>
      <c r="BR17" s="159">
        <f>$A17*CAS_Component!BR17</f>
        <v>0</v>
      </c>
      <c r="BS17" s="147">
        <f>$A17*CAS_Component!BS17</f>
        <v>0</v>
      </c>
      <c r="BT17" s="159">
        <f>$A17*CAS_Component!BT17</f>
        <v>0</v>
      </c>
      <c r="BU17" s="147">
        <f>$A17*CAS_Component!BU17</f>
        <v>0</v>
      </c>
      <c r="BV17" s="159">
        <f>$A17*CAS_Component!BV17</f>
        <v>0</v>
      </c>
      <c r="BW17" s="147">
        <f>$A17*CAS_Component!BW17</f>
        <v>0</v>
      </c>
      <c r="BX17" s="159">
        <f>$A17*CAS_Component!BX17</f>
        <v>0</v>
      </c>
      <c r="BY17" s="147">
        <f>$A17*CAS_Component!BY17</f>
        <v>0</v>
      </c>
      <c r="BZ17" s="159">
        <f>$A17*CAS_Component!BZ17</f>
        <v>0</v>
      </c>
      <c r="CA17" s="147">
        <f>$A17*CAS_Component!CA17</f>
        <v>0</v>
      </c>
      <c r="CB17" s="159">
        <f>$A17*CAS_Component!CB17</f>
        <v>0</v>
      </c>
    </row>
    <row r="18" spans="1:80">
      <c r="A18" s="69">
        <v>1</v>
      </c>
      <c r="B18" s="68" t="s">
        <v>471</v>
      </c>
      <c r="C18" s="67">
        <v>8</v>
      </c>
      <c r="D18" s="159">
        <f t="shared" si="3"/>
        <v>7.9999999999999982</v>
      </c>
      <c r="E18" s="147">
        <f>A18*CAS_Component!E18</f>
        <v>0</v>
      </c>
      <c r="F18" s="159">
        <f>$A18*CAS_Component!F18</f>
        <v>0</v>
      </c>
      <c r="G18" s="147">
        <f>$A18*CAS_Component!G18</f>
        <v>0</v>
      </c>
      <c r="H18" s="159">
        <f>$A18*CAS_Component!H18</f>
        <v>0</v>
      </c>
      <c r="I18" s="147">
        <f>$A18*CAS_Component!I18</f>
        <v>2.7052E-2</v>
      </c>
      <c r="J18" s="159">
        <f>$A18*CAS_Component!J18</f>
        <v>1.2474846399999999</v>
      </c>
      <c r="K18" s="147">
        <f>$A18*CAS_Component!K18</f>
        <v>0</v>
      </c>
      <c r="L18" s="159">
        <f>$A18*CAS_Component!L18</f>
        <v>0</v>
      </c>
      <c r="M18" s="147">
        <f>$A18*CAS_Component!M18</f>
        <v>0.23749855999999997</v>
      </c>
      <c r="N18" s="159">
        <f>$A18*CAS_Component!N18</f>
        <v>0</v>
      </c>
      <c r="O18" s="147">
        <f>$A18*CAS_Component!O18</f>
        <v>4.6417584000000005E-2</v>
      </c>
      <c r="P18" s="159">
        <f>$A18*CAS_Component!P18</f>
        <v>0</v>
      </c>
      <c r="Q18" s="147">
        <f>$A18*CAS_Component!Q18</f>
        <v>1.6527472000000001E-2</v>
      </c>
      <c r="R18" s="159">
        <f>$A18*CAS_Component!R18</f>
        <v>0.89123679999999994</v>
      </c>
      <c r="S18" s="147">
        <f>$A18*CAS_Component!S18</f>
        <v>0</v>
      </c>
      <c r="T18" s="159">
        <f>$A18*CAS_Component!T18</f>
        <v>0</v>
      </c>
      <c r="U18" s="147">
        <f>$A18*CAS_Component!U18</f>
        <v>5.6800000000000003E-2</v>
      </c>
      <c r="V18" s="159">
        <f>$A18*CAS_Component!V18</f>
        <v>0.68982600000000005</v>
      </c>
      <c r="W18" s="147">
        <f>$A18*CAS_Component!W18</f>
        <v>0</v>
      </c>
      <c r="X18" s="159">
        <f>$A18*CAS_Component!X18</f>
        <v>0</v>
      </c>
      <c r="Y18" s="147">
        <f>$A18*CAS_Component!Y18</f>
        <v>0</v>
      </c>
      <c r="Z18" s="159">
        <f>$A18*CAS_Component!Z18</f>
        <v>0</v>
      </c>
      <c r="AA18" s="147">
        <f>$A18*CAS_Component!AA18</f>
        <v>0</v>
      </c>
      <c r="AB18" s="159">
        <f>$A18*CAS_Component!AB18</f>
        <v>0</v>
      </c>
      <c r="AC18" s="147">
        <f>$A18*CAS_Component!AC18</f>
        <v>0</v>
      </c>
      <c r="AD18" s="159">
        <f>$A18*CAS_Component!AD18</f>
        <v>3.7331759999999998</v>
      </c>
      <c r="AE18" s="147">
        <f>$A18*CAS_Component!AE18</f>
        <v>0</v>
      </c>
      <c r="AF18" s="159">
        <f>$A18*CAS_Component!AF18</f>
        <v>0</v>
      </c>
      <c r="AG18" s="147">
        <f>$A18*CAS_Component!AG18</f>
        <v>0</v>
      </c>
      <c r="AH18" s="159">
        <f>$A18*CAS_Component!AH18</f>
        <v>1.0549440000000002E-3</v>
      </c>
      <c r="AI18" s="147">
        <f>$A18*CAS_Component!AI18</f>
        <v>9.2579999999999996E-2</v>
      </c>
      <c r="AJ18" s="159">
        <f>$A18*CAS_Component!AJ18</f>
        <v>0.66277399999999997</v>
      </c>
      <c r="AK18" s="147">
        <f>$A18*CAS_Component!AK18</f>
        <v>0.297572</v>
      </c>
      <c r="AL18" s="159">
        <f>$A18*CAS_Component!AL18</f>
        <v>0</v>
      </c>
      <c r="AM18" s="147">
        <f>$A18*CAS_Component!AM18</f>
        <v>0</v>
      </c>
      <c r="AN18" s="159">
        <f>$A18*CAS_Component!AN18</f>
        <v>0</v>
      </c>
      <c r="AO18" s="147">
        <f>$A18*CAS_Component!AO18</f>
        <v>0</v>
      </c>
      <c r="AP18" s="159">
        <f>$A18*CAS_Component!AP18</f>
        <v>0</v>
      </c>
      <c r="AQ18" s="147">
        <f>$A18*CAS_Component!AQ18</f>
        <v>0</v>
      </c>
      <c r="AR18" s="159">
        <f>$A18*CAS_Component!AR18</f>
        <v>0</v>
      </c>
      <c r="AS18" s="147">
        <f>$A18*CAS_Component!AS18</f>
        <v>0</v>
      </c>
      <c r="AT18" s="159">
        <f>$A18*CAS_Component!AT18</f>
        <v>0</v>
      </c>
      <c r="AU18" s="147">
        <f>$A18*CAS_Component!AU18</f>
        <v>0</v>
      </c>
      <c r="AV18" s="159">
        <f>$A18*CAS_Component!AV18</f>
        <v>0</v>
      </c>
      <c r="AW18" s="147">
        <f>$A18*CAS_Component!AW18</f>
        <v>0</v>
      </c>
      <c r="AX18" s="159">
        <f>$A18*CAS_Component!AX18</f>
        <v>0</v>
      </c>
      <c r="AY18" s="147">
        <f>$A18*CAS_Component!AY18</f>
        <v>0</v>
      </c>
      <c r="AZ18" s="159">
        <f>$A18*CAS_Component!AZ18</f>
        <v>0</v>
      </c>
      <c r="BA18" s="147">
        <f>$A18*CAS_Component!BA18</f>
        <v>0</v>
      </c>
      <c r="BB18" s="159">
        <f>$A18*CAS_Component!BB18</f>
        <v>0</v>
      </c>
      <c r="BC18" s="147">
        <f>$A18*CAS_Component!BC18</f>
        <v>0</v>
      </c>
      <c r="BD18" s="159">
        <f>$A18*CAS_Component!BD18</f>
        <v>0</v>
      </c>
      <c r="BE18" s="147">
        <f>$A18*CAS_Component!BE18</f>
        <v>0</v>
      </c>
      <c r="BF18" s="159">
        <f>$A18*CAS_Component!BF18</f>
        <v>0</v>
      </c>
      <c r="BG18" s="147">
        <f>$A18*CAS_Component!BG18</f>
        <v>0</v>
      </c>
      <c r="BH18" s="159">
        <f>$A18*CAS_Component!BH18</f>
        <v>0</v>
      </c>
      <c r="BI18" s="147">
        <f>$A18*CAS_Component!BI18</f>
        <v>0</v>
      </c>
      <c r="BJ18" s="159">
        <f>$A18*CAS_Component!BJ18</f>
        <v>0</v>
      </c>
      <c r="BK18" s="147">
        <f>$A18*CAS_Component!BK18</f>
        <v>0</v>
      </c>
      <c r="BL18" s="159">
        <f>$A18*CAS_Component!BL18</f>
        <v>0</v>
      </c>
      <c r="BM18" s="147">
        <f>$A18*CAS_Component!BM18</f>
        <v>0</v>
      </c>
      <c r="BN18" s="159">
        <f>$A18*CAS_Component!BN18</f>
        <v>0</v>
      </c>
      <c r="BO18" s="147">
        <f>$A18*CAS_Component!BO18</f>
        <v>0</v>
      </c>
      <c r="BP18" s="159">
        <f>$A18*CAS_Component!BP18</f>
        <v>0</v>
      </c>
      <c r="BQ18" s="147">
        <f>$A18*CAS_Component!BQ18</f>
        <v>0</v>
      </c>
      <c r="BR18" s="159">
        <f>$A18*CAS_Component!BR18</f>
        <v>0</v>
      </c>
      <c r="BS18" s="147">
        <f>$A18*CAS_Component!BS18</f>
        <v>0</v>
      </c>
      <c r="BT18" s="159">
        <f>$A18*CAS_Component!BT18</f>
        <v>0</v>
      </c>
      <c r="BU18" s="147">
        <f>$A18*CAS_Component!BU18</f>
        <v>0</v>
      </c>
      <c r="BV18" s="159">
        <f>$A18*CAS_Component!BV18</f>
        <v>0</v>
      </c>
      <c r="BW18" s="147">
        <f>$A18*CAS_Component!BW18</f>
        <v>0</v>
      </c>
      <c r="BX18" s="159">
        <f>$A18*CAS_Component!BX18</f>
        <v>0</v>
      </c>
      <c r="BY18" s="147">
        <f>$A18*CAS_Component!BY18</f>
        <v>0</v>
      </c>
      <c r="BZ18" s="159">
        <f>$A18*CAS_Component!BZ18</f>
        <v>0</v>
      </c>
      <c r="CA18" s="147">
        <f>$A18*CAS_Component!CA18</f>
        <v>0</v>
      </c>
      <c r="CB18" s="159">
        <f>$A18*CAS_Component!CB18</f>
        <v>0</v>
      </c>
    </row>
    <row r="19" spans="1:80">
      <c r="A19" s="69">
        <v>1</v>
      </c>
      <c r="B19" s="68" t="s">
        <v>466</v>
      </c>
      <c r="C19" s="67">
        <v>4.1984500000000002</v>
      </c>
      <c r="D19" s="159">
        <f t="shared" si="3"/>
        <v>4.1984479007750002</v>
      </c>
      <c r="E19" s="147">
        <f>A19*CAS_Component!E19</f>
        <v>0</v>
      </c>
      <c r="F19" s="159">
        <f>$A19*CAS_Component!F19</f>
        <v>2.0022000800350002</v>
      </c>
      <c r="G19" s="147">
        <f>$A19*CAS_Component!G19</f>
        <v>0</v>
      </c>
      <c r="H19" s="159">
        <f>$A19*CAS_Component!H19</f>
        <v>0.25380008110500002</v>
      </c>
      <c r="I19" s="147">
        <f>$A19*CAS_Component!I19</f>
        <v>8.4598767499999995E-3</v>
      </c>
      <c r="J19" s="159">
        <f>$A19*CAS_Component!J19</f>
        <v>2.7930188625000001E-2</v>
      </c>
      <c r="K19" s="147">
        <f>$A19*CAS_Component!K19</f>
        <v>1.6487313150000001E-3</v>
      </c>
      <c r="L19" s="159">
        <f>$A19*CAS_Component!L19</f>
        <v>2.1983084200000004E-3</v>
      </c>
      <c r="M19" s="147">
        <f>$A19*CAS_Component!M19</f>
        <v>2.472971019E-2</v>
      </c>
      <c r="N19" s="159">
        <f>$A19*CAS_Component!N19</f>
        <v>0</v>
      </c>
      <c r="O19" s="147">
        <f>$A19*CAS_Component!O19</f>
        <v>0.13999983432000002</v>
      </c>
      <c r="P19" s="159">
        <f>$A19*CAS_Component!P19</f>
        <v>1.04227444909</v>
      </c>
      <c r="Q19" s="147">
        <f>$A19*CAS_Component!Q19</f>
        <v>9.3499481500000006E-3</v>
      </c>
      <c r="R19" s="159">
        <f>$A19*CAS_Component!R19</f>
        <v>0</v>
      </c>
      <c r="S19" s="147">
        <f>$A19*CAS_Component!S19</f>
        <v>0</v>
      </c>
      <c r="T19" s="159">
        <f>$A19*CAS_Component!T19</f>
        <v>0</v>
      </c>
      <c r="U19" s="147">
        <f>$A19*CAS_Component!U19</f>
        <v>0.12993489013500001</v>
      </c>
      <c r="V19" s="159">
        <f>$A19*CAS_Component!V19</f>
        <v>0</v>
      </c>
      <c r="W19" s="147">
        <f>$A19*CAS_Component!W19</f>
        <v>0</v>
      </c>
      <c r="X19" s="159">
        <f>$A19*CAS_Component!X19</f>
        <v>0</v>
      </c>
      <c r="Y19" s="147">
        <f>$A19*CAS_Component!Y19</f>
        <v>0</v>
      </c>
      <c r="Z19" s="159">
        <f>$A19*CAS_Component!Z19</f>
        <v>0</v>
      </c>
      <c r="AA19" s="147">
        <f>$A19*CAS_Component!AA19</f>
        <v>0</v>
      </c>
      <c r="AB19" s="159">
        <f>$A19*CAS_Component!AB19</f>
        <v>3.4259352000000001E-4</v>
      </c>
      <c r="AC19" s="147">
        <f>$A19*CAS_Component!AC19</f>
        <v>0</v>
      </c>
      <c r="AD19" s="159">
        <f>$A19*CAS_Component!AD19</f>
        <v>0</v>
      </c>
      <c r="AE19" s="147">
        <f>$A19*CAS_Component!AE19</f>
        <v>0</v>
      </c>
      <c r="AF19" s="159">
        <f>$A19*CAS_Component!AF19</f>
        <v>0</v>
      </c>
      <c r="AG19" s="147">
        <f>$A19*CAS_Component!AG19</f>
        <v>0</v>
      </c>
      <c r="AH19" s="159">
        <f>$A19*CAS_Component!AH19</f>
        <v>0</v>
      </c>
      <c r="AI19" s="147">
        <f>$A19*CAS_Component!AI19</f>
        <v>0</v>
      </c>
      <c r="AJ19" s="159">
        <f>$A19*CAS_Component!AJ19</f>
        <v>0.55554016353500002</v>
      </c>
      <c r="AK19" s="147">
        <f>$A19*CAS_Component!AK19</f>
        <v>0</v>
      </c>
      <c r="AL19" s="159">
        <f>$A19*CAS_Component!AL19</f>
        <v>1.3015195E-5</v>
      </c>
      <c r="AM19" s="147">
        <f>$A19*CAS_Component!AM19</f>
        <v>2.603039E-5</v>
      </c>
      <c r="AN19" s="159">
        <f>$A19*CAS_Component!AN19</f>
        <v>0</v>
      </c>
      <c r="AO19" s="147">
        <f>$A19*CAS_Component!AO19</f>
        <v>0</v>
      </c>
      <c r="AP19" s="159">
        <f>$A19*CAS_Component!AP19</f>
        <v>0</v>
      </c>
      <c r="AQ19" s="147">
        <f>$A19*CAS_Component!AQ19</f>
        <v>0</v>
      </c>
      <c r="AR19" s="159">
        <f>$A19*CAS_Component!AR19</f>
        <v>0</v>
      </c>
      <c r="AS19" s="147">
        <f>$A19*CAS_Component!AS19</f>
        <v>0</v>
      </c>
      <c r="AT19" s="159">
        <f>$A19*CAS_Component!AT19</f>
        <v>0</v>
      </c>
      <c r="AU19" s="147">
        <f>$A19*CAS_Component!AU19</f>
        <v>0</v>
      </c>
      <c r="AV19" s="159">
        <f>$A19*CAS_Component!AV19</f>
        <v>0</v>
      </c>
      <c r="AW19" s="147">
        <f>$A19*CAS_Component!AW19</f>
        <v>0</v>
      </c>
      <c r="AX19" s="159">
        <f>$A19*CAS_Component!AX19</f>
        <v>0</v>
      </c>
      <c r="AY19" s="147">
        <f>$A19*CAS_Component!AY19</f>
        <v>0</v>
      </c>
      <c r="AZ19" s="159">
        <f>$A19*CAS_Component!AZ19</f>
        <v>0</v>
      </c>
      <c r="BA19" s="147">
        <f>$A19*CAS_Component!BA19</f>
        <v>0</v>
      </c>
      <c r="BB19" s="159">
        <f>$A19*CAS_Component!BB19</f>
        <v>0</v>
      </c>
      <c r="BC19" s="147">
        <f>$A19*CAS_Component!BC19</f>
        <v>0</v>
      </c>
      <c r="BD19" s="159">
        <f>$A19*CAS_Component!BD19</f>
        <v>0</v>
      </c>
      <c r="BE19" s="147">
        <f>$A19*CAS_Component!BE19</f>
        <v>0</v>
      </c>
      <c r="BF19" s="159">
        <f>$A19*CAS_Component!BF19</f>
        <v>0</v>
      </c>
      <c r="BG19" s="147">
        <f>$A19*CAS_Component!BG19</f>
        <v>0</v>
      </c>
      <c r="BH19" s="159">
        <f>$A19*CAS_Component!BH19</f>
        <v>0</v>
      </c>
      <c r="BI19" s="147">
        <f>$A19*CAS_Component!BI19</f>
        <v>0</v>
      </c>
      <c r="BJ19" s="159">
        <f>$A19*CAS_Component!BJ19</f>
        <v>0</v>
      </c>
      <c r="BK19" s="147">
        <f>$A19*CAS_Component!BK19</f>
        <v>0</v>
      </c>
      <c r="BL19" s="159">
        <f>$A19*CAS_Component!BL19</f>
        <v>0</v>
      </c>
      <c r="BM19" s="147">
        <f>$A19*CAS_Component!BM19</f>
        <v>0</v>
      </c>
      <c r="BN19" s="159">
        <f>$A19*CAS_Component!BN19</f>
        <v>0</v>
      </c>
      <c r="BO19" s="147">
        <f>$A19*CAS_Component!BO19</f>
        <v>0</v>
      </c>
      <c r="BP19" s="159">
        <f>$A19*CAS_Component!BP19</f>
        <v>0</v>
      </c>
      <c r="BQ19" s="147">
        <f>$A19*CAS_Component!BQ19</f>
        <v>0</v>
      </c>
      <c r="BR19" s="159">
        <f>$A19*CAS_Component!BR19</f>
        <v>0</v>
      </c>
      <c r="BS19" s="147">
        <f>$A19*CAS_Component!BS19</f>
        <v>0</v>
      </c>
      <c r="BT19" s="159">
        <f>$A19*CAS_Component!BT19</f>
        <v>0</v>
      </c>
      <c r="BU19" s="147">
        <f>$A19*CAS_Component!BU19</f>
        <v>0</v>
      </c>
      <c r="BV19" s="159">
        <f>$A19*CAS_Component!BV19</f>
        <v>0</v>
      </c>
      <c r="BW19" s="147">
        <f>$A19*CAS_Component!BW19</f>
        <v>0</v>
      </c>
      <c r="BX19" s="159">
        <f>$A19*CAS_Component!BX19</f>
        <v>0</v>
      </c>
      <c r="BY19" s="147">
        <f>$A19*CAS_Component!BY19</f>
        <v>0</v>
      </c>
      <c r="BZ19" s="159">
        <f>$A19*CAS_Component!BZ19</f>
        <v>0</v>
      </c>
      <c r="CA19" s="147">
        <f>$A19*CAS_Component!CA19</f>
        <v>0</v>
      </c>
      <c r="CB19" s="159">
        <f>$A19*CAS_Component!CB19</f>
        <v>0</v>
      </c>
    </row>
    <row r="20" spans="1:80">
      <c r="A20" s="69">
        <v>1</v>
      </c>
      <c r="B20" s="68" t="s">
        <v>460</v>
      </c>
      <c r="C20" s="67">
        <v>8.93</v>
      </c>
      <c r="D20" s="159">
        <f t="shared" si="3"/>
        <v>8.9364000000000008</v>
      </c>
      <c r="E20" s="147">
        <f>A20*CAS_Component!E20</f>
        <v>0</v>
      </c>
      <c r="F20" s="159">
        <f>$A20*CAS_Component!F20</f>
        <v>0</v>
      </c>
      <c r="G20" s="147">
        <f>$A20*CAS_Component!G20</f>
        <v>0</v>
      </c>
      <c r="H20" s="159">
        <f>$A20*CAS_Component!H20</f>
        <v>0</v>
      </c>
      <c r="I20" s="147">
        <f>$A20*CAS_Component!I20</f>
        <v>0</v>
      </c>
      <c r="J20" s="159">
        <f>$A20*CAS_Component!J20</f>
        <v>1.899</v>
      </c>
      <c r="K20" s="147">
        <f>$A20*CAS_Component!K20</f>
        <v>0</v>
      </c>
      <c r="L20" s="159">
        <f>$A20*CAS_Component!L20</f>
        <v>0</v>
      </c>
      <c r="M20" s="147">
        <f>$A20*CAS_Component!M20</f>
        <v>6.4799999999999996E-2</v>
      </c>
      <c r="N20" s="159">
        <f>$A20*CAS_Component!N20</f>
        <v>0</v>
      </c>
      <c r="O20" s="147">
        <f>$A20*CAS_Component!O20</f>
        <v>4.24E-2</v>
      </c>
      <c r="P20" s="159">
        <f>$A20*CAS_Component!P20</f>
        <v>2.3999999999999998E-3</v>
      </c>
      <c r="Q20" s="147">
        <f>$A20*CAS_Component!Q20</f>
        <v>0.04</v>
      </c>
      <c r="R20" s="159">
        <f>$A20*CAS_Component!R20</f>
        <v>0.79290000000000005</v>
      </c>
      <c r="S20" s="147">
        <f>$A20*CAS_Component!S20</f>
        <v>0</v>
      </c>
      <c r="T20" s="159">
        <f>$A20*CAS_Component!T20</f>
        <v>0</v>
      </c>
      <c r="U20" s="147">
        <f>$A20*CAS_Component!U20</f>
        <v>0.03</v>
      </c>
      <c r="V20" s="159">
        <f>$A20*CAS_Component!V20</f>
        <v>0</v>
      </c>
      <c r="W20" s="147">
        <f>$A20*CAS_Component!W20</f>
        <v>0</v>
      </c>
      <c r="X20" s="159">
        <f>$A20*CAS_Component!X20</f>
        <v>0</v>
      </c>
      <c r="Y20" s="147">
        <f>$A20*CAS_Component!Y20</f>
        <v>0</v>
      </c>
      <c r="Z20" s="159">
        <f>$A20*CAS_Component!Z20</f>
        <v>0</v>
      </c>
      <c r="AA20" s="147">
        <f>$A20*CAS_Component!AA20</f>
        <v>0</v>
      </c>
      <c r="AB20" s="159">
        <f>$A20*CAS_Component!AB20</f>
        <v>0</v>
      </c>
      <c r="AC20" s="147">
        <f>$A20*CAS_Component!AC20</f>
        <v>0</v>
      </c>
      <c r="AD20" s="159">
        <f>$A20*CAS_Component!AD20</f>
        <v>0</v>
      </c>
      <c r="AE20" s="147">
        <f>$A20*CAS_Component!AE20</f>
        <v>0</v>
      </c>
      <c r="AF20" s="159">
        <f>$A20*CAS_Component!AF20</f>
        <v>0</v>
      </c>
      <c r="AG20" s="147">
        <f>$A20*CAS_Component!AG20</f>
        <v>0</v>
      </c>
      <c r="AH20" s="159">
        <f>$A20*CAS_Component!AH20</f>
        <v>0</v>
      </c>
      <c r="AI20" s="147">
        <f>$A20*CAS_Component!AI20</f>
        <v>0</v>
      </c>
      <c r="AJ20" s="159">
        <f>$A20*CAS_Component!AJ20</f>
        <v>0</v>
      </c>
      <c r="AK20" s="147">
        <f>$A20*CAS_Component!AK20</f>
        <v>0</v>
      </c>
      <c r="AL20" s="159">
        <f>$A20*CAS_Component!AL20</f>
        <v>0</v>
      </c>
      <c r="AM20" s="147">
        <f>$A20*CAS_Component!AM20</f>
        <v>0</v>
      </c>
      <c r="AN20" s="159">
        <f>$A20*CAS_Component!AN20</f>
        <v>4.8999999999999998E-3</v>
      </c>
      <c r="AO20" s="147">
        <f>$A20*CAS_Component!AO20</f>
        <v>5.89</v>
      </c>
      <c r="AP20" s="159">
        <f>$A20*CAS_Component!AP20</f>
        <v>0.05</v>
      </c>
      <c r="AQ20" s="147">
        <f>$A20*CAS_Component!AQ20</f>
        <v>0.12</v>
      </c>
      <c r="AR20" s="159">
        <f>$A20*CAS_Component!AR20</f>
        <v>0</v>
      </c>
      <c r="AS20" s="147">
        <f>$A20*CAS_Component!AS20</f>
        <v>0</v>
      </c>
      <c r="AT20" s="159">
        <f>$A20*CAS_Component!AT20</f>
        <v>0</v>
      </c>
      <c r="AU20" s="147">
        <f>$A20*CAS_Component!AU20</f>
        <v>0</v>
      </c>
      <c r="AV20" s="159">
        <f>$A20*CAS_Component!AV20</f>
        <v>0</v>
      </c>
      <c r="AW20" s="147">
        <f>$A20*CAS_Component!AW20</f>
        <v>0</v>
      </c>
      <c r="AX20" s="159">
        <f>$A20*CAS_Component!AX20</f>
        <v>0</v>
      </c>
      <c r="AY20" s="147">
        <f>$A20*CAS_Component!AY20</f>
        <v>0</v>
      </c>
      <c r="AZ20" s="159">
        <f>$A20*CAS_Component!AZ20</f>
        <v>0</v>
      </c>
      <c r="BA20" s="147">
        <f>$A20*CAS_Component!BA20</f>
        <v>0</v>
      </c>
      <c r="BB20" s="159">
        <f>$A20*CAS_Component!BB20</f>
        <v>0</v>
      </c>
      <c r="BC20" s="147">
        <f>$A20*CAS_Component!BC20</f>
        <v>0</v>
      </c>
      <c r="BD20" s="159">
        <f>$A20*CAS_Component!BD20</f>
        <v>0</v>
      </c>
      <c r="BE20" s="147">
        <f>$A20*CAS_Component!BE20</f>
        <v>0</v>
      </c>
      <c r="BF20" s="159">
        <f>$A20*CAS_Component!BF20</f>
        <v>0</v>
      </c>
      <c r="BG20" s="147">
        <f>$A20*CAS_Component!BG20</f>
        <v>0</v>
      </c>
      <c r="BH20" s="159">
        <f>$A20*CAS_Component!BH20</f>
        <v>0</v>
      </c>
      <c r="BI20" s="147">
        <f>$A20*CAS_Component!BI20</f>
        <v>0</v>
      </c>
      <c r="BJ20" s="159">
        <f>$A20*CAS_Component!BJ20</f>
        <v>0</v>
      </c>
      <c r="BK20" s="147">
        <f>$A20*CAS_Component!BK20</f>
        <v>0</v>
      </c>
      <c r="BL20" s="159">
        <f>$A20*CAS_Component!BL20</f>
        <v>0</v>
      </c>
      <c r="BM20" s="147">
        <f>$A20*CAS_Component!BM20</f>
        <v>0</v>
      </c>
      <c r="BN20" s="159">
        <f>$A20*CAS_Component!BN20</f>
        <v>0</v>
      </c>
      <c r="BO20" s="147">
        <f>$A20*CAS_Component!BO20</f>
        <v>0</v>
      </c>
      <c r="BP20" s="159">
        <f>$A20*CAS_Component!BP20</f>
        <v>0</v>
      </c>
      <c r="BQ20" s="147">
        <f>$A20*CAS_Component!BQ20</f>
        <v>0</v>
      </c>
      <c r="BR20" s="159">
        <f>$A20*CAS_Component!BR20</f>
        <v>0</v>
      </c>
      <c r="BS20" s="147">
        <f>$A20*CAS_Component!BS20</f>
        <v>0</v>
      </c>
      <c r="BT20" s="159">
        <f>$A20*CAS_Component!BT20</f>
        <v>0</v>
      </c>
      <c r="BU20" s="147">
        <f>$A20*CAS_Component!BU20</f>
        <v>0</v>
      </c>
      <c r="BV20" s="159">
        <f>$A20*CAS_Component!BV20</f>
        <v>0</v>
      </c>
      <c r="BW20" s="147">
        <f>$A20*CAS_Component!BW20</f>
        <v>0</v>
      </c>
      <c r="BX20" s="159">
        <f>$A20*CAS_Component!BX20</f>
        <v>0</v>
      </c>
      <c r="BY20" s="147">
        <f>$A20*CAS_Component!BY20</f>
        <v>0</v>
      </c>
      <c r="BZ20" s="159">
        <f>$A20*CAS_Component!BZ20</f>
        <v>0</v>
      </c>
      <c r="CA20" s="147">
        <f>$A20*CAS_Component!CA20</f>
        <v>0</v>
      </c>
      <c r="CB20" s="159">
        <f>$A20*CAS_Component!CB20</f>
        <v>0</v>
      </c>
    </row>
    <row r="21" spans="1:80">
      <c r="A21" s="69">
        <v>1</v>
      </c>
      <c r="B21" s="68" t="s">
        <v>455</v>
      </c>
      <c r="C21" s="67">
        <v>3.78328</v>
      </c>
      <c r="D21" s="159">
        <f t="shared" si="3"/>
        <v>3.7832769733760001</v>
      </c>
      <c r="E21" s="147">
        <f>A21*CAS_Component!E21</f>
        <v>0</v>
      </c>
      <c r="F21" s="159">
        <f>$A21*CAS_Component!F21</f>
        <v>1.6071399922959999</v>
      </c>
      <c r="G21" s="147">
        <f>$A21*CAS_Component!G21</f>
        <v>0</v>
      </c>
      <c r="H21" s="159">
        <f>$A21*CAS_Component!H21</f>
        <v>0</v>
      </c>
      <c r="I21" s="147">
        <f>$A21*CAS_Component!I21</f>
        <v>6.4198478320000004E-3</v>
      </c>
      <c r="J21" s="159">
        <f>$A21*CAS_Component!J21</f>
        <v>3.8513033744000003E-2</v>
      </c>
      <c r="K21" s="147">
        <f>$A21*CAS_Component!K21</f>
        <v>2.265049736E-3</v>
      </c>
      <c r="L21" s="159">
        <f>$A21*CAS_Component!L21</f>
        <v>3.0198140960000001E-3</v>
      </c>
      <c r="M21" s="147">
        <f>$A21*CAS_Component!M21</f>
        <v>3.1558986776000005E-2</v>
      </c>
      <c r="N21" s="159">
        <f>$A21*CAS_Component!N21</f>
        <v>0</v>
      </c>
      <c r="O21" s="147">
        <f>$A21*CAS_Component!O21</f>
        <v>4.9999828480000001E-2</v>
      </c>
      <c r="P21" s="159">
        <f>$A21*CAS_Component!P21</f>
        <v>1.4374757740720001</v>
      </c>
      <c r="Q21" s="147">
        <f>$A21*CAS_Component!Q21</f>
        <v>0</v>
      </c>
      <c r="R21" s="159">
        <f>$A21*CAS_Component!R21</f>
        <v>0</v>
      </c>
      <c r="S21" s="147">
        <f>$A21*CAS_Component!S21</f>
        <v>0</v>
      </c>
      <c r="T21" s="159">
        <f>$A21*CAS_Component!T21</f>
        <v>0</v>
      </c>
      <c r="U21" s="147">
        <f>$A21*CAS_Component!U21</f>
        <v>7.9960001128000002E-2</v>
      </c>
      <c r="V21" s="159">
        <f>$A21*CAS_Component!V21</f>
        <v>0</v>
      </c>
      <c r="W21" s="147">
        <f>$A21*CAS_Component!W21</f>
        <v>0</v>
      </c>
      <c r="X21" s="159">
        <f>$A21*CAS_Component!X21</f>
        <v>0</v>
      </c>
      <c r="Y21" s="147">
        <f>$A21*CAS_Component!Y21</f>
        <v>0</v>
      </c>
      <c r="Z21" s="159">
        <f>$A21*CAS_Component!Z21</f>
        <v>0</v>
      </c>
      <c r="AA21" s="147">
        <f>$A21*CAS_Component!AA21</f>
        <v>0</v>
      </c>
      <c r="AB21" s="159">
        <f>$A21*CAS_Component!AB21</f>
        <v>4.6080350399999996E-4</v>
      </c>
      <c r="AC21" s="147">
        <f>$A21*CAS_Component!AC21</f>
        <v>0</v>
      </c>
      <c r="AD21" s="159">
        <f>$A21*CAS_Component!AD21</f>
        <v>0</v>
      </c>
      <c r="AE21" s="147">
        <f>$A21*CAS_Component!AE21</f>
        <v>0</v>
      </c>
      <c r="AF21" s="159">
        <f>$A21*CAS_Component!AF21</f>
        <v>0</v>
      </c>
      <c r="AG21" s="147">
        <f>$A21*CAS_Component!AG21</f>
        <v>0</v>
      </c>
      <c r="AH21" s="159">
        <f>$A21*CAS_Component!AH21</f>
        <v>0</v>
      </c>
      <c r="AI21" s="147">
        <f>$A21*CAS_Component!AI21</f>
        <v>0</v>
      </c>
      <c r="AJ21" s="159">
        <f>$A21*CAS_Component!AJ21</f>
        <v>0.37450007729599999</v>
      </c>
      <c r="AK21" s="147">
        <f>$A21*CAS_Component!AK21</f>
        <v>0.15193992975199999</v>
      </c>
      <c r="AL21" s="159">
        <f>$A21*CAS_Component!AL21</f>
        <v>7.9448879999999996E-6</v>
      </c>
      <c r="AM21" s="147">
        <f>$A21*CAS_Component!AM21</f>
        <v>1.5889775999999999E-5</v>
      </c>
      <c r="AN21" s="159">
        <f>$A21*CAS_Component!AN21</f>
        <v>0</v>
      </c>
      <c r="AO21" s="147">
        <f>$A21*CAS_Component!AO21</f>
        <v>0</v>
      </c>
      <c r="AP21" s="159">
        <f>$A21*CAS_Component!AP21</f>
        <v>0</v>
      </c>
      <c r="AQ21" s="147">
        <f>$A21*CAS_Component!AQ21</f>
        <v>0</v>
      </c>
      <c r="AR21" s="159">
        <f>$A21*CAS_Component!AR21</f>
        <v>0</v>
      </c>
      <c r="AS21" s="147">
        <f>$A21*CAS_Component!AS21</f>
        <v>0</v>
      </c>
      <c r="AT21" s="159">
        <f>$A21*CAS_Component!AT21</f>
        <v>0</v>
      </c>
      <c r="AU21" s="147">
        <f>$A21*CAS_Component!AU21</f>
        <v>0</v>
      </c>
      <c r="AV21" s="159">
        <f>$A21*CAS_Component!AV21</f>
        <v>0</v>
      </c>
      <c r="AW21" s="147">
        <f>$A21*CAS_Component!AW21</f>
        <v>0</v>
      </c>
      <c r="AX21" s="159">
        <f>$A21*CAS_Component!AX21</f>
        <v>0</v>
      </c>
      <c r="AY21" s="147">
        <f>$A21*CAS_Component!AY21</f>
        <v>0</v>
      </c>
      <c r="AZ21" s="159">
        <f>$A21*CAS_Component!AZ21</f>
        <v>0</v>
      </c>
      <c r="BA21" s="147">
        <f>$A21*CAS_Component!BA21</f>
        <v>0</v>
      </c>
      <c r="BB21" s="159">
        <f>$A21*CAS_Component!BB21</f>
        <v>0</v>
      </c>
      <c r="BC21" s="147">
        <f>$A21*CAS_Component!BC21</f>
        <v>0</v>
      </c>
      <c r="BD21" s="159">
        <f>$A21*CAS_Component!BD21</f>
        <v>0</v>
      </c>
      <c r="BE21" s="147">
        <f>$A21*CAS_Component!BE21</f>
        <v>0</v>
      </c>
      <c r="BF21" s="159">
        <f>$A21*CAS_Component!BF21</f>
        <v>0</v>
      </c>
      <c r="BG21" s="147">
        <f>$A21*CAS_Component!BG21</f>
        <v>0</v>
      </c>
      <c r="BH21" s="159">
        <f>$A21*CAS_Component!BH21</f>
        <v>0</v>
      </c>
      <c r="BI21" s="147">
        <f>$A21*CAS_Component!BI21</f>
        <v>0</v>
      </c>
      <c r="BJ21" s="159">
        <f>$A21*CAS_Component!BJ21</f>
        <v>0</v>
      </c>
      <c r="BK21" s="147">
        <f>$A21*CAS_Component!BK21</f>
        <v>0</v>
      </c>
      <c r="BL21" s="159">
        <f>$A21*CAS_Component!BL21</f>
        <v>0</v>
      </c>
      <c r="BM21" s="147">
        <f>$A21*CAS_Component!BM21</f>
        <v>0</v>
      </c>
      <c r="BN21" s="159">
        <f>$A21*CAS_Component!BN21</f>
        <v>0</v>
      </c>
      <c r="BO21" s="147">
        <f>$A21*CAS_Component!BO21</f>
        <v>0</v>
      </c>
      <c r="BP21" s="159">
        <f>$A21*CAS_Component!BP21</f>
        <v>0</v>
      </c>
      <c r="BQ21" s="147">
        <f>$A21*CAS_Component!BQ21</f>
        <v>0</v>
      </c>
      <c r="BR21" s="159">
        <f>$A21*CAS_Component!BR21</f>
        <v>0</v>
      </c>
      <c r="BS21" s="147">
        <f>$A21*CAS_Component!BS21</f>
        <v>0</v>
      </c>
      <c r="BT21" s="159">
        <f>$A21*CAS_Component!BT21</f>
        <v>0</v>
      </c>
      <c r="BU21" s="147">
        <f>$A21*CAS_Component!BU21</f>
        <v>0</v>
      </c>
      <c r="BV21" s="159">
        <f>$A21*CAS_Component!BV21</f>
        <v>0</v>
      </c>
      <c r="BW21" s="147">
        <f>$A21*CAS_Component!BW21</f>
        <v>0</v>
      </c>
      <c r="BX21" s="159">
        <f>$A21*CAS_Component!BX21</f>
        <v>0</v>
      </c>
      <c r="BY21" s="147">
        <f>$A21*CAS_Component!BY21</f>
        <v>0</v>
      </c>
      <c r="BZ21" s="159">
        <f>$A21*CAS_Component!BZ21</f>
        <v>0</v>
      </c>
      <c r="CA21" s="147">
        <f>$A21*CAS_Component!CA21</f>
        <v>0</v>
      </c>
      <c r="CB21" s="159">
        <f>$A21*CAS_Component!CB21</f>
        <v>0</v>
      </c>
    </row>
    <row r="22" spans="1:80">
      <c r="A22" s="69">
        <v>1</v>
      </c>
      <c r="B22" s="68" t="s">
        <v>449</v>
      </c>
      <c r="C22" s="67">
        <v>56699</v>
      </c>
      <c r="D22" s="159">
        <f t="shared" si="3"/>
        <v>58760</v>
      </c>
      <c r="E22" s="147">
        <v>0</v>
      </c>
      <c r="F22" s="159">
        <f>$A22*CAS_Component!F22</f>
        <v>0</v>
      </c>
      <c r="G22" s="147">
        <f>$A22*CAS_Component!G22</f>
        <v>0</v>
      </c>
      <c r="H22" s="159">
        <f>$A22*CAS_Component!H22</f>
        <v>0</v>
      </c>
      <c r="I22" s="147">
        <f>$A22*CAS_Component!I22</f>
        <v>0</v>
      </c>
      <c r="J22" s="159">
        <f>$A22*CAS_Component!J22</f>
        <v>0</v>
      </c>
      <c r="K22" s="147">
        <f>$A22*CAS_Component!K22</f>
        <v>0</v>
      </c>
      <c r="L22" s="159">
        <f>$A22*CAS_Component!L22</f>
        <v>0</v>
      </c>
      <c r="M22" s="147">
        <f>$A22*CAS_Component!M22</f>
        <v>0</v>
      </c>
      <c r="N22" s="159">
        <f>$A22*CAS_Component!N22</f>
        <v>0</v>
      </c>
      <c r="O22" s="147">
        <f>$A22*CAS_Component!O22</f>
        <v>0</v>
      </c>
      <c r="P22" s="159">
        <f>$A22*CAS_Component!P22</f>
        <v>0</v>
      </c>
      <c r="Q22" s="147">
        <f>$A22*CAS_Component!Q22</f>
        <v>0</v>
      </c>
      <c r="R22" s="159">
        <f>$A22*CAS_Component!R22</f>
        <v>0</v>
      </c>
      <c r="S22" s="147">
        <f>$A22*CAS_Component!S22</f>
        <v>0</v>
      </c>
      <c r="T22" s="159">
        <f>$A22*CAS_Component!T22</f>
        <v>0</v>
      </c>
      <c r="U22" s="147">
        <f>$A22*CAS_Component!U22</f>
        <v>0</v>
      </c>
      <c r="V22" s="159">
        <f>$A22*CAS_Component!V22</f>
        <v>0</v>
      </c>
      <c r="W22" s="147">
        <f>$A22*CAS_Component!W22</f>
        <v>0</v>
      </c>
      <c r="X22" s="159">
        <f>$A22*CAS_Component!X22</f>
        <v>0</v>
      </c>
      <c r="Y22" s="147">
        <f>$A22*CAS_Component!Y22</f>
        <v>0</v>
      </c>
      <c r="Z22" s="159">
        <f>$A22*CAS_Component!Z22</f>
        <v>0</v>
      </c>
      <c r="AA22" s="147">
        <f>$A22*CAS_Component!AA22</f>
        <v>0</v>
      </c>
      <c r="AB22" s="159">
        <f>$A22*CAS_Component!AB22</f>
        <v>0</v>
      </c>
      <c r="AC22" s="147">
        <f>$A22*CAS_Component!AC22</f>
        <v>0</v>
      </c>
      <c r="AD22" s="159">
        <f>$A22*CAS_Component!AD22</f>
        <v>0</v>
      </c>
      <c r="AE22" s="147">
        <f>$A22*CAS_Component!AE22</f>
        <v>0</v>
      </c>
      <c r="AF22" s="159">
        <f>$A22*CAS_Component!AF22</f>
        <v>0</v>
      </c>
      <c r="AG22" s="147">
        <f>$A22*CAS_Component!AG22</f>
        <v>0</v>
      </c>
      <c r="AH22" s="159">
        <f>$A22*CAS_Component!AH22</f>
        <v>58760</v>
      </c>
      <c r="AI22" s="147">
        <f>$A22*CAS_Component!AI22</f>
        <v>0</v>
      </c>
      <c r="AJ22" s="159">
        <f>$A22*CAS_Component!AJ22</f>
        <v>0</v>
      </c>
      <c r="AK22" s="147">
        <f>$A22*CAS_Component!AK22</f>
        <v>0</v>
      </c>
      <c r="AL22" s="159">
        <f>$A22*CAS_Component!AL22</f>
        <v>0</v>
      </c>
      <c r="AM22" s="147">
        <f>$A22*CAS_Component!AM22</f>
        <v>0</v>
      </c>
      <c r="AN22" s="159">
        <f>$A22*CAS_Component!AN22</f>
        <v>0</v>
      </c>
      <c r="AO22" s="147">
        <f>$A22*CAS_Component!AO22</f>
        <v>0</v>
      </c>
      <c r="AP22" s="159">
        <f>$A22*CAS_Component!AP22</f>
        <v>0</v>
      </c>
      <c r="AQ22" s="147">
        <f>$A22*CAS_Component!AQ22</f>
        <v>0</v>
      </c>
      <c r="AR22" s="159">
        <f>$A22*CAS_Component!AR22</f>
        <v>0</v>
      </c>
      <c r="AS22" s="147">
        <f>$A22*CAS_Component!AS22</f>
        <v>0</v>
      </c>
      <c r="AT22" s="159">
        <f>$A22*CAS_Component!AT22</f>
        <v>0</v>
      </c>
      <c r="AU22" s="147">
        <f>$A22*CAS_Component!AU22</f>
        <v>0</v>
      </c>
      <c r="AV22" s="159">
        <f>$A22*CAS_Component!AV22</f>
        <v>0</v>
      </c>
      <c r="AW22" s="147">
        <f>$A22*CAS_Component!AW22</f>
        <v>0</v>
      </c>
      <c r="AX22" s="159">
        <f>$A22*CAS_Component!AX22</f>
        <v>0</v>
      </c>
      <c r="AY22" s="147">
        <f>$A22*CAS_Component!AY22</f>
        <v>0</v>
      </c>
      <c r="AZ22" s="159">
        <f>$A22*CAS_Component!AZ22</f>
        <v>0</v>
      </c>
      <c r="BA22" s="147">
        <f>$A22*CAS_Component!BA22</f>
        <v>0</v>
      </c>
      <c r="BB22" s="159">
        <f>$A22*CAS_Component!BB22</f>
        <v>0</v>
      </c>
      <c r="BC22" s="147">
        <f>$A22*CAS_Component!BC22</f>
        <v>0</v>
      </c>
      <c r="BD22" s="159">
        <f>$A22*CAS_Component!BD22</f>
        <v>0</v>
      </c>
      <c r="BE22" s="147">
        <f>$A22*CAS_Component!BE22</f>
        <v>0</v>
      </c>
      <c r="BF22" s="159">
        <f>$A22*CAS_Component!BF22</f>
        <v>0</v>
      </c>
      <c r="BG22" s="147">
        <f>$A22*CAS_Component!BG22</f>
        <v>0</v>
      </c>
      <c r="BH22" s="159">
        <f>$A22*CAS_Component!BH22</f>
        <v>0</v>
      </c>
      <c r="BI22" s="147">
        <f>$A22*CAS_Component!BI22</f>
        <v>0</v>
      </c>
      <c r="BJ22" s="159">
        <f>$A22*CAS_Component!BJ22</f>
        <v>0</v>
      </c>
      <c r="BK22" s="147">
        <f>$A22*CAS_Component!BK22</f>
        <v>0</v>
      </c>
      <c r="BL22" s="159">
        <f>$A22*CAS_Component!BL22</f>
        <v>0</v>
      </c>
      <c r="BM22" s="147">
        <f>$A22*CAS_Component!BM22</f>
        <v>0</v>
      </c>
      <c r="BN22" s="159">
        <f>$A22*CAS_Component!BN22</f>
        <v>0</v>
      </c>
      <c r="BO22" s="147">
        <f>$A22*CAS_Component!BO22</f>
        <v>0</v>
      </c>
      <c r="BP22" s="159">
        <f>$A22*CAS_Component!BP22</f>
        <v>0</v>
      </c>
      <c r="BQ22" s="147">
        <f>$A22*CAS_Component!BQ22</f>
        <v>0</v>
      </c>
      <c r="BR22" s="159">
        <f>$A22*CAS_Component!BR22</f>
        <v>0</v>
      </c>
      <c r="BS22" s="147">
        <f>$A22*CAS_Component!BS22</f>
        <v>0</v>
      </c>
      <c r="BT22" s="159">
        <f>$A22*CAS_Component!BT22</f>
        <v>0</v>
      </c>
      <c r="BU22" s="147">
        <f>$A22*CAS_Component!BU22</f>
        <v>0</v>
      </c>
      <c r="BV22" s="159">
        <f>$A22*CAS_Component!BV22</f>
        <v>0</v>
      </c>
      <c r="BW22" s="147">
        <f>$A22*CAS_Component!BW22</f>
        <v>0</v>
      </c>
      <c r="BX22" s="159">
        <f>$A22*CAS_Component!BX22</f>
        <v>0</v>
      </c>
      <c r="BY22" s="147">
        <f>$A22*CAS_Component!BY22</f>
        <v>0</v>
      </c>
      <c r="BZ22" s="159">
        <f>$A22*CAS_Component!BZ22</f>
        <v>0</v>
      </c>
      <c r="CA22" s="147">
        <f>$A22*CAS_Component!CA22</f>
        <v>0</v>
      </c>
      <c r="CB22" s="159">
        <f>$A22*CAS_Component!CB22</f>
        <v>0</v>
      </c>
    </row>
    <row r="23" spans="1:80">
      <c r="A23" s="69">
        <v>1</v>
      </c>
      <c r="B23" s="68" t="s">
        <v>442</v>
      </c>
      <c r="C23" s="67">
        <f>CAS_Component!C23</f>
        <v>5500</v>
      </c>
      <c r="D23" s="159">
        <f t="shared" si="3"/>
        <v>5500</v>
      </c>
      <c r="E23" s="147">
        <f>A23*CAS_Component!E23</f>
        <v>0</v>
      </c>
      <c r="F23" s="159">
        <f>$A23*CAS_Component!F23</f>
        <v>0</v>
      </c>
      <c r="G23" s="147">
        <f>$A23*CAS_Component!G23</f>
        <v>0</v>
      </c>
      <c r="H23" s="159">
        <f>$A23*CAS_Component!H23</f>
        <v>0</v>
      </c>
      <c r="I23" s="147">
        <f>$A23*CAS_Component!I23</f>
        <v>0</v>
      </c>
      <c r="J23" s="159">
        <f>$A23*CAS_Component!J23</f>
        <v>0</v>
      </c>
      <c r="K23" s="147">
        <f>$A23*CAS_Component!K23</f>
        <v>0</v>
      </c>
      <c r="L23" s="159">
        <f>$A23*CAS_Component!L23</f>
        <v>900</v>
      </c>
      <c r="M23" s="147">
        <f>$A23*CAS_Component!M23</f>
        <v>0</v>
      </c>
      <c r="N23" s="159">
        <f>$A23*CAS_Component!N23</f>
        <v>0</v>
      </c>
      <c r="O23" s="147">
        <f>$A23*CAS_Component!O23</f>
        <v>0</v>
      </c>
      <c r="P23" s="159">
        <f>$A23*CAS_Component!P23</f>
        <v>0</v>
      </c>
      <c r="Q23" s="147">
        <f>$A23*CAS_Component!Q23</f>
        <v>0</v>
      </c>
      <c r="R23" s="159">
        <f>$A23*CAS_Component!R23</f>
        <v>2200</v>
      </c>
      <c r="S23" s="147">
        <f>$A23*CAS_Component!S23</f>
        <v>0</v>
      </c>
      <c r="T23" s="159">
        <f>$A23*CAS_Component!T23</f>
        <v>0</v>
      </c>
      <c r="U23" s="147">
        <f>$A23*CAS_Component!U23</f>
        <v>1200</v>
      </c>
      <c r="V23" s="159">
        <f>$A23*CAS_Component!V23</f>
        <v>0</v>
      </c>
      <c r="W23" s="147">
        <f>$A23*CAS_Component!W23</f>
        <v>0</v>
      </c>
      <c r="X23" s="159">
        <f>$A23*CAS_Component!X23</f>
        <v>0</v>
      </c>
      <c r="Y23" s="147">
        <f>$A23*CAS_Component!Y23</f>
        <v>0</v>
      </c>
      <c r="Z23" s="159">
        <f>$A23*CAS_Component!Z23</f>
        <v>0</v>
      </c>
      <c r="AA23" s="147">
        <f>$A23*CAS_Component!AA23</f>
        <v>0</v>
      </c>
      <c r="AB23" s="159">
        <f>$A23*CAS_Component!AB23</f>
        <v>0</v>
      </c>
      <c r="AC23" s="147">
        <f>$A23*CAS_Component!AC23</f>
        <v>0</v>
      </c>
      <c r="AD23" s="159">
        <f>$A23*CAS_Component!AD23</f>
        <v>0</v>
      </c>
      <c r="AE23" s="147">
        <f>$A23*CAS_Component!AE23</f>
        <v>0</v>
      </c>
      <c r="AF23" s="159">
        <f>$A23*CAS_Component!AF23</f>
        <v>0</v>
      </c>
      <c r="AG23" s="147">
        <f>$A23*CAS_Component!AG23</f>
        <v>0</v>
      </c>
      <c r="AH23" s="159">
        <f>$A23*CAS_Component!AH23</f>
        <v>0</v>
      </c>
      <c r="AI23" s="147">
        <f>$A23*CAS_Component!AI23</f>
        <v>0</v>
      </c>
      <c r="AJ23" s="159">
        <f>$A23*CAS_Component!AJ23</f>
        <v>0</v>
      </c>
      <c r="AK23" s="147">
        <f>$A23*CAS_Component!AK23</f>
        <v>0</v>
      </c>
      <c r="AL23" s="159">
        <f>$A23*CAS_Component!AL23</f>
        <v>0</v>
      </c>
      <c r="AM23" s="147">
        <f>$A23*CAS_Component!AM23</f>
        <v>0</v>
      </c>
      <c r="AN23" s="159">
        <f>$A23*CAS_Component!AN23</f>
        <v>0</v>
      </c>
      <c r="AO23" s="147">
        <f>$A23*CAS_Component!AO23</f>
        <v>0</v>
      </c>
      <c r="AP23" s="159">
        <f>$A23*CAS_Component!AP23</f>
        <v>0</v>
      </c>
      <c r="AQ23" s="147">
        <f>$A23*CAS_Component!AQ23</f>
        <v>0</v>
      </c>
      <c r="AR23" s="159">
        <f>$A23*CAS_Component!AR23</f>
        <v>0</v>
      </c>
      <c r="AS23" s="147">
        <f>$A23*CAS_Component!AS23</f>
        <v>0</v>
      </c>
      <c r="AT23" s="159">
        <f>$A23*CAS_Component!AT23</f>
        <v>0</v>
      </c>
      <c r="AU23" s="147">
        <f>$A23*CAS_Component!AU23</f>
        <v>0</v>
      </c>
      <c r="AV23" s="159">
        <f>$A23*CAS_Component!AV23</f>
        <v>0</v>
      </c>
      <c r="AW23" s="147">
        <f>$A23*CAS_Component!AW23</f>
        <v>0</v>
      </c>
      <c r="AX23" s="159">
        <f>$A23*CAS_Component!AX23</f>
        <v>0</v>
      </c>
      <c r="AY23" s="147">
        <f>$A23*CAS_Component!AY23</f>
        <v>0</v>
      </c>
      <c r="AZ23" s="159">
        <f>$A23*CAS_Component!AZ23</f>
        <v>0</v>
      </c>
      <c r="BA23" s="147">
        <f>$A23*CAS_Component!BA23</f>
        <v>0</v>
      </c>
      <c r="BB23" s="159">
        <f>$A23*CAS_Component!BB23</f>
        <v>0</v>
      </c>
      <c r="BC23" s="147">
        <f>$A23*CAS_Component!BC23</f>
        <v>0</v>
      </c>
      <c r="BD23" s="159">
        <f>$A23*CAS_Component!BD23</f>
        <v>0</v>
      </c>
      <c r="BE23" s="147">
        <f>$A23*CAS_Component!BE23</f>
        <v>0</v>
      </c>
      <c r="BF23" s="159">
        <f>$A23*CAS_Component!BF23</f>
        <v>0</v>
      </c>
      <c r="BG23" s="147">
        <f>$A23*CAS_Component!BG23</f>
        <v>0</v>
      </c>
      <c r="BH23" s="159">
        <f>$A23*CAS_Component!BH23</f>
        <v>0</v>
      </c>
      <c r="BI23" s="147">
        <f>$A23*CAS_Component!BI23</f>
        <v>0</v>
      </c>
      <c r="BJ23" s="159">
        <f>$A23*CAS_Component!BJ23</f>
        <v>0</v>
      </c>
      <c r="BK23" s="147">
        <f>$A23*CAS_Component!BK23</f>
        <v>0</v>
      </c>
      <c r="BL23" s="159">
        <f>$A23*CAS_Component!BL23</f>
        <v>0</v>
      </c>
      <c r="BM23" s="147">
        <f>$A23*CAS_Component!BM23</f>
        <v>0</v>
      </c>
      <c r="BN23" s="159">
        <f>$A23*CAS_Component!BN23</f>
        <v>0</v>
      </c>
      <c r="BO23" s="147">
        <f>$A23*CAS_Component!BO23</f>
        <v>0</v>
      </c>
      <c r="BP23" s="159">
        <f>$A23*CAS_Component!BP23</f>
        <v>0</v>
      </c>
      <c r="BQ23" s="147">
        <f>$A23*CAS_Component!BQ23</f>
        <v>0</v>
      </c>
      <c r="BR23" s="159">
        <f>$A23*CAS_Component!BR23</f>
        <v>0</v>
      </c>
      <c r="BS23" s="147">
        <f>$A23*CAS_Component!BS23</f>
        <v>0</v>
      </c>
      <c r="BT23" s="159">
        <f>$A23*CAS_Component!BT23</f>
        <v>0</v>
      </c>
      <c r="BU23" s="147">
        <f>$A23*CAS_Component!BU23</f>
        <v>0</v>
      </c>
      <c r="BV23" s="159">
        <f>$A23*CAS_Component!BV23</f>
        <v>0</v>
      </c>
      <c r="BW23" s="147">
        <f>$A23*CAS_Component!BW23</f>
        <v>0</v>
      </c>
      <c r="BX23" s="159">
        <f>$A23*CAS_Component!BX23</f>
        <v>0</v>
      </c>
      <c r="BY23" s="147">
        <f>$A23*CAS_Component!BY23</f>
        <v>0</v>
      </c>
      <c r="BZ23" s="159">
        <f>$A23*CAS_Component!BZ23</f>
        <v>1200</v>
      </c>
      <c r="CA23" s="147">
        <f>$A23*CAS_Component!CA23</f>
        <v>0</v>
      </c>
      <c r="CB23" s="159">
        <f>$A23*CAS_Component!CB23</f>
        <v>0</v>
      </c>
    </row>
    <row r="24" spans="1:80">
      <c r="A24" s="69">
        <v>2</v>
      </c>
      <c r="B24" s="68" t="s">
        <v>434</v>
      </c>
      <c r="C24" s="67">
        <v>0</v>
      </c>
      <c r="D24" s="159">
        <f t="shared" si="3"/>
        <v>0</v>
      </c>
      <c r="E24" s="147">
        <v>0</v>
      </c>
      <c r="F24" s="159">
        <f>$A24*CAS_Component!F24</f>
        <v>0</v>
      </c>
      <c r="G24" s="147">
        <f>$A24*CAS_Component!G24</f>
        <v>0</v>
      </c>
      <c r="H24" s="159">
        <f>$A24*CAS_Component!H24</f>
        <v>0</v>
      </c>
      <c r="I24" s="147">
        <f>$A24*CAS_Component!I24</f>
        <v>0</v>
      </c>
      <c r="J24" s="159">
        <f>$A24*CAS_Component!J24</f>
        <v>0</v>
      </c>
      <c r="K24" s="147">
        <f>$A24*CAS_Component!K24</f>
        <v>0</v>
      </c>
      <c r="L24" s="159">
        <f>$A24*CAS_Component!L24</f>
        <v>0</v>
      </c>
      <c r="M24" s="147">
        <f>$A24*CAS_Component!M24</f>
        <v>0</v>
      </c>
      <c r="N24" s="159">
        <f>$A24*CAS_Component!N24</f>
        <v>0</v>
      </c>
      <c r="O24" s="147">
        <f>$A24*CAS_Component!O24</f>
        <v>0</v>
      </c>
      <c r="P24" s="159">
        <f>$A24*CAS_Component!P24</f>
        <v>0</v>
      </c>
      <c r="Q24" s="147">
        <f>$A24*CAS_Component!Q24</f>
        <v>0</v>
      </c>
      <c r="R24" s="159">
        <f>$A24*CAS_Component!R24</f>
        <v>0</v>
      </c>
      <c r="S24" s="147">
        <f>$A24*CAS_Component!S24</f>
        <v>0</v>
      </c>
      <c r="T24" s="159">
        <f>$A24*CAS_Component!T24</f>
        <v>0</v>
      </c>
      <c r="U24" s="147">
        <f>$A24*CAS_Component!U24</f>
        <v>0</v>
      </c>
      <c r="V24" s="159">
        <f>$A24*CAS_Component!V24</f>
        <v>0</v>
      </c>
      <c r="W24" s="147">
        <f>$A24*CAS_Component!W24</f>
        <v>0</v>
      </c>
      <c r="X24" s="159">
        <f>$A24*CAS_Component!X24</f>
        <v>0</v>
      </c>
      <c r="Y24" s="147">
        <f>$A24*CAS_Component!Y24</f>
        <v>0</v>
      </c>
      <c r="Z24" s="159">
        <f>$A24*CAS_Component!Z24</f>
        <v>0</v>
      </c>
      <c r="AA24" s="147">
        <f>$A24*CAS_Component!AA24</f>
        <v>0</v>
      </c>
      <c r="AB24" s="159">
        <f>$A24*CAS_Component!AB24</f>
        <v>0</v>
      </c>
      <c r="AC24" s="147">
        <f>$A24*CAS_Component!AC24</f>
        <v>0</v>
      </c>
      <c r="AD24" s="159">
        <f>$A24*CAS_Component!AD24</f>
        <v>0</v>
      </c>
      <c r="AE24" s="147">
        <f>$A24*CAS_Component!AE24</f>
        <v>0</v>
      </c>
      <c r="AF24" s="159">
        <f>$A24*CAS_Component!AF24</f>
        <v>0</v>
      </c>
      <c r="AG24" s="147">
        <f>$A24*CAS_Component!AG24</f>
        <v>0</v>
      </c>
      <c r="AH24" s="159">
        <f>$A24*CAS_Component!AH24</f>
        <v>0</v>
      </c>
      <c r="AI24" s="147">
        <f>$A24*CAS_Component!AI24</f>
        <v>0</v>
      </c>
      <c r="AJ24" s="159">
        <f>$A24*CAS_Component!AJ24</f>
        <v>0</v>
      </c>
      <c r="AK24" s="147">
        <f>$A24*CAS_Component!AK24</f>
        <v>0</v>
      </c>
      <c r="AL24" s="159">
        <f>$A24*CAS_Component!AL24</f>
        <v>0</v>
      </c>
      <c r="AM24" s="147">
        <f>$A24*CAS_Component!AM24</f>
        <v>0</v>
      </c>
      <c r="AN24" s="159">
        <f>$A24*CAS_Component!AN24</f>
        <v>0</v>
      </c>
      <c r="AO24" s="147">
        <f>$A24*CAS_Component!AO24</f>
        <v>0</v>
      </c>
      <c r="AP24" s="159">
        <f>$A24*CAS_Component!AP24</f>
        <v>0</v>
      </c>
      <c r="AQ24" s="147">
        <f>$A24*CAS_Component!AQ24</f>
        <v>0</v>
      </c>
      <c r="AR24" s="159">
        <f>$A24*CAS_Component!AR24</f>
        <v>0</v>
      </c>
      <c r="AS24" s="147">
        <f>$A24*CAS_Component!AS24</f>
        <v>0</v>
      </c>
      <c r="AT24" s="159">
        <f>$A24*CAS_Component!AT24</f>
        <v>0</v>
      </c>
      <c r="AU24" s="147">
        <f>$A24*CAS_Component!AU24</f>
        <v>0</v>
      </c>
      <c r="AV24" s="159">
        <f>$A24*CAS_Component!AV24</f>
        <v>0</v>
      </c>
      <c r="AW24" s="147">
        <f>$A24*CAS_Component!AW24</f>
        <v>0</v>
      </c>
      <c r="AX24" s="159">
        <f>$A24*CAS_Component!AX24</f>
        <v>0</v>
      </c>
      <c r="AY24" s="147">
        <f>$A24*CAS_Component!AY24</f>
        <v>0</v>
      </c>
      <c r="AZ24" s="159">
        <f>$A24*CAS_Component!AZ24</f>
        <v>0</v>
      </c>
      <c r="BA24" s="147">
        <f>$A24*CAS_Component!BA24</f>
        <v>0</v>
      </c>
      <c r="BB24" s="159">
        <f>$A24*CAS_Component!BB24</f>
        <v>0</v>
      </c>
      <c r="BC24" s="147">
        <f>$A24*CAS_Component!BC24</f>
        <v>0</v>
      </c>
      <c r="BD24" s="159">
        <f>$A24*CAS_Component!BD24</f>
        <v>0</v>
      </c>
      <c r="BE24" s="147">
        <f>$A24*CAS_Component!BE24</f>
        <v>0</v>
      </c>
      <c r="BF24" s="159">
        <f>$A24*CAS_Component!BF24</f>
        <v>0</v>
      </c>
      <c r="BG24" s="147">
        <f>$A24*CAS_Component!BG24</f>
        <v>0</v>
      </c>
      <c r="BH24" s="159">
        <f>$A24*CAS_Component!BH24</f>
        <v>0</v>
      </c>
      <c r="BI24" s="147">
        <f>$A24*CAS_Component!BI24</f>
        <v>0</v>
      </c>
      <c r="BJ24" s="159">
        <f>$A24*CAS_Component!BJ24</f>
        <v>0</v>
      </c>
      <c r="BK24" s="147">
        <f>$A24*CAS_Component!BK24</f>
        <v>0</v>
      </c>
      <c r="BL24" s="159">
        <f>$A24*CAS_Component!BL24</f>
        <v>0</v>
      </c>
      <c r="BM24" s="147">
        <f>$A24*CAS_Component!BM24</f>
        <v>0</v>
      </c>
      <c r="BN24" s="159">
        <f>$A24*CAS_Component!BN24</f>
        <v>0</v>
      </c>
      <c r="BO24" s="147">
        <f>$A24*CAS_Component!BO24</f>
        <v>0</v>
      </c>
      <c r="BP24" s="159">
        <f>$A24*CAS_Component!BP24</f>
        <v>0</v>
      </c>
      <c r="BQ24" s="147">
        <f>$A24*CAS_Component!BQ24</f>
        <v>0</v>
      </c>
      <c r="BR24" s="159">
        <f>$A24*CAS_Component!BR24</f>
        <v>0</v>
      </c>
      <c r="BS24" s="147">
        <f>$A24*CAS_Component!BS24</f>
        <v>0</v>
      </c>
      <c r="BT24" s="159">
        <f>$A24*CAS_Component!BT24</f>
        <v>0</v>
      </c>
      <c r="BU24" s="147">
        <f>$A24*CAS_Component!BU24</f>
        <v>0</v>
      </c>
      <c r="BV24" s="159">
        <f>$A24*CAS_Component!BV24</f>
        <v>0</v>
      </c>
      <c r="BW24" s="147">
        <f>$A24*CAS_Component!BW24</f>
        <v>0</v>
      </c>
      <c r="BX24" s="159">
        <f>$A24*CAS_Component!BX24</f>
        <v>0</v>
      </c>
      <c r="BY24" s="147">
        <f>$A24*CAS_Component!BY24</f>
        <v>0</v>
      </c>
      <c r="BZ24" s="159">
        <f>$A24*CAS_Component!BZ24</f>
        <v>0</v>
      </c>
      <c r="CA24" s="147">
        <f>$A24*CAS_Component!CA24</f>
        <v>0</v>
      </c>
      <c r="CB24" s="159">
        <f>$A24*CAS_Component!CB24</f>
        <v>0</v>
      </c>
    </row>
    <row r="25" spans="1:80">
      <c r="A25" s="69">
        <v>2</v>
      </c>
      <c r="B25" s="68">
        <v>8197</v>
      </c>
      <c r="C25" s="67">
        <v>1810</v>
      </c>
      <c r="D25" s="159">
        <f t="shared" si="3"/>
        <v>3620</v>
      </c>
      <c r="E25" s="147">
        <v>0</v>
      </c>
      <c r="F25" s="159">
        <f>$A25*CAS_Component!F25</f>
        <v>0</v>
      </c>
      <c r="G25" s="147">
        <f>$A25*CAS_Component!G25</f>
        <v>0</v>
      </c>
      <c r="H25" s="159">
        <f>$A25*CAS_Component!H25</f>
        <v>0</v>
      </c>
      <c r="I25" s="147">
        <f>$A25*CAS_Component!I25</f>
        <v>0</v>
      </c>
      <c r="J25" s="159">
        <f>$A25*CAS_Component!J25</f>
        <v>0</v>
      </c>
      <c r="K25" s="147">
        <f>$A25*CAS_Component!K25</f>
        <v>0</v>
      </c>
      <c r="L25" s="159">
        <f>$A25*CAS_Component!L25</f>
        <v>1086</v>
      </c>
      <c r="M25" s="147">
        <f>$A25*CAS_Component!M25</f>
        <v>0</v>
      </c>
      <c r="N25" s="159">
        <f>$A25*CAS_Component!N25</f>
        <v>0</v>
      </c>
      <c r="O25" s="147">
        <f>$A25*CAS_Component!O25</f>
        <v>0</v>
      </c>
      <c r="P25" s="159">
        <f>$A25*CAS_Component!P25</f>
        <v>2534</v>
      </c>
      <c r="Q25" s="147">
        <f>$A25*CAS_Component!Q25</f>
        <v>0</v>
      </c>
      <c r="R25" s="159">
        <f>$A25*CAS_Component!R25</f>
        <v>0</v>
      </c>
      <c r="S25" s="147">
        <f>$A25*CAS_Component!S25</f>
        <v>0</v>
      </c>
      <c r="T25" s="159">
        <f>$A25*CAS_Component!T25</f>
        <v>0</v>
      </c>
      <c r="U25" s="147">
        <f>$A25*CAS_Component!U25</f>
        <v>0</v>
      </c>
      <c r="V25" s="159">
        <f>$A25*CAS_Component!V25</f>
        <v>0</v>
      </c>
      <c r="W25" s="147">
        <f>$A25*CAS_Component!W25</f>
        <v>0</v>
      </c>
      <c r="X25" s="159">
        <f>$A25*CAS_Component!X25</f>
        <v>0</v>
      </c>
      <c r="Y25" s="147">
        <f>$A25*CAS_Component!Y25</f>
        <v>0</v>
      </c>
      <c r="Z25" s="159">
        <f>$A25*CAS_Component!Z25</f>
        <v>0</v>
      </c>
      <c r="AA25" s="147">
        <f>$A25*CAS_Component!AA25</f>
        <v>0</v>
      </c>
      <c r="AB25" s="159">
        <f>$A25*CAS_Component!AB25</f>
        <v>0</v>
      </c>
      <c r="AC25" s="147">
        <f>$A25*CAS_Component!AC25</f>
        <v>0</v>
      </c>
      <c r="AD25" s="159">
        <f>$A25*CAS_Component!AD25</f>
        <v>0</v>
      </c>
      <c r="AE25" s="147">
        <f>$A25*CAS_Component!AE25</f>
        <v>0</v>
      </c>
      <c r="AF25" s="159">
        <f>$A25*CAS_Component!AF25</f>
        <v>0</v>
      </c>
      <c r="AG25" s="147">
        <f>$A25*CAS_Component!AG25</f>
        <v>0</v>
      </c>
      <c r="AH25" s="159">
        <f>$A25*CAS_Component!AH25</f>
        <v>0</v>
      </c>
      <c r="AI25" s="147">
        <f>$A25*CAS_Component!AI25</f>
        <v>0</v>
      </c>
      <c r="AJ25" s="159">
        <f>$A25*CAS_Component!AJ25</f>
        <v>0</v>
      </c>
      <c r="AK25" s="147">
        <f>$A25*CAS_Component!AK25</f>
        <v>0</v>
      </c>
      <c r="AL25" s="159">
        <f>$A25*CAS_Component!AL25</f>
        <v>0</v>
      </c>
      <c r="AM25" s="147">
        <f>$A25*CAS_Component!AM25</f>
        <v>0</v>
      </c>
      <c r="AN25" s="159">
        <f>$A25*CAS_Component!AN25</f>
        <v>0</v>
      </c>
      <c r="AO25" s="147">
        <f>$A25*CAS_Component!AO25</f>
        <v>0</v>
      </c>
      <c r="AP25" s="159">
        <f>$A25*CAS_Component!AP25</f>
        <v>0</v>
      </c>
      <c r="AQ25" s="147">
        <f>$A25*CAS_Component!AQ25</f>
        <v>0</v>
      </c>
      <c r="AR25" s="159">
        <f>$A25*CAS_Component!AR25</f>
        <v>0</v>
      </c>
      <c r="AS25" s="147">
        <f>$A25*CAS_Component!AS25</f>
        <v>0</v>
      </c>
      <c r="AT25" s="159">
        <f>$A25*CAS_Component!AT25</f>
        <v>0</v>
      </c>
      <c r="AU25" s="147">
        <f>$A25*CAS_Component!AU25</f>
        <v>0</v>
      </c>
      <c r="AV25" s="159">
        <f>$A25*CAS_Component!AV25</f>
        <v>0</v>
      </c>
      <c r="AW25" s="147">
        <f>$A25*CAS_Component!AW25</f>
        <v>0</v>
      </c>
      <c r="AX25" s="159">
        <f>$A25*CAS_Component!AX25</f>
        <v>0</v>
      </c>
      <c r="AY25" s="147">
        <f>$A25*CAS_Component!AY25</f>
        <v>0</v>
      </c>
      <c r="AZ25" s="159">
        <f>$A25*CAS_Component!AZ25</f>
        <v>0</v>
      </c>
      <c r="BA25" s="147">
        <f>$A25*CAS_Component!BA25</f>
        <v>0</v>
      </c>
      <c r="BB25" s="159">
        <f>$A25*CAS_Component!BB25</f>
        <v>0</v>
      </c>
      <c r="BC25" s="147">
        <f>$A25*CAS_Component!BC25</f>
        <v>0</v>
      </c>
      <c r="BD25" s="159">
        <f>$A25*CAS_Component!BD25</f>
        <v>0</v>
      </c>
      <c r="BE25" s="147">
        <f>$A25*CAS_Component!BE25</f>
        <v>0</v>
      </c>
      <c r="BF25" s="159">
        <f>$A25*CAS_Component!BF25</f>
        <v>0</v>
      </c>
      <c r="BG25" s="147">
        <f>$A25*CAS_Component!BG25</f>
        <v>0</v>
      </c>
      <c r="BH25" s="159">
        <f>$A25*CAS_Component!BH25</f>
        <v>0</v>
      </c>
      <c r="BI25" s="147">
        <f>$A25*CAS_Component!BI25</f>
        <v>0</v>
      </c>
      <c r="BJ25" s="159">
        <f>$A25*CAS_Component!BJ25</f>
        <v>0</v>
      </c>
      <c r="BK25" s="147">
        <f>$A25*CAS_Component!BK25</f>
        <v>0</v>
      </c>
      <c r="BL25" s="159">
        <f>$A25*CAS_Component!BL25</f>
        <v>0</v>
      </c>
      <c r="BM25" s="147">
        <f>$A25*CAS_Component!BM25</f>
        <v>0</v>
      </c>
      <c r="BN25" s="159">
        <f>$A25*CAS_Component!BN25</f>
        <v>0</v>
      </c>
      <c r="BO25" s="147">
        <f>$A25*CAS_Component!BO25</f>
        <v>0</v>
      </c>
      <c r="BP25" s="159">
        <f>$A25*CAS_Component!BP25</f>
        <v>0</v>
      </c>
      <c r="BQ25" s="147">
        <f>$A25*CAS_Component!BQ25</f>
        <v>0</v>
      </c>
      <c r="BR25" s="159">
        <f>$A25*CAS_Component!BR25</f>
        <v>0</v>
      </c>
      <c r="BS25" s="147">
        <f>$A25*CAS_Component!BS25</f>
        <v>0</v>
      </c>
      <c r="BT25" s="159">
        <f>$A25*CAS_Component!BT25</f>
        <v>0</v>
      </c>
      <c r="BU25" s="147">
        <f>$A25*CAS_Component!BU25</f>
        <v>0</v>
      </c>
      <c r="BV25" s="159">
        <f>$A25*CAS_Component!BV25</f>
        <v>0</v>
      </c>
      <c r="BW25" s="147">
        <f>$A25*CAS_Component!BW25</f>
        <v>0</v>
      </c>
      <c r="BX25" s="159">
        <f>$A25*CAS_Component!BX25</f>
        <v>0</v>
      </c>
      <c r="BY25" s="147">
        <f>$A25*CAS_Component!BY25</f>
        <v>0</v>
      </c>
      <c r="BZ25" s="159">
        <f>$A25*CAS_Component!BZ25</f>
        <v>0</v>
      </c>
      <c r="CA25" s="147">
        <f>$A25*CAS_Component!CA25</f>
        <v>0</v>
      </c>
      <c r="CB25" s="159">
        <f>$A25*CAS_Component!CB25</f>
        <v>0</v>
      </c>
    </row>
    <row r="26" spans="1:80">
      <c r="A26" s="69">
        <v>1</v>
      </c>
      <c r="B26" s="68">
        <v>505462</v>
      </c>
      <c r="C26" s="67"/>
      <c r="D26" s="159">
        <f t="shared" si="3"/>
        <v>0</v>
      </c>
      <c r="E26" s="147">
        <f>A26*CAS_Component!E26</f>
        <v>0</v>
      </c>
      <c r="F26" s="159">
        <f>$A26*CAS_Component!F26</f>
        <v>0</v>
      </c>
      <c r="G26" s="147">
        <f>$A26*CAS_Component!G26</f>
        <v>0</v>
      </c>
      <c r="H26" s="159">
        <f>$A26*CAS_Component!H26</f>
        <v>0</v>
      </c>
      <c r="I26" s="147">
        <f>$A26*CAS_Component!I26</f>
        <v>0</v>
      </c>
      <c r="J26" s="159">
        <f>$A26*CAS_Component!J26</f>
        <v>0</v>
      </c>
      <c r="K26" s="147">
        <f>$A26*CAS_Component!K26</f>
        <v>0</v>
      </c>
      <c r="L26" s="159">
        <f>$A26*CAS_Component!L26</f>
        <v>0</v>
      </c>
      <c r="M26" s="147">
        <f>$A26*CAS_Component!M26</f>
        <v>0</v>
      </c>
      <c r="N26" s="159">
        <f>$A26*CAS_Component!N26</f>
        <v>0</v>
      </c>
      <c r="O26" s="147">
        <f>$A26*CAS_Component!O26</f>
        <v>0</v>
      </c>
      <c r="P26" s="159">
        <f>$A26*CAS_Component!P26</f>
        <v>0</v>
      </c>
      <c r="Q26" s="147">
        <f>$A26*CAS_Component!Q26</f>
        <v>0</v>
      </c>
      <c r="R26" s="159">
        <f>$A26*CAS_Component!R26</f>
        <v>0</v>
      </c>
      <c r="S26" s="147">
        <f>$A26*CAS_Component!S26</f>
        <v>0</v>
      </c>
      <c r="T26" s="159">
        <f>$A26*CAS_Component!T26</f>
        <v>0</v>
      </c>
      <c r="U26" s="147">
        <f>$A26*CAS_Component!U26</f>
        <v>0</v>
      </c>
      <c r="V26" s="159">
        <f>$A26*CAS_Component!V26</f>
        <v>0</v>
      </c>
      <c r="W26" s="147">
        <f>$A26*CAS_Component!W26</f>
        <v>0</v>
      </c>
      <c r="X26" s="159">
        <f>$A26*CAS_Component!X26</f>
        <v>0</v>
      </c>
      <c r="Y26" s="147">
        <f>$A26*CAS_Component!Y26</f>
        <v>0</v>
      </c>
      <c r="Z26" s="159">
        <f>$A26*CAS_Component!Z26</f>
        <v>0</v>
      </c>
      <c r="AA26" s="147">
        <f>$A26*CAS_Component!AA26</f>
        <v>0</v>
      </c>
      <c r="AB26" s="159">
        <f>$A26*CAS_Component!AB26</f>
        <v>0</v>
      </c>
      <c r="AC26" s="147">
        <f>$A26*CAS_Component!AC26</f>
        <v>0</v>
      </c>
      <c r="AD26" s="159">
        <f>$A26*CAS_Component!AD26</f>
        <v>0</v>
      </c>
      <c r="AE26" s="147">
        <f>$A26*CAS_Component!AE26</f>
        <v>0</v>
      </c>
      <c r="AF26" s="159">
        <f>$A26*CAS_Component!AF26</f>
        <v>0</v>
      </c>
      <c r="AG26" s="147">
        <f>$A26*CAS_Component!AG26</f>
        <v>0</v>
      </c>
      <c r="AH26" s="159">
        <f>$A26*CAS_Component!AH26</f>
        <v>0</v>
      </c>
      <c r="AI26" s="147">
        <f>$A26*CAS_Component!AI26</f>
        <v>0</v>
      </c>
      <c r="AJ26" s="159">
        <f>$A26*CAS_Component!AJ26</f>
        <v>0</v>
      </c>
      <c r="AK26" s="147">
        <f>$A26*CAS_Component!AK26</f>
        <v>0</v>
      </c>
      <c r="AL26" s="159">
        <f>$A26*CAS_Component!AL26</f>
        <v>0</v>
      </c>
      <c r="AM26" s="147">
        <f>$A26*CAS_Component!AM26</f>
        <v>0</v>
      </c>
      <c r="AN26" s="159">
        <f>$A26*CAS_Component!AN26</f>
        <v>0</v>
      </c>
      <c r="AO26" s="147">
        <f>$A26*CAS_Component!AO26</f>
        <v>0</v>
      </c>
      <c r="AP26" s="159">
        <f>$A26*CAS_Component!AP26</f>
        <v>0</v>
      </c>
      <c r="AQ26" s="147">
        <f>$A26*CAS_Component!AQ26</f>
        <v>0</v>
      </c>
      <c r="AR26" s="159">
        <f>$A26*CAS_Component!AR26</f>
        <v>0</v>
      </c>
      <c r="AS26" s="147">
        <f>$A26*CAS_Component!AS26</f>
        <v>0</v>
      </c>
      <c r="AT26" s="159">
        <f>$A26*CAS_Component!AT26</f>
        <v>0</v>
      </c>
      <c r="AU26" s="147">
        <f>$A26*CAS_Component!AU26</f>
        <v>0</v>
      </c>
      <c r="AV26" s="159">
        <f>$A26*CAS_Component!AV26</f>
        <v>0</v>
      </c>
      <c r="AW26" s="147">
        <f>$A26*CAS_Component!AW26</f>
        <v>0</v>
      </c>
      <c r="AX26" s="159">
        <f>$A26*CAS_Component!AX26</f>
        <v>0</v>
      </c>
      <c r="AY26" s="147">
        <f>$A26*CAS_Component!AY26</f>
        <v>0</v>
      </c>
      <c r="AZ26" s="159">
        <f>$A26*CAS_Component!AZ26</f>
        <v>0</v>
      </c>
      <c r="BA26" s="147">
        <f>$A26*CAS_Component!BA26</f>
        <v>0</v>
      </c>
      <c r="BB26" s="159">
        <f>$A26*CAS_Component!BB26</f>
        <v>0</v>
      </c>
      <c r="BC26" s="147">
        <f>$A26*CAS_Component!BC26</f>
        <v>0</v>
      </c>
      <c r="BD26" s="159">
        <f>$A26*CAS_Component!BD26</f>
        <v>0</v>
      </c>
      <c r="BE26" s="147">
        <f>$A26*CAS_Component!BE26</f>
        <v>0</v>
      </c>
      <c r="BF26" s="159">
        <f>$A26*CAS_Component!BF26</f>
        <v>0</v>
      </c>
      <c r="BG26" s="147">
        <f>$A26*CAS_Component!BG26</f>
        <v>0</v>
      </c>
      <c r="BH26" s="159">
        <f>$A26*CAS_Component!BH26</f>
        <v>0</v>
      </c>
      <c r="BI26" s="147">
        <f>$A26*CAS_Component!BI26</f>
        <v>0</v>
      </c>
      <c r="BJ26" s="159">
        <f>$A26*CAS_Component!BJ26</f>
        <v>0</v>
      </c>
      <c r="BK26" s="147">
        <f>$A26*CAS_Component!BK26</f>
        <v>0</v>
      </c>
      <c r="BL26" s="159">
        <f>$A26*CAS_Component!BL26</f>
        <v>0</v>
      </c>
      <c r="BM26" s="147">
        <f>$A26*CAS_Component!BM26</f>
        <v>0</v>
      </c>
      <c r="BN26" s="159">
        <f>$A26*CAS_Component!BN26</f>
        <v>0</v>
      </c>
      <c r="BO26" s="147">
        <f>$A26*CAS_Component!BO26</f>
        <v>0</v>
      </c>
      <c r="BP26" s="159">
        <f>$A26*CAS_Component!BP26</f>
        <v>0</v>
      </c>
      <c r="BQ26" s="147">
        <f>$A26*CAS_Component!BQ26</f>
        <v>0</v>
      </c>
      <c r="BR26" s="159">
        <f>$A26*CAS_Component!BR26</f>
        <v>0</v>
      </c>
      <c r="BS26" s="147">
        <f>$A26*CAS_Component!BS26</f>
        <v>0</v>
      </c>
      <c r="BT26" s="159">
        <f>$A26*CAS_Component!BT26</f>
        <v>0</v>
      </c>
      <c r="BU26" s="147">
        <f>$A26*CAS_Component!BU26</f>
        <v>0</v>
      </c>
      <c r="BV26" s="159">
        <f>$A26*CAS_Component!BV26</f>
        <v>0</v>
      </c>
      <c r="BW26" s="147">
        <f>$A26*CAS_Component!BW26</f>
        <v>0</v>
      </c>
      <c r="BX26" s="159">
        <f>$A26*CAS_Component!BX26</f>
        <v>0</v>
      </c>
      <c r="BY26" s="147">
        <f>$A26*CAS_Component!BY26</f>
        <v>0</v>
      </c>
      <c r="BZ26" s="159">
        <f>$A26*CAS_Component!BZ26</f>
        <v>0</v>
      </c>
      <c r="CA26" s="147">
        <f>$A26*CAS_Component!CA26</f>
        <v>0</v>
      </c>
      <c r="CB26" s="159">
        <f>$A26*CAS_Component!CB26</f>
        <v>0</v>
      </c>
    </row>
    <row r="27" spans="1:80">
      <c r="A27" s="69">
        <v>3</v>
      </c>
      <c r="B27" s="68" t="s">
        <v>420</v>
      </c>
      <c r="C27" s="67">
        <v>7.4969700000000001</v>
      </c>
      <c r="D27" s="142">
        <f t="shared" si="3"/>
        <v>22.490894256363006</v>
      </c>
      <c r="E27" s="147">
        <f>A27*CAS_Component!E27</f>
        <v>0</v>
      </c>
      <c r="F27" s="159">
        <f>$A27*CAS_Component!F27</f>
        <v>0</v>
      </c>
      <c r="G27" s="147">
        <f>$A27*CAS_Component!G27</f>
        <v>0</v>
      </c>
      <c r="H27" s="159">
        <f>$A27*CAS_Component!H27</f>
        <v>0</v>
      </c>
      <c r="I27" s="147">
        <f>$A27*CAS_Component!I27</f>
        <v>7.1701021079999998E-3</v>
      </c>
      <c r="J27" s="159">
        <f>$A27*CAS_Component!J27</f>
        <v>3.5265926807280001</v>
      </c>
      <c r="K27" s="147">
        <f>$A27*CAS_Component!K27</f>
        <v>1.4709055140000003E-3</v>
      </c>
      <c r="L27" s="159">
        <f>$A27*CAS_Component!L27</f>
        <v>0</v>
      </c>
      <c r="M27" s="147">
        <f>$A27*CAS_Component!M27</f>
        <v>0.18889440581700001</v>
      </c>
      <c r="N27" s="159">
        <f>$A27*CAS_Component!N27</f>
        <v>0</v>
      </c>
      <c r="O27" s="147">
        <f>$A27*CAS_Component!O27</f>
        <v>0.15565508992800001</v>
      </c>
      <c r="P27" s="159">
        <f>$A27*CAS_Component!P27</f>
        <v>0.85659104735100011</v>
      </c>
      <c r="Q27" s="147">
        <f>$A27*CAS_Component!Q27</f>
        <v>9.6441022080000008E-3</v>
      </c>
      <c r="R27" s="159">
        <f>$A27*CAS_Component!R27</f>
        <v>2.6562889255500002</v>
      </c>
      <c r="S27" s="147">
        <f>$A27*CAS_Component!S27</f>
        <v>0</v>
      </c>
      <c r="T27" s="159">
        <f>$A27*CAS_Component!T27</f>
        <v>0</v>
      </c>
      <c r="U27" s="147">
        <f>$A27*CAS_Component!U27</f>
        <v>0.62968475454299999</v>
      </c>
      <c r="V27" s="159">
        <f>$A27*CAS_Component!V27</f>
        <v>0</v>
      </c>
      <c r="W27" s="147">
        <f>$A27*CAS_Component!W27</f>
        <v>0</v>
      </c>
      <c r="X27" s="159">
        <f>$A27*CAS_Component!X27</f>
        <v>0</v>
      </c>
      <c r="Y27" s="147">
        <f>$A27*CAS_Component!Y27</f>
        <v>0</v>
      </c>
      <c r="Z27" s="159">
        <f>$A27*CAS_Component!Z27</f>
        <v>0</v>
      </c>
      <c r="AA27" s="147">
        <f>$A27*CAS_Component!AA27</f>
        <v>0</v>
      </c>
      <c r="AB27" s="159">
        <f>$A27*CAS_Component!AB27</f>
        <v>6.2974548000000003E-5</v>
      </c>
      <c r="AC27" s="147">
        <f>$A27*CAS_Component!AC27</f>
        <v>0</v>
      </c>
      <c r="AD27" s="159">
        <f>$A27*CAS_Component!AD27</f>
        <v>10.324800844605001</v>
      </c>
      <c r="AE27" s="147">
        <f>$A27*CAS_Component!AE27</f>
        <v>0</v>
      </c>
      <c r="AF27" s="159">
        <f>$A27*CAS_Component!AF27</f>
        <v>0</v>
      </c>
      <c r="AG27" s="147">
        <f>$A27*CAS_Component!AG27</f>
        <v>0</v>
      </c>
      <c r="AH27" s="159">
        <f>$A27*CAS_Component!AH27</f>
        <v>1.0424536785000001E-2</v>
      </c>
      <c r="AI27" s="147">
        <f>$A27*CAS_Component!AI27</f>
        <v>6.3210702554999998E-2</v>
      </c>
      <c r="AJ27" s="159">
        <f>$A27*CAS_Component!AJ27</f>
        <v>2.1509991451259998</v>
      </c>
      <c r="AK27" s="147">
        <f>$A27*CAS_Component!AK27</f>
        <v>1.434000179781</v>
      </c>
      <c r="AL27" s="159">
        <f>$A27*CAS_Component!AL27</f>
        <v>6.2974548000000003E-5</v>
      </c>
      <c r="AM27" s="147">
        <f>$A27*CAS_Component!AM27</f>
        <v>1.2594909600000001E-4</v>
      </c>
      <c r="AN27" s="159">
        <f>$A27*CAS_Component!AN27</f>
        <v>3.1604226731999994E-2</v>
      </c>
      <c r="AO27" s="147">
        <f>$A27*CAS_Component!AO27</f>
        <v>0</v>
      </c>
      <c r="AP27" s="159">
        <f>$A27*CAS_Component!AP27</f>
        <v>0</v>
      </c>
      <c r="AQ27" s="147">
        <f>$A27*CAS_Component!AQ27</f>
        <v>0</v>
      </c>
      <c r="AR27" s="159">
        <f>$A27*CAS_Component!AR27</f>
        <v>2.9395619370000004E-3</v>
      </c>
      <c r="AS27" s="147">
        <f>$A27*CAS_Component!AS27</f>
        <v>1.6170964289999999E-2</v>
      </c>
      <c r="AT27" s="159">
        <f>$A27*CAS_Component!AT27</f>
        <v>1.4709055140000003E-3</v>
      </c>
      <c r="AU27" s="147">
        <f>$A27*CAS_Component!AU27</f>
        <v>0.41585917499099995</v>
      </c>
      <c r="AV27" s="159">
        <f>$A27*CAS_Component!AV27</f>
        <v>7.1701021079999998E-3</v>
      </c>
      <c r="AW27" s="147">
        <f>$A27*CAS_Component!AW27</f>
        <v>0</v>
      </c>
      <c r="AX27" s="159">
        <f>$A27*CAS_Component!AX27</f>
        <v>0</v>
      </c>
      <c r="AY27" s="147">
        <f>$A27*CAS_Component!AY27</f>
        <v>0</v>
      </c>
      <c r="AZ27" s="159">
        <f>$A27*CAS_Component!AZ27</f>
        <v>0</v>
      </c>
      <c r="BA27" s="147">
        <f>$A27*CAS_Component!BA27</f>
        <v>0</v>
      </c>
      <c r="BB27" s="159">
        <f>$A27*CAS_Component!BB27</f>
        <v>0</v>
      </c>
      <c r="BC27" s="147">
        <f>$A27*CAS_Component!BC27</f>
        <v>0</v>
      </c>
      <c r="BD27" s="159">
        <f>$A27*CAS_Component!BD27</f>
        <v>0</v>
      </c>
      <c r="BE27" s="147">
        <f>$A27*CAS_Component!BE27</f>
        <v>0</v>
      </c>
      <c r="BF27" s="159">
        <f>$A27*CAS_Component!BF27</f>
        <v>0</v>
      </c>
      <c r="BG27" s="147">
        <f>$A27*CAS_Component!BG27</f>
        <v>0</v>
      </c>
      <c r="BH27" s="159">
        <f>$A27*CAS_Component!BH27</f>
        <v>0</v>
      </c>
      <c r="BI27" s="147">
        <f>$A27*CAS_Component!BI27</f>
        <v>0</v>
      </c>
      <c r="BJ27" s="159">
        <f>$A27*CAS_Component!BJ27</f>
        <v>0</v>
      </c>
      <c r="BK27" s="147">
        <f>$A27*CAS_Component!BK27</f>
        <v>0</v>
      </c>
      <c r="BL27" s="159">
        <f>$A27*CAS_Component!BL27</f>
        <v>0</v>
      </c>
      <c r="BM27" s="147">
        <f>$A27*CAS_Component!BM27</f>
        <v>0</v>
      </c>
      <c r="BN27" s="159">
        <f>$A27*CAS_Component!BN27</f>
        <v>0</v>
      </c>
      <c r="BO27" s="147">
        <f>$A27*CAS_Component!BO27</f>
        <v>0</v>
      </c>
      <c r="BP27" s="159">
        <f>$A27*CAS_Component!BP27</f>
        <v>0</v>
      </c>
      <c r="BQ27" s="147">
        <f>$A27*CAS_Component!BQ27</f>
        <v>0</v>
      </c>
      <c r="BR27" s="159">
        <f>$A27*CAS_Component!BR27</f>
        <v>0</v>
      </c>
      <c r="BS27" s="147">
        <f>$A27*CAS_Component!BS27</f>
        <v>0</v>
      </c>
      <c r="BT27" s="159">
        <f>$A27*CAS_Component!BT27</f>
        <v>0</v>
      </c>
      <c r="BU27" s="147">
        <f>$A27*CAS_Component!BU27</f>
        <v>0</v>
      </c>
      <c r="BV27" s="159">
        <f>$A27*CAS_Component!BV27</f>
        <v>0</v>
      </c>
      <c r="BW27" s="147">
        <f>$A27*CAS_Component!BW27</f>
        <v>0</v>
      </c>
      <c r="BX27" s="159">
        <f>$A27*CAS_Component!BX27</f>
        <v>0</v>
      </c>
      <c r="BY27" s="147">
        <f>$A27*CAS_Component!BY27</f>
        <v>0</v>
      </c>
      <c r="BZ27" s="159">
        <f>$A27*CAS_Component!BZ27</f>
        <v>0</v>
      </c>
      <c r="CA27" s="147">
        <f>$A27*CAS_Component!CA27</f>
        <v>0</v>
      </c>
      <c r="CB27" s="159">
        <f>$A27*CAS_Component!CB27</f>
        <v>0</v>
      </c>
    </row>
    <row r="28" spans="1:80">
      <c r="A28" s="69">
        <v>1</v>
      </c>
      <c r="B28" s="68" t="s">
        <v>414</v>
      </c>
      <c r="C28" s="67">
        <v>11.05</v>
      </c>
      <c r="D28" s="142">
        <f t="shared" si="3"/>
        <v>11.05</v>
      </c>
      <c r="E28" s="147">
        <f>A28*CAS_Component!E28</f>
        <v>0</v>
      </c>
      <c r="F28" s="159">
        <f>$A28*CAS_Component!F28</f>
        <v>4.4000000000000004</v>
      </c>
      <c r="G28" s="147">
        <f>$A28*CAS_Component!G28</f>
        <v>0</v>
      </c>
      <c r="H28" s="159">
        <f>$A28*CAS_Component!H28</f>
        <v>0</v>
      </c>
      <c r="I28" s="147">
        <f>$A28*CAS_Component!I28</f>
        <v>0</v>
      </c>
      <c r="J28" s="159">
        <f>$A28*CAS_Component!J28</f>
        <v>0.04</v>
      </c>
      <c r="K28" s="147">
        <f>$A28*CAS_Component!K28</f>
        <v>0.02</v>
      </c>
      <c r="L28" s="159">
        <f>$A28*CAS_Component!L28</f>
        <v>0.04</v>
      </c>
      <c r="M28" s="147">
        <f>$A28*CAS_Component!M28</f>
        <v>0.02</v>
      </c>
      <c r="N28" s="159">
        <f>$A28*CAS_Component!N28</f>
        <v>0</v>
      </c>
      <c r="O28" s="147">
        <f>$A28*CAS_Component!O28</f>
        <v>0.98</v>
      </c>
      <c r="P28" s="159">
        <f>$A28*CAS_Component!P28</f>
        <v>3.9</v>
      </c>
      <c r="Q28" s="147">
        <f>$A28*CAS_Component!Q28</f>
        <v>0.2</v>
      </c>
      <c r="R28" s="159">
        <f>$A28*CAS_Component!R28</f>
        <v>0</v>
      </c>
      <c r="S28" s="147">
        <f>$A28*CAS_Component!S28</f>
        <v>0</v>
      </c>
      <c r="T28" s="159">
        <f>$A28*CAS_Component!T28</f>
        <v>0</v>
      </c>
      <c r="U28" s="147">
        <f>$A28*CAS_Component!U28</f>
        <v>0.1</v>
      </c>
      <c r="V28" s="159">
        <f>$A28*CAS_Component!V28</f>
        <v>0</v>
      </c>
      <c r="W28" s="147">
        <f>$A28*CAS_Component!W28</f>
        <v>0</v>
      </c>
      <c r="X28" s="159">
        <f>$A28*CAS_Component!X28</f>
        <v>0</v>
      </c>
      <c r="Y28" s="147">
        <f>$A28*CAS_Component!Y28</f>
        <v>0</v>
      </c>
      <c r="Z28" s="159">
        <f>$A28*CAS_Component!Z28</f>
        <v>0</v>
      </c>
      <c r="AA28" s="147">
        <f>$A28*CAS_Component!AA28</f>
        <v>0</v>
      </c>
      <c r="AB28" s="159">
        <f>$A28*CAS_Component!AB28</f>
        <v>0</v>
      </c>
      <c r="AC28" s="147">
        <f>$A28*CAS_Component!AC28</f>
        <v>0.46</v>
      </c>
      <c r="AD28" s="159">
        <f>$A28*CAS_Component!AD28</f>
        <v>0</v>
      </c>
      <c r="AE28" s="147">
        <f>$A28*CAS_Component!AE28</f>
        <v>0</v>
      </c>
      <c r="AF28" s="159">
        <f>$A28*CAS_Component!AF28</f>
        <v>0.46</v>
      </c>
      <c r="AG28" s="147">
        <f>$A28*CAS_Component!AG28</f>
        <v>0</v>
      </c>
      <c r="AH28" s="159">
        <f>$A28*CAS_Component!AH28</f>
        <v>0.02</v>
      </c>
      <c r="AI28" s="147">
        <f>$A28*CAS_Component!AI28</f>
        <v>0</v>
      </c>
      <c r="AJ28" s="159">
        <f>$A28*CAS_Component!AJ28</f>
        <v>0</v>
      </c>
      <c r="AK28" s="147">
        <f>$A28*CAS_Component!AK28</f>
        <v>0.4</v>
      </c>
      <c r="AL28" s="159">
        <f>$A28*CAS_Component!AL28</f>
        <v>0</v>
      </c>
      <c r="AM28" s="147">
        <f>$A28*CAS_Component!AM28</f>
        <v>0</v>
      </c>
      <c r="AN28" s="159">
        <f>$A28*CAS_Component!AN28</f>
        <v>0</v>
      </c>
      <c r="AO28" s="147">
        <f>$A28*CAS_Component!AO28</f>
        <v>0</v>
      </c>
      <c r="AP28" s="159">
        <f>$A28*CAS_Component!AP28</f>
        <v>0</v>
      </c>
      <c r="AQ28" s="147">
        <f>$A28*CAS_Component!AQ28</f>
        <v>0</v>
      </c>
      <c r="AR28" s="159">
        <f>$A28*CAS_Component!AR28</f>
        <v>0</v>
      </c>
      <c r="AS28" s="147">
        <f>$A28*CAS_Component!AS28</f>
        <v>0</v>
      </c>
      <c r="AT28" s="159">
        <f>$A28*CAS_Component!AT28</f>
        <v>0</v>
      </c>
      <c r="AU28" s="147">
        <f>$A28*CAS_Component!AU28</f>
        <v>0</v>
      </c>
      <c r="AV28" s="159">
        <f>$A28*CAS_Component!AV28</f>
        <v>0</v>
      </c>
      <c r="AW28" s="147">
        <f>$A28*CAS_Component!AW28</f>
        <v>0.01</v>
      </c>
      <c r="AX28" s="159">
        <f>$A28*CAS_Component!AX28</f>
        <v>0</v>
      </c>
      <c r="AY28" s="147">
        <f>$A28*CAS_Component!AY28</f>
        <v>0</v>
      </c>
      <c r="AZ28" s="159">
        <f>$A28*CAS_Component!AZ28</f>
        <v>0</v>
      </c>
      <c r="BA28" s="147">
        <f>$A28*CAS_Component!BA28</f>
        <v>0</v>
      </c>
      <c r="BB28" s="159">
        <f>$A28*CAS_Component!BB28</f>
        <v>0</v>
      </c>
      <c r="BC28" s="147">
        <f>$A28*CAS_Component!BC28</f>
        <v>0</v>
      </c>
      <c r="BD28" s="159">
        <f>$A28*CAS_Component!BD28</f>
        <v>0</v>
      </c>
      <c r="BE28" s="147">
        <f>$A28*CAS_Component!BE28</f>
        <v>0</v>
      </c>
      <c r="BF28" s="159">
        <f>$A28*CAS_Component!BF28</f>
        <v>0</v>
      </c>
      <c r="BG28" s="147">
        <f>$A28*CAS_Component!BG28</f>
        <v>0</v>
      </c>
      <c r="BH28" s="159">
        <f>$A28*CAS_Component!BH28</f>
        <v>0</v>
      </c>
      <c r="BI28" s="147">
        <f>$A28*CAS_Component!BI28</f>
        <v>0</v>
      </c>
      <c r="BJ28" s="159">
        <f>$A28*CAS_Component!BJ28</f>
        <v>0</v>
      </c>
      <c r="BK28" s="147">
        <f>$A28*CAS_Component!BK28</f>
        <v>0</v>
      </c>
      <c r="BL28" s="159">
        <f>$A28*CAS_Component!BL28</f>
        <v>0</v>
      </c>
      <c r="BM28" s="147">
        <f>$A28*CAS_Component!BM28</f>
        <v>0</v>
      </c>
      <c r="BN28" s="159">
        <f>$A28*CAS_Component!BN28</f>
        <v>0</v>
      </c>
      <c r="BO28" s="147">
        <f>$A28*CAS_Component!BO28</f>
        <v>0</v>
      </c>
      <c r="BP28" s="159">
        <f>$A28*CAS_Component!BP28</f>
        <v>0</v>
      </c>
      <c r="BQ28" s="147">
        <f>$A28*CAS_Component!BQ28</f>
        <v>0</v>
      </c>
      <c r="BR28" s="159">
        <f>$A28*CAS_Component!BR28</f>
        <v>0</v>
      </c>
      <c r="BS28" s="147">
        <f>$A28*CAS_Component!BS28</f>
        <v>0</v>
      </c>
      <c r="BT28" s="159">
        <f>$A28*CAS_Component!BT28</f>
        <v>0</v>
      </c>
      <c r="BU28" s="147">
        <f>$A28*CAS_Component!BU28</f>
        <v>0</v>
      </c>
      <c r="BV28" s="159">
        <f>$A28*CAS_Component!BV28</f>
        <v>0</v>
      </c>
      <c r="BW28" s="147">
        <f>$A28*CAS_Component!BW28</f>
        <v>0</v>
      </c>
      <c r="BX28" s="159">
        <f>$A28*CAS_Component!BX28</f>
        <v>0</v>
      </c>
      <c r="BY28" s="147">
        <f>$A28*CAS_Component!BY28</f>
        <v>0</v>
      </c>
      <c r="BZ28" s="159">
        <f>$A28*CAS_Component!BZ28</f>
        <v>0</v>
      </c>
      <c r="CA28" s="147">
        <f>$A28*CAS_Component!CA28</f>
        <v>0</v>
      </c>
      <c r="CB28" s="159">
        <f>$A28*CAS_Component!CB28</f>
        <v>0</v>
      </c>
    </row>
    <row r="29" spans="1:80">
      <c r="A29" s="69">
        <v>2</v>
      </c>
      <c r="B29" s="68" t="s">
        <v>409</v>
      </c>
      <c r="C29" s="67">
        <v>6200</v>
      </c>
      <c r="D29" s="142">
        <f t="shared" si="3"/>
        <v>12422.833495077897</v>
      </c>
      <c r="E29" s="147">
        <v>0</v>
      </c>
      <c r="F29" s="159">
        <f>$A29*CAS_Component!F29</f>
        <v>3653.3594068704074</v>
      </c>
      <c r="G29" s="147">
        <f>$A29*CAS_Component!G29</f>
        <v>137.00097046737648</v>
      </c>
      <c r="H29" s="159">
        <f>$A29*CAS_Component!H29</f>
        <v>68.500485233688238</v>
      </c>
      <c r="I29" s="147">
        <f>$A29*CAS_Component!I29</f>
        <v>22.833495077896078</v>
      </c>
      <c r="J29" s="159">
        <f>$A29*CAS_Component!J29</f>
        <v>11.61309864432449</v>
      </c>
      <c r="K29" s="147">
        <f>$A29*CAS_Component!K29</f>
        <v>3.0969040679672082</v>
      </c>
      <c r="L29" s="159">
        <f>$A29*CAS_Component!L29</f>
        <v>0</v>
      </c>
      <c r="M29" s="147">
        <f>$A29*CAS_Component!M29</f>
        <v>0.364124376604054</v>
      </c>
      <c r="N29" s="159">
        <f>$A29*CAS_Component!N29</f>
        <v>0</v>
      </c>
      <c r="O29" s="147">
        <f>$A29*CAS_Component!O29</f>
        <v>0</v>
      </c>
      <c r="P29" s="159">
        <f>$A29*CAS_Component!P29</f>
        <v>7708.7552838734673</v>
      </c>
      <c r="Q29" s="147">
        <f>$A29*CAS_Component!Q29</f>
        <v>0</v>
      </c>
      <c r="R29" s="159">
        <f>$A29*CAS_Component!R29</f>
        <v>18.580841186698169</v>
      </c>
      <c r="S29" s="147">
        <f>$A29*CAS_Component!S29</f>
        <v>0</v>
      </c>
      <c r="T29" s="159">
        <f>$A29*CAS_Component!T29</f>
        <v>0</v>
      </c>
      <c r="U29" s="147">
        <f>$A29*CAS_Component!U29</f>
        <v>69.052795620197642</v>
      </c>
      <c r="V29" s="159">
        <f>$A29*CAS_Component!V29</f>
        <v>0</v>
      </c>
      <c r="W29" s="147">
        <f>$A29*CAS_Component!W29</f>
        <v>0</v>
      </c>
      <c r="X29" s="159">
        <f>$A29*CAS_Component!X29</f>
        <v>0</v>
      </c>
      <c r="Y29" s="147">
        <f>$A29*CAS_Component!Y29</f>
        <v>0</v>
      </c>
      <c r="Z29" s="159">
        <f>$A29*CAS_Component!Z29</f>
        <v>0</v>
      </c>
      <c r="AA29" s="147">
        <f>$A29*CAS_Component!AA29</f>
        <v>0</v>
      </c>
      <c r="AB29" s="159">
        <f>$A29*CAS_Component!AB29</f>
        <v>13.468908200684503</v>
      </c>
      <c r="AC29" s="147">
        <f>$A29*CAS_Component!AC29</f>
        <v>0</v>
      </c>
      <c r="AD29" s="159">
        <f>$A29*CAS_Component!AD29</f>
        <v>685.00485233688232</v>
      </c>
      <c r="AE29" s="147">
        <f>$A29*CAS_Component!AE29</f>
        <v>0</v>
      </c>
      <c r="AF29" s="159">
        <f>$A29*CAS_Component!AF29</f>
        <v>0</v>
      </c>
      <c r="AG29" s="147">
        <f>$A29*CAS_Component!AG29</f>
        <v>0</v>
      </c>
      <c r="AH29" s="159">
        <f>$A29*CAS_Component!AH29</f>
        <v>20.918196968818052</v>
      </c>
      <c r="AI29" s="147">
        <f>$A29*CAS_Component!AI29</f>
        <v>0</v>
      </c>
      <c r="AJ29" s="159">
        <f>$A29*CAS_Component!AJ29</f>
        <v>0</v>
      </c>
      <c r="AK29" s="147">
        <f>$A29*CAS_Component!AK29</f>
        <v>0</v>
      </c>
      <c r="AL29" s="159">
        <f>$A29*CAS_Component!AL29</f>
        <v>0</v>
      </c>
      <c r="AM29" s="147">
        <f>$A29*CAS_Component!AM29</f>
        <v>0</v>
      </c>
      <c r="AN29" s="159">
        <f>$A29*CAS_Component!AN29</f>
        <v>0</v>
      </c>
      <c r="AO29" s="147">
        <f>$A29*CAS_Component!AO29</f>
        <v>0</v>
      </c>
      <c r="AP29" s="159">
        <f>$A29*CAS_Component!AP29</f>
        <v>0</v>
      </c>
      <c r="AQ29" s="147">
        <f>$A29*CAS_Component!AQ29</f>
        <v>0</v>
      </c>
      <c r="AR29" s="159">
        <f>$A29*CAS_Component!AR29</f>
        <v>0</v>
      </c>
      <c r="AS29" s="147">
        <f>$A29*CAS_Component!AS29</f>
        <v>0</v>
      </c>
      <c r="AT29" s="159">
        <f>$A29*CAS_Component!AT29</f>
        <v>0</v>
      </c>
      <c r="AU29" s="147">
        <f>$A29*CAS_Component!AU29</f>
        <v>0</v>
      </c>
      <c r="AV29" s="159">
        <f>$A29*CAS_Component!AV29</f>
        <v>0</v>
      </c>
      <c r="AW29" s="147">
        <f>$A29*CAS_Component!AW29</f>
        <v>0</v>
      </c>
      <c r="AX29" s="159">
        <f>$A29*CAS_Component!AX29</f>
        <v>0</v>
      </c>
      <c r="AY29" s="147">
        <f>$A29*CAS_Component!AY29</f>
        <v>0</v>
      </c>
      <c r="AZ29" s="159">
        <f>$A29*CAS_Component!AZ29</f>
        <v>0</v>
      </c>
      <c r="BA29" s="147">
        <f>$A29*CAS_Component!BA29</f>
        <v>0</v>
      </c>
      <c r="BB29" s="159">
        <f>$A29*CAS_Component!BB29</f>
        <v>0</v>
      </c>
      <c r="BC29" s="147">
        <f>$A29*CAS_Component!BC29</f>
        <v>0</v>
      </c>
      <c r="BD29" s="159">
        <f>$A29*CAS_Component!BD29</f>
        <v>0</v>
      </c>
      <c r="BE29" s="147">
        <f>$A29*CAS_Component!BE29</f>
        <v>0</v>
      </c>
      <c r="BF29" s="159">
        <f>$A29*CAS_Component!BF29</f>
        <v>0</v>
      </c>
      <c r="BG29" s="147">
        <f>$A29*CAS_Component!BG29</f>
        <v>0</v>
      </c>
      <c r="BH29" s="159">
        <f>$A29*CAS_Component!BH29</f>
        <v>0</v>
      </c>
      <c r="BI29" s="147">
        <f>$A29*CAS_Component!BI29</f>
        <v>0</v>
      </c>
      <c r="BJ29" s="159">
        <f>$A29*CAS_Component!BJ29</f>
        <v>0</v>
      </c>
      <c r="BK29" s="147">
        <f>$A29*CAS_Component!BK29</f>
        <v>0</v>
      </c>
      <c r="BL29" s="159">
        <f>$A29*CAS_Component!BL29</f>
        <v>0</v>
      </c>
      <c r="BM29" s="147">
        <f>$A29*CAS_Component!BM29</f>
        <v>0</v>
      </c>
      <c r="BN29" s="159">
        <f>$A29*CAS_Component!BN29</f>
        <v>0</v>
      </c>
      <c r="BO29" s="147">
        <f>$A29*CAS_Component!BO29</f>
        <v>0</v>
      </c>
      <c r="BP29" s="159">
        <f>$A29*CAS_Component!BP29</f>
        <v>0</v>
      </c>
      <c r="BQ29" s="147">
        <f>$A29*CAS_Component!BQ29</f>
        <v>0</v>
      </c>
      <c r="BR29" s="159">
        <f>$A29*CAS_Component!BR29</f>
        <v>0</v>
      </c>
      <c r="BS29" s="147">
        <f>$A29*CAS_Component!BS29</f>
        <v>0</v>
      </c>
      <c r="BT29" s="159">
        <f>$A29*CAS_Component!BT29</f>
        <v>0</v>
      </c>
      <c r="BU29" s="147">
        <f>$A29*CAS_Component!BU29</f>
        <v>0</v>
      </c>
      <c r="BV29" s="159">
        <f>$A29*CAS_Component!BV29</f>
        <v>0</v>
      </c>
      <c r="BW29" s="147">
        <f>$A29*CAS_Component!BW29</f>
        <v>0</v>
      </c>
      <c r="BX29" s="159">
        <f>$A29*CAS_Component!BX29</f>
        <v>0</v>
      </c>
      <c r="BY29" s="147">
        <f>$A29*CAS_Component!BY29</f>
        <v>0</v>
      </c>
      <c r="BZ29" s="159">
        <f>$A29*CAS_Component!BZ29</f>
        <v>0</v>
      </c>
      <c r="CA29" s="147">
        <f>$A29*CAS_Component!CA29</f>
        <v>0</v>
      </c>
      <c r="CB29" s="159">
        <f>$A29*CAS_Component!CB29</f>
        <v>10.284132152885455</v>
      </c>
    </row>
    <row r="30" spans="1:80">
      <c r="A30" s="69">
        <v>1</v>
      </c>
      <c r="B30" s="68" t="s">
        <v>404</v>
      </c>
      <c r="C30" s="67">
        <v>9.8657599999999999</v>
      </c>
      <c r="D30" s="142">
        <f t="shared" si="3"/>
        <v>9.8684899999999995</v>
      </c>
      <c r="E30" s="147">
        <f>A30*CAS_Component!E30</f>
        <v>0</v>
      </c>
      <c r="F30" s="159">
        <f>$A30*CAS_Component!F30</f>
        <v>0</v>
      </c>
      <c r="G30" s="147">
        <f>$A30*CAS_Component!G30</f>
        <v>0</v>
      </c>
      <c r="H30" s="159">
        <f>$A30*CAS_Component!H30</f>
        <v>0</v>
      </c>
      <c r="I30" s="147">
        <f>$A30*CAS_Component!I30</f>
        <v>1.2447E-2</v>
      </c>
      <c r="J30" s="159">
        <f>$A30*CAS_Component!J30</f>
        <v>0</v>
      </c>
      <c r="K30" s="147">
        <f>$A30*CAS_Component!K30</f>
        <v>0</v>
      </c>
      <c r="L30" s="159">
        <f>$A30*CAS_Component!L30</f>
        <v>0</v>
      </c>
      <c r="M30" s="147">
        <f>$A30*CAS_Component!M30</f>
        <v>0.14929399999999998</v>
      </c>
      <c r="N30" s="159">
        <f>$A30*CAS_Component!N30</f>
        <v>3.97E-4</v>
      </c>
      <c r="O30" s="147">
        <f>$A30*CAS_Component!O30</f>
        <v>0</v>
      </c>
      <c r="P30" s="159">
        <f>$A30*CAS_Component!P30</f>
        <v>0.4985</v>
      </c>
      <c r="Q30" s="147">
        <f>$A30*CAS_Component!Q30</f>
        <v>0</v>
      </c>
      <c r="R30" s="159">
        <f>$A30*CAS_Component!R30</f>
        <v>0.33300000000000002</v>
      </c>
      <c r="S30" s="147">
        <f>$A30*CAS_Component!S30</f>
        <v>2.8598999999999999E-2</v>
      </c>
      <c r="T30" s="159">
        <f>$A30*CAS_Component!T30</f>
        <v>0</v>
      </c>
      <c r="U30" s="147">
        <f>$A30*CAS_Component!U30</f>
        <v>0.26500000000000001</v>
      </c>
      <c r="V30" s="159">
        <f>$A30*CAS_Component!V30</f>
        <v>0</v>
      </c>
      <c r="W30" s="147">
        <f>$A30*CAS_Component!W30</f>
        <v>0</v>
      </c>
      <c r="X30" s="159">
        <f>$A30*CAS_Component!X30</f>
        <v>0</v>
      </c>
      <c r="Y30" s="147">
        <f>$A30*CAS_Component!Y30</f>
        <v>7.9799999999999999E-4</v>
      </c>
      <c r="Z30" s="159">
        <f>$A30*CAS_Component!Z30</f>
        <v>0</v>
      </c>
      <c r="AA30" s="147">
        <f>$A30*CAS_Component!AA30</f>
        <v>2.1361000000000002E-2</v>
      </c>
      <c r="AB30" s="159">
        <f>$A30*CAS_Component!AB30</f>
        <v>0</v>
      </c>
      <c r="AC30" s="147">
        <f>$A30*CAS_Component!AC30</f>
        <v>0</v>
      </c>
      <c r="AD30" s="159">
        <f>$A30*CAS_Component!AD30</f>
        <v>0.21095900000000001</v>
      </c>
      <c r="AE30" s="147">
        <f>$A30*CAS_Component!AE30</f>
        <v>0</v>
      </c>
      <c r="AF30" s="159">
        <f>$A30*CAS_Component!AF30</f>
        <v>3.0692000000000001E-2</v>
      </c>
      <c r="AG30" s="147">
        <f>$A30*CAS_Component!AG30</f>
        <v>0</v>
      </c>
      <c r="AH30" s="159">
        <f>$A30*CAS_Component!AH30</f>
        <v>0</v>
      </c>
      <c r="AI30" s="147">
        <f>$A30*CAS_Component!AI30</f>
        <v>0</v>
      </c>
      <c r="AJ30" s="159">
        <f>$A30*CAS_Component!AJ30</f>
        <v>7.2377000000000011E-2</v>
      </c>
      <c r="AK30" s="147">
        <f>$A30*CAS_Component!AK30</f>
        <v>0</v>
      </c>
      <c r="AL30" s="159">
        <f>$A30*CAS_Component!AL30</f>
        <v>0</v>
      </c>
      <c r="AM30" s="147">
        <f>$A30*CAS_Component!AM30</f>
        <v>0</v>
      </c>
      <c r="AN30" s="159">
        <f>$A30*CAS_Component!AN30</f>
        <v>8.4000000000000005E-2</v>
      </c>
      <c r="AO30" s="147">
        <f>$A30*CAS_Component!AO30</f>
        <v>0</v>
      </c>
      <c r="AP30" s="159">
        <f>$A30*CAS_Component!AP30</f>
        <v>0</v>
      </c>
      <c r="AQ30" s="147">
        <f>$A30*CAS_Component!AQ30</f>
        <v>0</v>
      </c>
      <c r="AR30" s="159">
        <f>$A30*CAS_Component!AR30</f>
        <v>0</v>
      </c>
      <c r="AS30" s="147">
        <f>$A30*CAS_Component!AS30</f>
        <v>0</v>
      </c>
      <c r="AT30" s="159">
        <f>$A30*CAS_Component!AT30</f>
        <v>0</v>
      </c>
      <c r="AU30" s="147">
        <f>$A30*CAS_Component!AU30</f>
        <v>0</v>
      </c>
      <c r="AV30" s="159">
        <f>$A30*CAS_Component!AV30</f>
        <v>0</v>
      </c>
      <c r="AW30" s="147">
        <f>$A30*CAS_Component!AW30</f>
        <v>0</v>
      </c>
      <c r="AX30" s="159">
        <f>$A30*CAS_Component!AX30</f>
        <v>8.1143999999999998</v>
      </c>
      <c r="AY30" s="147">
        <f>$A30*CAS_Component!AY30</f>
        <v>2.52E-2</v>
      </c>
      <c r="AZ30" s="159">
        <f>$A30*CAS_Component!AZ30</f>
        <v>5.9659999999999999E-3</v>
      </c>
      <c r="BA30" s="147">
        <f>$A30*CAS_Component!BA30</f>
        <v>6.5959999999999994E-3</v>
      </c>
      <c r="BB30" s="159">
        <f>$A30*CAS_Component!BB30</f>
        <v>1.529E-3</v>
      </c>
      <c r="BC30" s="147">
        <f>$A30*CAS_Component!BC30</f>
        <v>8.3799999999999999E-4</v>
      </c>
      <c r="BD30" s="159">
        <f>$A30*CAS_Component!BD30</f>
        <v>3.4699999999999998E-4</v>
      </c>
      <c r="BE30" s="147">
        <f>$A30*CAS_Component!BE30</f>
        <v>3.46E-3</v>
      </c>
      <c r="BF30" s="159">
        <f>$A30*CAS_Component!BF30</f>
        <v>2.7299999999999998E-3</v>
      </c>
      <c r="BG30" s="147">
        <f>$A30*CAS_Component!BG30</f>
        <v>0</v>
      </c>
      <c r="BH30" s="159">
        <f>$A30*CAS_Component!BH30</f>
        <v>0</v>
      </c>
      <c r="BI30" s="147">
        <f>$A30*CAS_Component!BI30</f>
        <v>0</v>
      </c>
      <c r="BJ30" s="159">
        <f>$A30*CAS_Component!BJ30</f>
        <v>0</v>
      </c>
      <c r="BK30" s="147">
        <f>$A30*CAS_Component!BK30</f>
        <v>0</v>
      </c>
      <c r="BL30" s="159">
        <f>$A30*CAS_Component!BL30</f>
        <v>0</v>
      </c>
      <c r="BM30" s="147">
        <f>$A30*CAS_Component!BM30</f>
        <v>0</v>
      </c>
      <c r="BN30" s="159">
        <f>$A30*CAS_Component!BN30</f>
        <v>0</v>
      </c>
      <c r="BO30" s="147">
        <f>$A30*CAS_Component!BO30</f>
        <v>0</v>
      </c>
      <c r="BP30" s="159">
        <f>$A30*CAS_Component!BP30</f>
        <v>0</v>
      </c>
      <c r="BQ30" s="147">
        <f>$A30*CAS_Component!BQ30</f>
        <v>0</v>
      </c>
      <c r="BR30" s="159">
        <f>$A30*CAS_Component!BR30</f>
        <v>0</v>
      </c>
      <c r="BS30" s="147">
        <f>$A30*CAS_Component!BS30</f>
        <v>0</v>
      </c>
      <c r="BT30" s="159">
        <f>$A30*CAS_Component!BT30</f>
        <v>0</v>
      </c>
      <c r="BU30" s="147">
        <f>$A30*CAS_Component!BU30</f>
        <v>0</v>
      </c>
      <c r="BV30" s="159">
        <f>$A30*CAS_Component!BV30</f>
        <v>0</v>
      </c>
      <c r="BW30" s="147">
        <f>$A30*CAS_Component!BW30</f>
        <v>0</v>
      </c>
      <c r="BX30" s="159">
        <f>$A30*CAS_Component!BX30</f>
        <v>0</v>
      </c>
      <c r="BY30" s="147">
        <f>$A30*CAS_Component!BY30</f>
        <v>0</v>
      </c>
      <c r="BZ30" s="159">
        <f>$A30*CAS_Component!BZ30</f>
        <v>0</v>
      </c>
      <c r="CA30" s="147">
        <f>$A30*CAS_Component!CA30</f>
        <v>0</v>
      </c>
      <c r="CB30" s="159">
        <f>$A30*CAS_Component!CB30</f>
        <v>0</v>
      </c>
    </row>
    <row r="31" spans="1:80">
      <c r="A31" s="69">
        <v>6</v>
      </c>
      <c r="B31" s="68" t="s">
        <v>399</v>
      </c>
      <c r="C31" s="67">
        <v>2.47343</v>
      </c>
      <c r="D31" s="142">
        <f t="shared" si="3"/>
        <v>14.824260000000002</v>
      </c>
      <c r="E31" s="147">
        <f>A31*CAS_Component!E31</f>
        <v>0</v>
      </c>
      <c r="F31" s="159">
        <f>$A31*CAS_Component!F31</f>
        <v>0</v>
      </c>
      <c r="G31" s="147">
        <f>$A31*CAS_Component!G31</f>
        <v>0</v>
      </c>
      <c r="H31" s="159">
        <f>$A31*CAS_Component!H31</f>
        <v>0</v>
      </c>
      <c r="I31" s="147">
        <f>$A31*CAS_Component!I31</f>
        <v>0</v>
      </c>
      <c r="J31" s="159">
        <f>$A31*CAS_Component!J31</f>
        <v>0</v>
      </c>
      <c r="K31" s="147">
        <f>$A31*CAS_Component!K31</f>
        <v>0</v>
      </c>
      <c r="L31" s="159">
        <f>$A31*CAS_Component!L31</f>
        <v>0</v>
      </c>
      <c r="M31" s="147">
        <f>$A31*CAS_Component!M31</f>
        <v>0.19266</v>
      </c>
      <c r="N31" s="159">
        <f>$A31*CAS_Component!N31</f>
        <v>0</v>
      </c>
      <c r="O31" s="147">
        <f>$A31*CAS_Component!O31</f>
        <v>0</v>
      </c>
      <c r="P31" s="159">
        <f>$A31*CAS_Component!P31</f>
        <v>0</v>
      </c>
      <c r="Q31" s="147">
        <f>$A31*CAS_Component!Q31</f>
        <v>0</v>
      </c>
      <c r="R31" s="159">
        <f>$A31*CAS_Component!R31</f>
        <v>0.62015999999999993</v>
      </c>
      <c r="S31" s="147">
        <f>$A31*CAS_Component!S31</f>
        <v>1.9200000000000003E-3</v>
      </c>
      <c r="T31" s="159">
        <f>$A31*CAS_Component!T31</f>
        <v>0</v>
      </c>
      <c r="U31" s="147">
        <f>$A31*CAS_Component!U31</f>
        <v>0.32430000000000003</v>
      </c>
      <c r="V31" s="159">
        <f>$A31*CAS_Component!V31</f>
        <v>0</v>
      </c>
      <c r="W31" s="147">
        <f>$A31*CAS_Component!W31</f>
        <v>0</v>
      </c>
      <c r="X31" s="159">
        <f>$A31*CAS_Component!X31</f>
        <v>0</v>
      </c>
      <c r="Y31" s="147">
        <f>$A31*CAS_Component!Y31</f>
        <v>0</v>
      </c>
      <c r="Z31" s="159">
        <f>$A31*CAS_Component!Z31</f>
        <v>0</v>
      </c>
      <c r="AA31" s="147">
        <f>$A31*CAS_Component!AA31</f>
        <v>0</v>
      </c>
      <c r="AB31" s="159">
        <f>$A31*CAS_Component!AB31</f>
        <v>0</v>
      </c>
      <c r="AC31" s="147">
        <f>$A31*CAS_Component!AC31</f>
        <v>0</v>
      </c>
      <c r="AD31" s="159">
        <f>$A31*CAS_Component!AD31</f>
        <v>0</v>
      </c>
      <c r="AE31" s="147">
        <f>$A31*CAS_Component!AE31</f>
        <v>0</v>
      </c>
      <c r="AF31" s="159">
        <f>$A31*CAS_Component!AF31</f>
        <v>0.17148000000000002</v>
      </c>
      <c r="AG31" s="147">
        <f>$A31*CAS_Component!AG31</f>
        <v>0</v>
      </c>
      <c r="AH31" s="159">
        <f>$A31*CAS_Component!AH31</f>
        <v>0</v>
      </c>
      <c r="AI31" s="147">
        <f>$A31*CAS_Component!AI31</f>
        <v>0</v>
      </c>
      <c r="AJ31" s="159">
        <f>$A31*CAS_Component!AJ31</f>
        <v>0</v>
      </c>
      <c r="AK31" s="147">
        <f>$A31*CAS_Component!AK31</f>
        <v>0</v>
      </c>
      <c r="AL31" s="159">
        <f>$A31*CAS_Component!AL31</f>
        <v>0</v>
      </c>
      <c r="AM31" s="147">
        <f>$A31*CAS_Component!AM31</f>
        <v>0</v>
      </c>
      <c r="AN31" s="159">
        <f>$A31*CAS_Component!AN31</f>
        <v>0.26640000000000003</v>
      </c>
      <c r="AO31" s="147">
        <f>$A31*CAS_Component!AO31</f>
        <v>0.26640000000000003</v>
      </c>
      <c r="AP31" s="159">
        <f>$A31*CAS_Component!AP31</f>
        <v>0</v>
      </c>
      <c r="AQ31" s="147">
        <f>$A31*CAS_Component!AQ31</f>
        <v>0</v>
      </c>
      <c r="AR31" s="159">
        <f>$A31*CAS_Component!AR31</f>
        <v>0</v>
      </c>
      <c r="AS31" s="147">
        <f>$A31*CAS_Component!AS31</f>
        <v>0</v>
      </c>
      <c r="AT31" s="159">
        <f>$A31*CAS_Component!AT31</f>
        <v>0</v>
      </c>
      <c r="AU31" s="147">
        <f>$A31*CAS_Component!AU31</f>
        <v>0</v>
      </c>
      <c r="AV31" s="159">
        <f>$A31*CAS_Component!AV31</f>
        <v>0</v>
      </c>
      <c r="AW31" s="147">
        <f>$A31*CAS_Component!AW31</f>
        <v>0</v>
      </c>
      <c r="AX31" s="159">
        <f>$A31*CAS_Component!AX31</f>
        <v>12.787200000000002</v>
      </c>
      <c r="AY31" s="147">
        <f>$A31*CAS_Component!AY31</f>
        <v>0</v>
      </c>
      <c r="AZ31" s="159">
        <f>$A31*CAS_Component!AZ31</f>
        <v>6.5519999999999995E-2</v>
      </c>
      <c r="BA31" s="147">
        <f>$A31*CAS_Component!BA31</f>
        <v>0</v>
      </c>
      <c r="BB31" s="159">
        <f>$A31*CAS_Component!BB31</f>
        <v>0</v>
      </c>
      <c r="BC31" s="147">
        <f>$A31*CAS_Component!BC31</f>
        <v>0</v>
      </c>
      <c r="BD31" s="159">
        <f>$A31*CAS_Component!BD31</f>
        <v>0</v>
      </c>
      <c r="BE31" s="147">
        <f>$A31*CAS_Component!BE31</f>
        <v>0</v>
      </c>
      <c r="BF31" s="159">
        <f>$A31*CAS_Component!BF31</f>
        <v>0</v>
      </c>
      <c r="BG31" s="147">
        <f>$A31*CAS_Component!BG31</f>
        <v>0.12822</v>
      </c>
      <c r="BH31" s="159">
        <f>$A31*CAS_Component!BH31</f>
        <v>0</v>
      </c>
      <c r="BI31" s="147">
        <f>$A31*CAS_Component!BI31</f>
        <v>0</v>
      </c>
      <c r="BJ31" s="159">
        <f>$A31*CAS_Component!BJ31</f>
        <v>0</v>
      </c>
      <c r="BK31" s="147">
        <f>$A31*CAS_Component!BK31</f>
        <v>0</v>
      </c>
      <c r="BL31" s="159">
        <f>$A31*CAS_Component!BL31</f>
        <v>0</v>
      </c>
      <c r="BM31" s="147">
        <f>$A31*CAS_Component!BM31</f>
        <v>0</v>
      </c>
      <c r="BN31" s="159">
        <f>$A31*CAS_Component!BN31</f>
        <v>0</v>
      </c>
      <c r="BO31" s="147">
        <f>$A31*CAS_Component!BO31</f>
        <v>0</v>
      </c>
      <c r="BP31" s="159">
        <f>$A31*CAS_Component!BP31</f>
        <v>0</v>
      </c>
      <c r="BQ31" s="147">
        <f>$A31*CAS_Component!BQ31</f>
        <v>0</v>
      </c>
      <c r="BR31" s="159">
        <f>$A31*CAS_Component!BR31</f>
        <v>0</v>
      </c>
      <c r="BS31" s="147">
        <f>$A31*CAS_Component!BS31</f>
        <v>0</v>
      </c>
      <c r="BT31" s="159">
        <f>$A31*CAS_Component!BT31</f>
        <v>0</v>
      </c>
      <c r="BU31" s="147">
        <f>$A31*CAS_Component!BU31</f>
        <v>0</v>
      </c>
      <c r="BV31" s="159">
        <f>$A31*CAS_Component!BV31</f>
        <v>0</v>
      </c>
      <c r="BW31" s="147">
        <f>$A31*CAS_Component!BW31</f>
        <v>0</v>
      </c>
      <c r="BX31" s="159">
        <f>$A31*CAS_Component!BX31</f>
        <v>0</v>
      </c>
      <c r="BY31" s="147">
        <f>$A31*CAS_Component!BY31</f>
        <v>0</v>
      </c>
      <c r="BZ31" s="159">
        <f>$A31*CAS_Component!BZ31</f>
        <v>0</v>
      </c>
      <c r="CA31" s="147">
        <f>$A31*CAS_Component!CA31</f>
        <v>0</v>
      </c>
      <c r="CB31" s="159">
        <f>$A31*CAS_Component!CB31</f>
        <v>0</v>
      </c>
    </row>
    <row r="32" spans="1:80">
      <c r="A32" s="69">
        <v>1</v>
      </c>
      <c r="B32" s="68" t="s">
        <v>396</v>
      </c>
      <c r="C32" s="67">
        <v>2.1322999999999999</v>
      </c>
      <c r="D32" s="142">
        <f t="shared" si="3"/>
        <v>2.1322999999999999</v>
      </c>
      <c r="E32" s="147">
        <f>A32*CAS_Component!E32</f>
        <v>0</v>
      </c>
      <c r="F32" s="159">
        <f>$A32*CAS_Component!F32</f>
        <v>0</v>
      </c>
      <c r="G32" s="147">
        <f>$A32*CAS_Component!G32</f>
        <v>0</v>
      </c>
      <c r="H32" s="159">
        <f>$A32*CAS_Component!H32</f>
        <v>0</v>
      </c>
      <c r="I32" s="147">
        <f>$A32*CAS_Component!I32</f>
        <v>0</v>
      </c>
      <c r="J32" s="159">
        <f>$A32*CAS_Component!J32</f>
        <v>0</v>
      </c>
      <c r="K32" s="147">
        <f>$A32*CAS_Component!K32</f>
        <v>0</v>
      </c>
      <c r="L32" s="159">
        <f>$A32*CAS_Component!L32</f>
        <v>0</v>
      </c>
      <c r="M32" s="147">
        <f>$A32*CAS_Component!M32</f>
        <v>0.10143000000000001</v>
      </c>
      <c r="N32" s="159">
        <f>$A32*CAS_Component!N32</f>
        <v>0</v>
      </c>
      <c r="O32" s="147">
        <f>$A32*CAS_Component!O32</f>
        <v>0</v>
      </c>
      <c r="P32" s="159">
        <f>$A32*CAS_Component!P32</f>
        <v>0</v>
      </c>
      <c r="Q32" s="147">
        <f>$A32*CAS_Component!Q32</f>
        <v>0</v>
      </c>
      <c r="R32" s="159">
        <f>$A32*CAS_Component!R32</f>
        <v>6.2190000000000002E-2</v>
      </c>
      <c r="S32" s="147">
        <f>$A32*CAS_Component!S32</f>
        <v>0</v>
      </c>
      <c r="T32" s="159">
        <f>$A32*CAS_Component!T32</f>
        <v>0</v>
      </c>
      <c r="U32" s="147">
        <f>$A32*CAS_Component!U32</f>
        <v>0.11550000000000001</v>
      </c>
      <c r="V32" s="159">
        <f>$A32*CAS_Component!V32</f>
        <v>8.4599999999999988E-3</v>
      </c>
      <c r="W32" s="147">
        <f>$A32*CAS_Component!W32</f>
        <v>0</v>
      </c>
      <c r="X32" s="159">
        <f>$A32*CAS_Component!X32</f>
        <v>0</v>
      </c>
      <c r="Y32" s="147">
        <f>$A32*CAS_Component!Y32</f>
        <v>0</v>
      </c>
      <c r="Z32" s="159">
        <f>$A32*CAS_Component!Z32</f>
        <v>0</v>
      </c>
      <c r="AA32" s="147">
        <f>$A32*CAS_Component!AA32</f>
        <v>0</v>
      </c>
      <c r="AB32" s="159">
        <f>$A32*CAS_Component!AB32</f>
        <v>0</v>
      </c>
      <c r="AC32" s="147">
        <f>$A32*CAS_Component!AC32</f>
        <v>0</v>
      </c>
      <c r="AD32" s="159">
        <f>$A32*CAS_Component!AD32</f>
        <v>8.6290000000000006E-2</v>
      </c>
      <c r="AE32" s="147">
        <f>$A32*CAS_Component!AE32</f>
        <v>0</v>
      </c>
      <c r="AF32" s="159">
        <f>$A32*CAS_Component!AF32</f>
        <v>6.4799999999999996E-3</v>
      </c>
      <c r="AG32" s="147">
        <f>$A32*CAS_Component!AG32</f>
        <v>0</v>
      </c>
      <c r="AH32" s="159">
        <f>$A32*CAS_Component!AH32</f>
        <v>0</v>
      </c>
      <c r="AI32" s="147">
        <f>$A32*CAS_Component!AI32</f>
        <v>0</v>
      </c>
      <c r="AJ32" s="159">
        <f>$A32*CAS_Component!AJ32</f>
        <v>0</v>
      </c>
      <c r="AK32" s="147">
        <f>$A32*CAS_Component!AK32</f>
        <v>0</v>
      </c>
      <c r="AL32" s="159">
        <f>$A32*CAS_Component!AL32</f>
        <v>0</v>
      </c>
      <c r="AM32" s="147">
        <f>$A32*CAS_Component!AM32</f>
        <v>0</v>
      </c>
      <c r="AN32" s="159">
        <f>$A32*CAS_Component!AN32</f>
        <v>1.7770000000000001E-2</v>
      </c>
      <c r="AO32" s="147">
        <f>$A32*CAS_Component!AO32</f>
        <v>0</v>
      </c>
      <c r="AP32" s="159">
        <f>$A32*CAS_Component!AP32</f>
        <v>0</v>
      </c>
      <c r="AQ32" s="147">
        <f>$A32*CAS_Component!AQ32</f>
        <v>0</v>
      </c>
      <c r="AR32" s="159">
        <f>$A32*CAS_Component!AR32</f>
        <v>0</v>
      </c>
      <c r="AS32" s="147">
        <f>$A32*CAS_Component!AS32</f>
        <v>0</v>
      </c>
      <c r="AT32" s="159">
        <f>$A32*CAS_Component!AT32</f>
        <v>0</v>
      </c>
      <c r="AU32" s="147">
        <f>$A32*CAS_Component!AU32</f>
        <v>0</v>
      </c>
      <c r="AV32" s="159">
        <f>$A32*CAS_Component!AV32</f>
        <v>0</v>
      </c>
      <c r="AW32" s="147">
        <f>$A32*CAS_Component!AW32</f>
        <v>0</v>
      </c>
      <c r="AX32" s="159">
        <f>$A32*CAS_Component!AX32</f>
        <v>1.7168600000000001</v>
      </c>
      <c r="AY32" s="147">
        <f>$A32*CAS_Component!AY32</f>
        <v>0</v>
      </c>
      <c r="AZ32" s="159">
        <f>$A32*CAS_Component!AZ32</f>
        <v>0</v>
      </c>
      <c r="BA32" s="147">
        <f>$A32*CAS_Component!BA32</f>
        <v>0</v>
      </c>
      <c r="BB32" s="159">
        <f>$A32*CAS_Component!BB32</f>
        <v>0</v>
      </c>
      <c r="BC32" s="147">
        <f>$A32*CAS_Component!BC32</f>
        <v>2.7E-4</v>
      </c>
      <c r="BD32" s="159">
        <f>$A32*CAS_Component!BD32</f>
        <v>0</v>
      </c>
      <c r="BE32" s="147">
        <f>$A32*CAS_Component!BE32</f>
        <v>0</v>
      </c>
      <c r="BF32" s="159">
        <f>$A32*CAS_Component!BF32</f>
        <v>0</v>
      </c>
      <c r="BG32" s="147">
        <f>$A32*CAS_Component!BG32</f>
        <v>0</v>
      </c>
      <c r="BH32" s="159">
        <f>$A32*CAS_Component!BH32</f>
        <v>1.7049999999999999E-2</v>
      </c>
      <c r="BI32" s="147">
        <f>$A32*CAS_Component!BI32</f>
        <v>0</v>
      </c>
      <c r="BJ32" s="159">
        <f>$A32*CAS_Component!BJ32</f>
        <v>0</v>
      </c>
      <c r="BK32" s="147">
        <f>$A32*CAS_Component!BK32</f>
        <v>0</v>
      </c>
      <c r="BL32" s="159">
        <f>$A32*CAS_Component!BL32</f>
        <v>0</v>
      </c>
      <c r="BM32" s="147">
        <f>$A32*CAS_Component!BM32</f>
        <v>0</v>
      </c>
      <c r="BN32" s="159">
        <f>$A32*CAS_Component!BN32</f>
        <v>0</v>
      </c>
      <c r="BO32" s="147">
        <f>$A32*CAS_Component!BO32</f>
        <v>0</v>
      </c>
      <c r="BP32" s="159">
        <f>$A32*CAS_Component!BP32</f>
        <v>0</v>
      </c>
      <c r="BQ32" s="147">
        <f>$A32*CAS_Component!BQ32</f>
        <v>0</v>
      </c>
      <c r="BR32" s="159">
        <f>$A32*CAS_Component!BR32</f>
        <v>0</v>
      </c>
      <c r="BS32" s="147">
        <f>$A32*CAS_Component!BS32</f>
        <v>0</v>
      </c>
      <c r="BT32" s="159">
        <f>$A32*CAS_Component!BT32</f>
        <v>0</v>
      </c>
      <c r="BU32" s="147">
        <f>$A32*CAS_Component!BU32</f>
        <v>0</v>
      </c>
      <c r="BV32" s="159">
        <f>$A32*CAS_Component!BV32</f>
        <v>0</v>
      </c>
      <c r="BW32" s="147">
        <f>$A32*CAS_Component!BW32</f>
        <v>0</v>
      </c>
      <c r="BX32" s="159">
        <f>$A32*CAS_Component!BX32</f>
        <v>0</v>
      </c>
      <c r="BY32" s="147">
        <f>$A32*CAS_Component!BY32</f>
        <v>0</v>
      </c>
      <c r="BZ32" s="159">
        <f>$A32*CAS_Component!BZ32</f>
        <v>0</v>
      </c>
      <c r="CA32" s="147">
        <f>$A32*CAS_Component!CA32</f>
        <v>0</v>
      </c>
      <c r="CB32" s="159">
        <f>$A32*CAS_Component!CB32</f>
        <v>0</v>
      </c>
    </row>
    <row r="33" spans="1:80">
      <c r="A33" s="69">
        <v>2</v>
      </c>
      <c r="B33" s="68" t="s">
        <v>392</v>
      </c>
      <c r="C33" s="67">
        <v>4.54</v>
      </c>
      <c r="D33" s="142">
        <f t="shared" si="3"/>
        <v>9.0808800000000005</v>
      </c>
      <c r="E33" s="147">
        <f>A33*CAS_Component!E33</f>
        <v>0</v>
      </c>
      <c r="F33" s="159">
        <f>$A33*CAS_Component!F33</f>
        <v>0</v>
      </c>
      <c r="G33" s="147">
        <f>$A33*CAS_Component!G33</f>
        <v>0</v>
      </c>
      <c r="H33" s="159">
        <f>$A33*CAS_Component!H33</f>
        <v>0</v>
      </c>
      <c r="I33" s="147">
        <f>$A33*CAS_Component!I33</f>
        <v>0</v>
      </c>
      <c r="J33" s="159">
        <f>$A33*CAS_Component!J33</f>
        <v>0</v>
      </c>
      <c r="K33" s="147">
        <f>$A33*CAS_Component!K33</f>
        <v>0</v>
      </c>
      <c r="L33" s="159">
        <f>$A33*CAS_Component!L33</f>
        <v>0</v>
      </c>
      <c r="M33" s="147">
        <f>$A33*CAS_Component!M33</f>
        <v>0.23571999999999999</v>
      </c>
      <c r="N33" s="159">
        <f>$A33*CAS_Component!N33</f>
        <v>1.5011999999999999E-2</v>
      </c>
      <c r="O33" s="147">
        <f>$A33*CAS_Component!O33</f>
        <v>0</v>
      </c>
      <c r="P33" s="159">
        <f>$A33*CAS_Component!P33</f>
        <v>0</v>
      </c>
      <c r="Q33" s="147">
        <f>$A33*CAS_Component!Q33</f>
        <v>0</v>
      </c>
      <c r="R33" s="159">
        <f>$A33*CAS_Component!R33</f>
        <v>0.26683000000000001</v>
      </c>
      <c r="S33" s="147">
        <f>$A33*CAS_Component!S33</f>
        <v>4.0000000000000001E-3</v>
      </c>
      <c r="T33" s="159">
        <f>$A33*CAS_Component!T33</f>
        <v>0</v>
      </c>
      <c r="U33" s="147">
        <f>$A33*CAS_Component!U33</f>
        <v>0.23083999999999999</v>
      </c>
      <c r="V33" s="159">
        <f>$A33*CAS_Component!V33</f>
        <v>2.6589999999999999E-2</v>
      </c>
      <c r="W33" s="147">
        <f>$A33*CAS_Component!W33</f>
        <v>0</v>
      </c>
      <c r="X33" s="159">
        <f>$A33*CAS_Component!X33</f>
        <v>0</v>
      </c>
      <c r="Y33" s="147">
        <f>$A33*CAS_Component!Y33</f>
        <v>3.7200000000000002E-3</v>
      </c>
      <c r="Z33" s="159">
        <f>$A33*CAS_Component!Z33</f>
        <v>0</v>
      </c>
      <c r="AA33" s="147">
        <f>$A33*CAS_Component!AA33</f>
        <v>0</v>
      </c>
      <c r="AB33" s="159">
        <f>$A33*CAS_Component!AB33</f>
        <v>0</v>
      </c>
      <c r="AC33" s="147">
        <f>$A33*CAS_Component!AC33</f>
        <v>0</v>
      </c>
      <c r="AD33" s="159">
        <f>$A33*CAS_Component!AD33</f>
        <v>0</v>
      </c>
      <c r="AE33" s="147">
        <f>$A33*CAS_Component!AE33</f>
        <v>0</v>
      </c>
      <c r="AF33" s="159">
        <f>$A33*CAS_Component!AF33</f>
        <v>0</v>
      </c>
      <c r="AG33" s="147">
        <f>$A33*CAS_Component!AG33</f>
        <v>0</v>
      </c>
      <c r="AH33" s="159">
        <f>$A33*CAS_Component!AH33</f>
        <v>0</v>
      </c>
      <c r="AI33" s="147">
        <f>$A33*CAS_Component!AI33</f>
        <v>0</v>
      </c>
      <c r="AJ33" s="159">
        <f>$A33*CAS_Component!AJ33</f>
        <v>0</v>
      </c>
      <c r="AK33" s="147">
        <f>$A33*CAS_Component!AK33</f>
        <v>0</v>
      </c>
      <c r="AL33" s="159">
        <f>$A33*CAS_Component!AL33</f>
        <v>0</v>
      </c>
      <c r="AM33" s="147">
        <f>$A33*CAS_Component!AM33</f>
        <v>0</v>
      </c>
      <c r="AN33" s="159">
        <f>$A33*CAS_Component!AN33</f>
        <v>6.4259999999999998E-2</v>
      </c>
      <c r="AO33" s="147">
        <f>$A33*CAS_Component!AO33</f>
        <v>0.24959999999999999</v>
      </c>
      <c r="AP33" s="159">
        <f>$A33*CAS_Component!AP33</f>
        <v>0</v>
      </c>
      <c r="AQ33" s="147">
        <f>$A33*CAS_Component!AQ33</f>
        <v>0</v>
      </c>
      <c r="AR33" s="159">
        <f>$A33*CAS_Component!AR33</f>
        <v>0</v>
      </c>
      <c r="AS33" s="147">
        <f>$A33*CAS_Component!AS33</f>
        <v>1.33E-3</v>
      </c>
      <c r="AT33" s="159">
        <f>$A33*CAS_Component!AT33</f>
        <v>0</v>
      </c>
      <c r="AU33" s="147">
        <f>$A33*CAS_Component!AU33</f>
        <v>0</v>
      </c>
      <c r="AV33" s="159">
        <f>$A33*CAS_Component!AV33</f>
        <v>0</v>
      </c>
      <c r="AW33" s="147">
        <f>$A33*CAS_Component!AW33</f>
        <v>8.5171999999999998E-2</v>
      </c>
      <c r="AX33" s="159">
        <f>$A33*CAS_Component!AX33</f>
        <v>7.7096200000000001</v>
      </c>
      <c r="AY33" s="147">
        <f>$A33*CAS_Component!AY33</f>
        <v>0</v>
      </c>
      <c r="AZ33" s="159">
        <f>$A33*CAS_Component!AZ33</f>
        <v>2.8049999999999999E-2</v>
      </c>
      <c r="BA33" s="147">
        <f>$A33*CAS_Component!BA33</f>
        <v>0</v>
      </c>
      <c r="BB33" s="159">
        <f>$A33*CAS_Component!BB33</f>
        <v>0</v>
      </c>
      <c r="BC33" s="147">
        <f>$A33*CAS_Component!BC33</f>
        <v>2.3199999999999998E-2</v>
      </c>
      <c r="BD33" s="159">
        <f>$A33*CAS_Component!BD33</f>
        <v>3.3159999999999999E-3</v>
      </c>
      <c r="BE33" s="147">
        <f>$A33*CAS_Component!BE33</f>
        <v>0</v>
      </c>
      <c r="BF33" s="159">
        <f>$A33*CAS_Component!BF33</f>
        <v>0</v>
      </c>
      <c r="BG33" s="147">
        <f>$A33*CAS_Component!BG33</f>
        <v>0</v>
      </c>
      <c r="BH33" s="159">
        <f>$A33*CAS_Component!BH33</f>
        <v>0</v>
      </c>
      <c r="BI33" s="147">
        <f>$A33*CAS_Component!BI33</f>
        <v>0.13362000000000002</v>
      </c>
      <c r="BJ33" s="159">
        <f>$A33*CAS_Component!BJ33</f>
        <v>0</v>
      </c>
      <c r="BK33" s="147">
        <f>$A33*CAS_Component!BK33</f>
        <v>0</v>
      </c>
      <c r="BL33" s="159">
        <f>$A33*CAS_Component!BL33</f>
        <v>0</v>
      </c>
      <c r="BM33" s="147">
        <f>$A33*CAS_Component!BM33</f>
        <v>0</v>
      </c>
      <c r="BN33" s="159">
        <f>$A33*CAS_Component!BN33</f>
        <v>0</v>
      </c>
      <c r="BO33" s="147">
        <f>$A33*CAS_Component!BO33</f>
        <v>0</v>
      </c>
      <c r="BP33" s="159">
        <f>$A33*CAS_Component!BP33</f>
        <v>0</v>
      </c>
      <c r="BQ33" s="147">
        <f>$A33*CAS_Component!BQ33</f>
        <v>0</v>
      </c>
      <c r="BR33" s="159">
        <f>$A33*CAS_Component!BR33</f>
        <v>0</v>
      </c>
      <c r="BS33" s="147">
        <f>$A33*CAS_Component!BS33</f>
        <v>0</v>
      </c>
      <c r="BT33" s="159">
        <f>$A33*CAS_Component!BT33</f>
        <v>0</v>
      </c>
      <c r="BU33" s="147">
        <f>$A33*CAS_Component!BU33</f>
        <v>0</v>
      </c>
      <c r="BV33" s="159">
        <f>$A33*CAS_Component!BV33</f>
        <v>0</v>
      </c>
      <c r="BW33" s="147">
        <f>$A33*CAS_Component!BW33</f>
        <v>0</v>
      </c>
      <c r="BX33" s="159">
        <f>$A33*CAS_Component!BX33</f>
        <v>0</v>
      </c>
      <c r="BY33" s="147">
        <f>$A33*CAS_Component!BY33</f>
        <v>0</v>
      </c>
      <c r="BZ33" s="159">
        <f>$A33*CAS_Component!BZ33</f>
        <v>0</v>
      </c>
      <c r="CA33" s="147">
        <f>$A33*CAS_Component!CA33</f>
        <v>0</v>
      </c>
      <c r="CB33" s="159">
        <f>$A33*CAS_Component!CB33</f>
        <v>0</v>
      </c>
    </row>
    <row r="34" spans="1:80">
      <c r="A34" s="69">
        <v>7</v>
      </c>
      <c r="B34" s="68" t="s">
        <v>388</v>
      </c>
      <c r="C34" s="67">
        <v>2.1611199999999999</v>
      </c>
      <c r="D34" s="142">
        <f t="shared" si="3"/>
        <v>15.127133000000001</v>
      </c>
      <c r="E34" s="147">
        <f>A34*CAS_Component!E34</f>
        <v>0</v>
      </c>
      <c r="F34" s="159">
        <f>$A34*CAS_Component!F34</f>
        <v>0</v>
      </c>
      <c r="G34" s="147">
        <f>$A34*CAS_Component!G34</f>
        <v>0</v>
      </c>
      <c r="H34" s="159">
        <f>$A34*CAS_Component!H34</f>
        <v>0</v>
      </c>
      <c r="I34" s="147">
        <f>$A34*CAS_Component!I34</f>
        <v>6.5723000000000004E-2</v>
      </c>
      <c r="J34" s="159">
        <f>$A34*CAS_Component!J34</f>
        <v>0</v>
      </c>
      <c r="K34" s="147">
        <f>$A34*CAS_Component!K34</f>
        <v>0</v>
      </c>
      <c r="L34" s="159">
        <f>$A34*CAS_Component!L34</f>
        <v>0</v>
      </c>
      <c r="M34" s="147">
        <f>$A34*CAS_Component!M34</f>
        <v>0.45002300000000001</v>
      </c>
      <c r="N34" s="159">
        <f>$A34*CAS_Component!N34</f>
        <v>5.6700000000000001E-4</v>
      </c>
      <c r="O34" s="147">
        <f>$A34*CAS_Component!O34</f>
        <v>0</v>
      </c>
      <c r="P34" s="159">
        <f>$A34*CAS_Component!P34</f>
        <v>0</v>
      </c>
      <c r="Q34" s="147">
        <f>$A34*CAS_Component!Q34</f>
        <v>0</v>
      </c>
      <c r="R34" s="159">
        <f>$A34*CAS_Component!R34</f>
        <v>0.86799999999999999</v>
      </c>
      <c r="S34" s="147">
        <f>$A34*CAS_Component!S34</f>
        <v>1.225E-3</v>
      </c>
      <c r="T34" s="159">
        <f>$A34*CAS_Component!T34</f>
        <v>0</v>
      </c>
      <c r="U34" s="147">
        <f>$A34*CAS_Component!U34</f>
        <v>0.60899300000000001</v>
      </c>
      <c r="V34" s="159">
        <f>$A34*CAS_Component!V34</f>
        <v>0</v>
      </c>
      <c r="W34" s="147">
        <f>$A34*CAS_Component!W34</f>
        <v>0</v>
      </c>
      <c r="X34" s="159">
        <f>$A34*CAS_Component!X34</f>
        <v>0</v>
      </c>
      <c r="Y34" s="147">
        <f>$A34*CAS_Component!Y34</f>
        <v>5.3899999999999998E-4</v>
      </c>
      <c r="Z34" s="159">
        <f>$A34*CAS_Component!Z34</f>
        <v>0</v>
      </c>
      <c r="AA34" s="147">
        <f>$A34*CAS_Component!AA34</f>
        <v>8.4343000000000001E-2</v>
      </c>
      <c r="AB34" s="159">
        <f>$A34*CAS_Component!AB34</f>
        <v>0</v>
      </c>
      <c r="AC34" s="147">
        <f>$A34*CAS_Component!AC34</f>
        <v>0</v>
      </c>
      <c r="AD34" s="159">
        <f>$A34*CAS_Component!AD34</f>
        <v>0.32081699999999996</v>
      </c>
      <c r="AE34" s="147">
        <f>$A34*CAS_Component!AE34</f>
        <v>0</v>
      </c>
      <c r="AF34" s="159">
        <f>$A34*CAS_Component!AF34</f>
        <v>0.25720100000000001</v>
      </c>
      <c r="AG34" s="147">
        <f>$A34*CAS_Component!AG34</f>
        <v>0</v>
      </c>
      <c r="AH34" s="159">
        <f>$A34*CAS_Component!AH34</f>
        <v>0</v>
      </c>
      <c r="AI34" s="147">
        <f>$A34*CAS_Component!AI34</f>
        <v>0</v>
      </c>
      <c r="AJ34" s="159">
        <f>$A34*CAS_Component!AJ34</f>
        <v>8.1193000000000001E-2</v>
      </c>
      <c r="AK34" s="147">
        <f>$A34*CAS_Component!AK34</f>
        <v>0</v>
      </c>
      <c r="AL34" s="159">
        <f>$A34*CAS_Component!AL34</f>
        <v>1.085E-3</v>
      </c>
      <c r="AM34" s="147">
        <f>$A34*CAS_Component!AM34</f>
        <v>0</v>
      </c>
      <c r="AN34" s="159">
        <f>$A34*CAS_Component!AN34</f>
        <v>0.126</v>
      </c>
      <c r="AO34" s="147">
        <f>$A34*CAS_Component!AO34</f>
        <v>0</v>
      </c>
      <c r="AP34" s="159">
        <f>$A34*CAS_Component!AP34</f>
        <v>0</v>
      </c>
      <c r="AQ34" s="147">
        <f>$A34*CAS_Component!AQ34</f>
        <v>0</v>
      </c>
      <c r="AR34" s="159">
        <f>$A34*CAS_Component!AR34</f>
        <v>0</v>
      </c>
      <c r="AS34" s="147">
        <f>$A34*CAS_Component!AS34</f>
        <v>0</v>
      </c>
      <c r="AT34" s="159">
        <f>$A34*CAS_Component!AT34</f>
        <v>0</v>
      </c>
      <c r="AU34" s="147">
        <f>$A34*CAS_Component!AU34</f>
        <v>0</v>
      </c>
      <c r="AV34" s="159">
        <f>$A34*CAS_Component!AV34</f>
        <v>0</v>
      </c>
      <c r="AW34" s="147">
        <f>$A34*CAS_Component!AW34</f>
        <v>0</v>
      </c>
      <c r="AX34" s="159">
        <f>$A34*CAS_Component!AX34</f>
        <v>12.1716</v>
      </c>
      <c r="AY34" s="147">
        <f>$A34*CAS_Component!AY34</f>
        <v>3.78E-2</v>
      </c>
      <c r="AZ34" s="159">
        <f>$A34*CAS_Component!AZ34</f>
        <v>2.2141000000000001E-2</v>
      </c>
      <c r="BA34" s="147">
        <f>$A34*CAS_Component!BA34</f>
        <v>2.2099000000000001E-2</v>
      </c>
      <c r="BB34" s="159">
        <f>$A34*CAS_Component!BB34</f>
        <v>4.3680000000000004E-3</v>
      </c>
      <c r="BC34" s="147">
        <f>$A34*CAS_Component!BC34</f>
        <v>2.3940000000000003E-3</v>
      </c>
      <c r="BD34" s="159">
        <f>$A34*CAS_Component!BD34</f>
        <v>1.0219999999999999E-3</v>
      </c>
      <c r="BE34" s="147">
        <f>$A34*CAS_Component!BE34</f>
        <v>0</v>
      </c>
      <c r="BF34" s="159">
        <f>$A34*CAS_Component!BF34</f>
        <v>0</v>
      </c>
      <c r="BG34" s="147">
        <f>$A34*CAS_Component!BG34</f>
        <v>0</v>
      </c>
      <c r="BH34" s="159">
        <f>$A34*CAS_Component!BH34</f>
        <v>0</v>
      </c>
      <c r="BI34" s="147">
        <f>$A34*CAS_Component!BI34</f>
        <v>0</v>
      </c>
      <c r="BJ34" s="159">
        <f>$A34*CAS_Component!BJ34</f>
        <v>0</v>
      </c>
      <c r="BK34" s="147">
        <f>$A34*CAS_Component!BK34</f>
        <v>0</v>
      </c>
      <c r="BL34" s="159">
        <f>$A34*CAS_Component!BL34</f>
        <v>0</v>
      </c>
      <c r="BM34" s="147">
        <f>$A34*CAS_Component!BM34</f>
        <v>0</v>
      </c>
      <c r="BN34" s="159">
        <f>$A34*CAS_Component!BN34</f>
        <v>0</v>
      </c>
      <c r="BO34" s="147">
        <f>$A34*CAS_Component!BO34</f>
        <v>0</v>
      </c>
      <c r="BP34" s="159">
        <f>$A34*CAS_Component!BP34</f>
        <v>0</v>
      </c>
      <c r="BQ34" s="147">
        <f>$A34*CAS_Component!BQ34</f>
        <v>0</v>
      </c>
      <c r="BR34" s="159">
        <f>$A34*CAS_Component!BR34</f>
        <v>0</v>
      </c>
      <c r="BS34" s="147">
        <f>$A34*CAS_Component!BS34</f>
        <v>0</v>
      </c>
      <c r="BT34" s="159">
        <f>$A34*CAS_Component!BT34</f>
        <v>0</v>
      </c>
      <c r="BU34" s="147">
        <f>$A34*CAS_Component!BU34</f>
        <v>0</v>
      </c>
      <c r="BV34" s="159">
        <f>$A34*CAS_Component!BV34</f>
        <v>0</v>
      </c>
      <c r="BW34" s="147">
        <f>$A34*CAS_Component!BW34</f>
        <v>0</v>
      </c>
      <c r="BX34" s="159">
        <f>$A34*CAS_Component!BX34</f>
        <v>0</v>
      </c>
      <c r="BY34" s="147">
        <f>$A34*CAS_Component!BY34</f>
        <v>0</v>
      </c>
      <c r="BZ34" s="159">
        <f>$A34*CAS_Component!BZ34</f>
        <v>0</v>
      </c>
      <c r="CA34" s="147">
        <f>$A34*CAS_Component!CA34</f>
        <v>0</v>
      </c>
      <c r="CB34" s="159">
        <f>$A34*CAS_Component!CB34</f>
        <v>0</v>
      </c>
    </row>
    <row r="35" spans="1:80">
      <c r="A35" s="69">
        <v>2</v>
      </c>
      <c r="B35" s="68" t="s">
        <v>385</v>
      </c>
      <c r="C35" s="67">
        <v>2.1611199999999999</v>
      </c>
      <c r="D35" s="142">
        <f t="shared" si="3"/>
        <v>4.3220379999999992</v>
      </c>
      <c r="E35" s="147">
        <f>A35*CAS_Component!E35</f>
        <v>0</v>
      </c>
      <c r="F35" s="159">
        <f>$A35*CAS_Component!F35</f>
        <v>0</v>
      </c>
      <c r="G35" s="147">
        <f>$A35*CAS_Component!G35</f>
        <v>0</v>
      </c>
      <c r="H35" s="159">
        <f>$A35*CAS_Component!H35</f>
        <v>0</v>
      </c>
      <c r="I35" s="147">
        <f>$A35*CAS_Component!I35</f>
        <v>1.8778E-2</v>
      </c>
      <c r="J35" s="159">
        <f>$A35*CAS_Component!J35</f>
        <v>0</v>
      </c>
      <c r="K35" s="147">
        <f>$A35*CAS_Component!K35</f>
        <v>0</v>
      </c>
      <c r="L35" s="159">
        <f>$A35*CAS_Component!L35</f>
        <v>0</v>
      </c>
      <c r="M35" s="147">
        <f>$A35*CAS_Component!M35</f>
        <v>0.128578</v>
      </c>
      <c r="N35" s="159">
        <f>$A35*CAS_Component!N35</f>
        <v>1.6200000000000001E-4</v>
      </c>
      <c r="O35" s="147">
        <f>$A35*CAS_Component!O35</f>
        <v>0</v>
      </c>
      <c r="P35" s="159">
        <f>$A35*CAS_Component!P35</f>
        <v>0</v>
      </c>
      <c r="Q35" s="147">
        <f>$A35*CAS_Component!Q35</f>
        <v>0</v>
      </c>
      <c r="R35" s="159">
        <f>$A35*CAS_Component!R35</f>
        <v>0.248</v>
      </c>
      <c r="S35" s="147">
        <f>$A35*CAS_Component!S35</f>
        <v>3.5E-4</v>
      </c>
      <c r="T35" s="159">
        <f>$A35*CAS_Component!T35</f>
        <v>0</v>
      </c>
      <c r="U35" s="147">
        <f>$A35*CAS_Component!U35</f>
        <v>0.17399800000000001</v>
      </c>
      <c r="V35" s="159">
        <f>$A35*CAS_Component!V35</f>
        <v>0</v>
      </c>
      <c r="W35" s="147">
        <f>$A35*CAS_Component!W35</f>
        <v>0</v>
      </c>
      <c r="X35" s="159">
        <f>$A35*CAS_Component!X35</f>
        <v>0</v>
      </c>
      <c r="Y35" s="147">
        <f>$A35*CAS_Component!Y35</f>
        <v>1.54E-4</v>
      </c>
      <c r="Z35" s="159">
        <f>$A35*CAS_Component!Z35</f>
        <v>0</v>
      </c>
      <c r="AA35" s="147">
        <f>$A35*CAS_Component!AA35</f>
        <v>2.4098000000000001E-2</v>
      </c>
      <c r="AB35" s="159">
        <f>$A35*CAS_Component!AB35</f>
        <v>0</v>
      </c>
      <c r="AC35" s="147">
        <f>$A35*CAS_Component!AC35</f>
        <v>0</v>
      </c>
      <c r="AD35" s="159">
        <f>$A35*CAS_Component!AD35</f>
        <v>9.1661999999999993E-2</v>
      </c>
      <c r="AE35" s="147">
        <f>$A35*CAS_Component!AE35</f>
        <v>0</v>
      </c>
      <c r="AF35" s="159">
        <f>$A35*CAS_Component!AF35</f>
        <v>7.3485999999999996E-2</v>
      </c>
      <c r="AG35" s="147">
        <f>$A35*CAS_Component!AG35</f>
        <v>0</v>
      </c>
      <c r="AH35" s="159">
        <f>$A35*CAS_Component!AH35</f>
        <v>0</v>
      </c>
      <c r="AI35" s="147">
        <f>$A35*CAS_Component!AI35</f>
        <v>0</v>
      </c>
      <c r="AJ35" s="159">
        <f>$A35*CAS_Component!AJ35</f>
        <v>2.3198E-2</v>
      </c>
      <c r="AK35" s="147">
        <f>$A35*CAS_Component!AK35</f>
        <v>0</v>
      </c>
      <c r="AL35" s="159">
        <f>$A35*CAS_Component!AL35</f>
        <v>3.1E-4</v>
      </c>
      <c r="AM35" s="147">
        <f>$A35*CAS_Component!AM35</f>
        <v>0</v>
      </c>
      <c r="AN35" s="159">
        <f>$A35*CAS_Component!AN35</f>
        <v>3.5999999999999997E-2</v>
      </c>
      <c r="AO35" s="147">
        <f>$A35*CAS_Component!AO35</f>
        <v>0</v>
      </c>
      <c r="AP35" s="159">
        <f>$A35*CAS_Component!AP35</f>
        <v>0</v>
      </c>
      <c r="AQ35" s="147">
        <f>$A35*CAS_Component!AQ35</f>
        <v>0</v>
      </c>
      <c r="AR35" s="159">
        <f>$A35*CAS_Component!AR35</f>
        <v>0</v>
      </c>
      <c r="AS35" s="147">
        <f>$A35*CAS_Component!AS35</f>
        <v>0</v>
      </c>
      <c r="AT35" s="159">
        <f>$A35*CAS_Component!AT35</f>
        <v>0</v>
      </c>
      <c r="AU35" s="147">
        <f>$A35*CAS_Component!AU35</f>
        <v>0</v>
      </c>
      <c r="AV35" s="159">
        <f>$A35*CAS_Component!AV35</f>
        <v>0</v>
      </c>
      <c r="AW35" s="147">
        <f>$A35*CAS_Component!AW35</f>
        <v>0</v>
      </c>
      <c r="AX35" s="159">
        <f>$A35*CAS_Component!AX35</f>
        <v>3.4775999999999998</v>
      </c>
      <c r="AY35" s="147">
        <f>$A35*CAS_Component!AY35</f>
        <v>1.0800000000000001E-2</v>
      </c>
      <c r="AZ35" s="159">
        <f>$A35*CAS_Component!AZ35</f>
        <v>6.326E-3</v>
      </c>
      <c r="BA35" s="147">
        <f>$A35*CAS_Component!BA35</f>
        <v>6.3140000000000002E-3</v>
      </c>
      <c r="BB35" s="159">
        <f>$A35*CAS_Component!BB35</f>
        <v>1.248E-3</v>
      </c>
      <c r="BC35" s="147">
        <f>$A35*CAS_Component!BC35</f>
        <v>6.8400000000000004E-4</v>
      </c>
      <c r="BD35" s="159">
        <f>$A35*CAS_Component!BD35</f>
        <v>2.92E-4</v>
      </c>
      <c r="BE35" s="147">
        <f>$A35*CAS_Component!BE35</f>
        <v>0</v>
      </c>
      <c r="BF35" s="159">
        <f>$A35*CAS_Component!BF35</f>
        <v>0</v>
      </c>
      <c r="BG35" s="147">
        <f>$A35*CAS_Component!BG35</f>
        <v>0</v>
      </c>
      <c r="BH35" s="159">
        <f>$A35*CAS_Component!BH35</f>
        <v>0</v>
      </c>
      <c r="BI35" s="147">
        <f>$A35*CAS_Component!BI35</f>
        <v>0</v>
      </c>
      <c r="BJ35" s="159">
        <f>$A35*CAS_Component!BJ35</f>
        <v>0</v>
      </c>
      <c r="BK35" s="147">
        <f>$A35*CAS_Component!BK35</f>
        <v>0</v>
      </c>
      <c r="BL35" s="159">
        <f>$A35*CAS_Component!BL35</f>
        <v>0</v>
      </c>
      <c r="BM35" s="147">
        <f>$A35*CAS_Component!BM35</f>
        <v>0</v>
      </c>
      <c r="BN35" s="159">
        <f>$A35*CAS_Component!BN35</f>
        <v>0</v>
      </c>
      <c r="BO35" s="147">
        <f>$A35*CAS_Component!BO35</f>
        <v>0</v>
      </c>
      <c r="BP35" s="159">
        <f>$A35*CAS_Component!BP35</f>
        <v>0</v>
      </c>
      <c r="BQ35" s="147">
        <f>$A35*CAS_Component!BQ35</f>
        <v>0</v>
      </c>
      <c r="BR35" s="159">
        <f>$A35*CAS_Component!BR35</f>
        <v>0</v>
      </c>
      <c r="BS35" s="147">
        <f>$A35*CAS_Component!BS35</f>
        <v>0</v>
      </c>
      <c r="BT35" s="159">
        <f>$A35*CAS_Component!BT35</f>
        <v>0</v>
      </c>
      <c r="BU35" s="147">
        <f>$A35*CAS_Component!BU35</f>
        <v>0</v>
      </c>
      <c r="BV35" s="159">
        <f>$A35*CAS_Component!BV35</f>
        <v>0</v>
      </c>
      <c r="BW35" s="147">
        <f>$A35*CAS_Component!BW35</f>
        <v>0</v>
      </c>
      <c r="BX35" s="159">
        <f>$A35*CAS_Component!BX35</f>
        <v>0</v>
      </c>
      <c r="BY35" s="147">
        <f>$A35*CAS_Component!BY35</f>
        <v>0</v>
      </c>
      <c r="BZ35" s="159">
        <f>$A35*CAS_Component!BZ35</f>
        <v>0</v>
      </c>
      <c r="CA35" s="147">
        <f>$A35*CAS_Component!CA35</f>
        <v>0</v>
      </c>
      <c r="CB35" s="159">
        <f>$A35*CAS_Component!CB35</f>
        <v>0</v>
      </c>
    </row>
    <row r="36" spans="1:80">
      <c r="A36" s="69">
        <v>7</v>
      </c>
      <c r="B36" s="68" t="s">
        <v>381</v>
      </c>
      <c r="C36" s="67">
        <v>2.47343</v>
      </c>
      <c r="D36" s="142">
        <f t="shared" si="3"/>
        <v>17.294970000000003</v>
      </c>
      <c r="E36" s="147">
        <f>A36*CAS_Component!E36</f>
        <v>0</v>
      </c>
      <c r="F36" s="159">
        <f>$A36*CAS_Component!F36</f>
        <v>0</v>
      </c>
      <c r="G36" s="147">
        <f>$A36*CAS_Component!G36</f>
        <v>0</v>
      </c>
      <c r="H36" s="159">
        <f>$A36*CAS_Component!H36</f>
        <v>0</v>
      </c>
      <c r="I36" s="147">
        <f>$A36*CAS_Component!I36</f>
        <v>0</v>
      </c>
      <c r="J36" s="159">
        <f>$A36*CAS_Component!J36</f>
        <v>0</v>
      </c>
      <c r="K36" s="147">
        <f>$A36*CAS_Component!K36</f>
        <v>0</v>
      </c>
      <c r="L36" s="159">
        <f>$A36*CAS_Component!L36</f>
        <v>0</v>
      </c>
      <c r="M36" s="147">
        <f>$A36*CAS_Component!M36</f>
        <v>0.22477</v>
      </c>
      <c r="N36" s="159">
        <f>$A36*CAS_Component!N36</f>
        <v>0</v>
      </c>
      <c r="O36" s="147">
        <f>$A36*CAS_Component!O36</f>
        <v>0</v>
      </c>
      <c r="P36" s="159">
        <f>$A36*CAS_Component!P36</f>
        <v>0</v>
      </c>
      <c r="Q36" s="147">
        <f>$A36*CAS_Component!Q36</f>
        <v>0</v>
      </c>
      <c r="R36" s="159">
        <f>$A36*CAS_Component!R36</f>
        <v>0.72351999999999994</v>
      </c>
      <c r="S36" s="147">
        <f>$A36*CAS_Component!S36</f>
        <v>2.2400000000000002E-3</v>
      </c>
      <c r="T36" s="159">
        <f>$A36*CAS_Component!T36</f>
        <v>0</v>
      </c>
      <c r="U36" s="147">
        <f>$A36*CAS_Component!U36</f>
        <v>0.37835000000000002</v>
      </c>
      <c r="V36" s="159">
        <f>$A36*CAS_Component!V36</f>
        <v>0</v>
      </c>
      <c r="W36" s="147">
        <f>$A36*CAS_Component!W36</f>
        <v>0</v>
      </c>
      <c r="X36" s="159">
        <f>$A36*CAS_Component!X36</f>
        <v>0</v>
      </c>
      <c r="Y36" s="147">
        <f>$A36*CAS_Component!Y36</f>
        <v>0</v>
      </c>
      <c r="Z36" s="159">
        <f>$A36*CAS_Component!Z36</f>
        <v>0</v>
      </c>
      <c r="AA36" s="147">
        <f>$A36*CAS_Component!AA36</f>
        <v>0</v>
      </c>
      <c r="AB36" s="159">
        <f>$A36*CAS_Component!AB36</f>
        <v>0</v>
      </c>
      <c r="AC36" s="147">
        <f>$A36*CAS_Component!AC36</f>
        <v>0</v>
      </c>
      <c r="AD36" s="159">
        <f>$A36*CAS_Component!AD36</f>
        <v>0</v>
      </c>
      <c r="AE36" s="147">
        <f>$A36*CAS_Component!AE36</f>
        <v>0</v>
      </c>
      <c r="AF36" s="159">
        <f>$A36*CAS_Component!AF36</f>
        <v>0.20006000000000002</v>
      </c>
      <c r="AG36" s="147">
        <f>$A36*CAS_Component!AG36</f>
        <v>0</v>
      </c>
      <c r="AH36" s="159">
        <f>$A36*CAS_Component!AH36</f>
        <v>0</v>
      </c>
      <c r="AI36" s="147">
        <f>$A36*CAS_Component!AI36</f>
        <v>0</v>
      </c>
      <c r="AJ36" s="159">
        <f>$A36*CAS_Component!AJ36</f>
        <v>0</v>
      </c>
      <c r="AK36" s="147">
        <f>$A36*CAS_Component!AK36</f>
        <v>0</v>
      </c>
      <c r="AL36" s="159">
        <f>$A36*CAS_Component!AL36</f>
        <v>0</v>
      </c>
      <c r="AM36" s="147">
        <f>$A36*CAS_Component!AM36</f>
        <v>0</v>
      </c>
      <c r="AN36" s="159">
        <f>$A36*CAS_Component!AN36</f>
        <v>0.31080000000000002</v>
      </c>
      <c r="AO36" s="147">
        <f>$A36*CAS_Component!AO36</f>
        <v>0.31080000000000002</v>
      </c>
      <c r="AP36" s="159">
        <f>$A36*CAS_Component!AP36</f>
        <v>0</v>
      </c>
      <c r="AQ36" s="147">
        <f>$A36*CAS_Component!AQ36</f>
        <v>0</v>
      </c>
      <c r="AR36" s="159">
        <f>$A36*CAS_Component!AR36</f>
        <v>0</v>
      </c>
      <c r="AS36" s="147">
        <f>$A36*CAS_Component!AS36</f>
        <v>0</v>
      </c>
      <c r="AT36" s="159">
        <f>$A36*CAS_Component!AT36</f>
        <v>0</v>
      </c>
      <c r="AU36" s="147">
        <f>$A36*CAS_Component!AU36</f>
        <v>0</v>
      </c>
      <c r="AV36" s="159">
        <f>$A36*CAS_Component!AV36</f>
        <v>0</v>
      </c>
      <c r="AW36" s="147">
        <f>$A36*CAS_Component!AW36</f>
        <v>0</v>
      </c>
      <c r="AX36" s="159">
        <f>$A36*CAS_Component!AX36</f>
        <v>14.918400000000002</v>
      </c>
      <c r="AY36" s="147">
        <f>$A36*CAS_Component!AY36</f>
        <v>0</v>
      </c>
      <c r="AZ36" s="159">
        <f>$A36*CAS_Component!AZ36</f>
        <v>7.6439999999999994E-2</v>
      </c>
      <c r="BA36" s="147">
        <f>$A36*CAS_Component!BA36</f>
        <v>0</v>
      </c>
      <c r="BB36" s="159">
        <f>$A36*CAS_Component!BB36</f>
        <v>0</v>
      </c>
      <c r="BC36" s="147">
        <f>$A36*CAS_Component!BC36</f>
        <v>0</v>
      </c>
      <c r="BD36" s="159">
        <f>$A36*CAS_Component!BD36</f>
        <v>0</v>
      </c>
      <c r="BE36" s="147">
        <f>$A36*CAS_Component!BE36</f>
        <v>0</v>
      </c>
      <c r="BF36" s="159">
        <f>$A36*CAS_Component!BF36</f>
        <v>0</v>
      </c>
      <c r="BG36" s="147">
        <f>$A36*CAS_Component!BG36</f>
        <v>0.14959</v>
      </c>
      <c r="BH36" s="159">
        <f>$A36*CAS_Component!BH36</f>
        <v>0</v>
      </c>
      <c r="BI36" s="147">
        <f>$A36*CAS_Component!BI36</f>
        <v>0</v>
      </c>
      <c r="BJ36" s="159">
        <f>$A36*CAS_Component!BJ36</f>
        <v>0</v>
      </c>
      <c r="BK36" s="147">
        <f>$A36*CAS_Component!BK36</f>
        <v>0</v>
      </c>
      <c r="BL36" s="159">
        <f>$A36*CAS_Component!BL36</f>
        <v>0</v>
      </c>
      <c r="BM36" s="147">
        <f>$A36*CAS_Component!BM36</f>
        <v>0</v>
      </c>
      <c r="BN36" s="159">
        <f>$A36*CAS_Component!BN36</f>
        <v>0</v>
      </c>
      <c r="BO36" s="147">
        <f>$A36*CAS_Component!BO36</f>
        <v>0</v>
      </c>
      <c r="BP36" s="159">
        <f>$A36*CAS_Component!BP36</f>
        <v>0</v>
      </c>
      <c r="BQ36" s="147">
        <f>$A36*CAS_Component!BQ36</f>
        <v>0</v>
      </c>
      <c r="BR36" s="159">
        <f>$A36*CAS_Component!BR36</f>
        <v>0</v>
      </c>
      <c r="BS36" s="147">
        <f>$A36*CAS_Component!BS36</f>
        <v>0</v>
      </c>
      <c r="BT36" s="159">
        <f>$A36*CAS_Component!BT36</f>
        <v>0</v>
      </c>
      <c r="BU36" s="147">
        <f>$A36*CAS_Component!BU36</f>
        <v>0</v>
      </c>
      <c r="BV36" s="159">
        <f>$A36*CAS_Component!BV36</f>
        <v>0</v>
      </c>
      <c r="BW36" s="147">
        <f>$A36*CAS_Component!BW36</f>
        <v>0</v>
      </c>
      <c r="BX36" s="159">
        <f>$A36*CAS_Component!BX36</f>
        <v>0</v>
      </c>
      <c r="BY36" s="147">
        <f>$A36*CAS_Component!BY36</f>
        <v>0</v>
      </c>
      <c r="BZ36" s="159">
        <f>$A36*CAS_Component!BZ36</f>
        <v>0</v>
      </c>
      <c r="CA36" s="147">
        <f>$A36*CAS_Component!CA36</f>
        <v>0</v>
      </c>
      <c r="CB36" s="159">
        <f>$A36*CAS_Component!CB36</f>
        <v>0</v>
      </c>
    </row>
    <row r="37" spans="1:80">
      <c r="A37" s="69">
        <v>7</v>
      </c>
      <c r="B37" s="68" t="s">
        <v>377</v>
      </c>
      <c r="C37" s="67">
        <v>2.47343</v>
      </c>
      <c r="D37" s="159">
        <f t="shared" si="3"/>
        <v>17.294970000000003</v>
      </c>
      <c r="E37" s="147">
        <f>A37*CAS_Component!E37</f>
        <v>0</v>
      </c>
      <c r="F37" s="159">
        <f>$A37*CAS_Component!F37</f>
        <v>0</v>
      </c>
      <c r="G37" s="147">
        <f>$A37*CAS_Component!G37</f>
        <v>0</v>
      </c>
      <c r="H37" s="159">
        <f>$A37*CAS_Component!H37</f>
        <v>0</v>
      </c>
      <c r="I37" s="147">
        <f>$A37*CAS_Component!I37</f>
        <v>0</v>
      </c>
      <c r="J37" s="159">
        <f>$A37*CAS_Component!J37</f>
        <v>0</v>
      </c>
      <c r="K37" s="147">
        <f>$A37*CAS_Component!K37</f>
        <v>0</v>
      </c>
      <c r="L37" s="159">
        <f>$A37*CAS_Component!L37</f>
        <v>0</v>
      </c>
      <c r="M37" s="147">
        <f>$A37*CAS_Component!M37</f>
        <v>0.22477</v>
      </c>
      <c r="N37" s="159">
        <f>$A37*CAS_Component!N37</f>
        <v>0</v>
      </c>
      <c r="O37" s="147">
        <f>$A37*CAS_Component!O37</f>
        <v>0</v>
      </c>
      <c r="P37" s="159">
        <f>$A37*CAS_Component!P37</f>
        <v>0</v>
      </c>
      <c r="Q37" s="147">
        <f>$A37*CAS_Component!Q37</f>
        <v>0</v>
      </c>
      <c r="R37" s="159">
        <f>$A37*CAS_Component!R37</f>
        <v>0.72351999999999994</v>
      </c>
      <c r="S37" s="147">
        <f>$A37*CAS_Component!S37</f>
        <v>2.2400000000000002E-3</v>
      </c>
      <c r="T37" s="159">
        <f>$A37*CAS_Component!T37</f>
        <v>0</v>
      </c>
      <c r="U37" s="147">
        <f>$A37*CAS_Component!U37</f>
        <v>0.37835000000000002</v>
      </c>
      <c r="V37" s="159">
        <f>$A37*CAS_Component!V37</f>
        <v>0</v>
      </c>
      <c r="W37" s="147">
        <f>$A37*CAS_Component!W37</f>
        <v>0</v>
      </c>
      <c r="X37" s="159">
        <f>$A37*CAS_Component!X37</f>
        <v>0</v>
      </c>
      <c r="Y37" s="147">
        <f>$A37*CAS_Component!Y37</f>
        <v>0</v>
      </c>
      <c r="Z37" s="159">
        <f>$A37*CAS_Component!Z37</f>
        <v>0</v>
      </c>
      <c r="AA37" s="147">
        <f>$A37*CAS_Component!AA37</f>
        <v>0</v>
      </c>
      <c r="AB37" s="159">
        <f>$A37*CAS_Component!AB37</f>
        <v>0</v>
      </c>
      <c r="AC37" s="147">
        <f>$A37*CAS_Component!AC37</f>
        <v>0</v>
      </c>
      <c r="AD37" s="159">
        <f>$A37*CAS_Component!AD37</f>
        <v>0</v>
      </c>
      <c r="AE37" s="147">
        <f>$A37*CAS_Component!AE37</f>
        <v>0</v>
      </c>
      <c r="AF37" s="159">
        <f>$A37*CAS_Component!AF37</f>
        <v>0.20006000000000002</v>
      </c>
      <c r="AG37" s="147">
        <f>$A37*CAS_Component!AG37</f>
        <v>0</v>
      </c>
      <c r="AH37" s="159">
        <f>$A37*CAS_Component!AH37</f>
        <v>0</v>
      </c>
      <c r="AI37" s="147">
        <f>$A37*CAS_Component!AI37</f>
        <v>0</v>
      </c>
      <c r="AJ37" s="159">
        <f>$A37*CAS_Component!AJ37</f>
        <v>0</v>
      </c>
      <c r="AK37" s="147">
        <f>$A37*CAS_Component!AK37</f>
        <v>0</v>
      </c>
      <c r="AL37" s="159">
        <f>$A37*CAS_Component!AL37</f>
        <v>0</v>
      </c>
      <c r="AM37" s="147">
        <f>$A37*CAS_Component!AM37</f>
        <v>0</v>
      </c>
      <c r="AN37" s="159">
        <f>$A37*CAS_Component!AN37</f>
        <v>0.31080000000000002</v>
      </c>
      <c r="AO37" s="147">
        <f>$A37*CAS_Component!AO37</f>
        <v>0.31080000000000002</v>
      </c>
      <c r="AP37" s="159">
        <f>$A37*CAS_Component!AP37</f>
        <v>0</v>
      </c>
      <c r="AQ37" s="147">
        <f>$A37*CAS_Component!AQ37</f>
        <v>0</v>
      </c>
      <c r="AR37" s="159">
        <f>$A37*CAS_Component!AR37</f>
        <v>0</v>
      </c>
      <c r="AS37" s="147">
        <f>$A37*CAS_Component!AS37</f>
        <v>0</v>
      </c>
      <c r="AT37" s="159">
        <f>$A37*CAS_Component!AT37</f>
        <v>0</v>
      </c>
      <c r="AU37" s="147">
        <f>$A37*CAS_Component!AU37</f>
        <v>0</v>
      </c>
      <c r="AV37" s="159">
        <f>$A37*CAS_Component!AV37</f>
        <v>0</v>
      </c>
      <c r="AW37" s="147">
        <f>$A37*CAS_Component!AW37</f>
        <v>0</v>
      </c>
      <c r="AX37" s="159">
        <f>$A37*CAS_Component!AX37</f>
        <v>14.918400000000002</v>
      </c>
      <c r="AY37" s="147">
        <f>$A37*CAS_Component!AY37</f>
        <v>0</v>
      </c>
      <c r="AZ37" s="159">
        <f>$A37*CAS_Component!AZ37</f>
        <v>7.6439999999999994E-2</v>
      </c>
      <c r="BA37" s="147">
        <f>$A37*CAS_Component!BA37</f>
        <v>0</v>
      </c>
      <c r="BB37" s="159">
        <f>$A37*CAS_Component!BB37</f>
        <v>0</v>
      </c>
      <c r="BC37" s="147">
        <f>$A37*CAS_Component!BC37</f>
        <v>0</v>
      </c>
      <c r="BD37" s="159">
        <f>$A37*CAS_Component!BD37</f>
        <v>0</v>
      </c>
      <c r="BE37" s="147">
        <f>$A37*CAS_Component!BE37</f>
        <v>0</v>
      </c>
      <c r="BF37" s="159">
        <f>$A37*CAS_Component!BF37</f>
        <v>0</v>
      </c>
      <c r="BG37" s="147">
        <f>$A37*CAS_Component!BG37</f>
        <v>0.14959</v>
      </c>
      <c r="BH37" s="159">
        <f>$A37*CAS_Component!BH37</f>
        <v>0</v>
      </c>
      <c r="BI37" s="147">
        <f>$A37*CAS_Component!BI37</f>
        <v>0</v>
      </c>
      <c r="BJ37" s="159">
        <f>$A37*CAS_Component!BJ37</f>
        <v>0</v>
      </c>
      <c r="BK37" s="147">
        <f>$A37*CAS_Component!BK37</f>
        <v>0</v>
      </c>
      <c r="BL37" s="159">
        <f>$A37*CAS_Component!BL37</f>
        <v>0</v>
      </c>
      <c r="BM37" s="147">
        <f>$A37*CAS_Component!BM37</f>
        <v>0</v>
      </c>
      <c r="BN37" s="159">
        <f>$A37*CAS_Component!BN37</f>
        <v>0</v>
      </c>
      <c r="BO37" s="147">
        <f>$A37*CAS_Component!BO37</f>
        <v>0</v>
      </c>
      <c r="BP37" s="159">
        <f>$A37*CAS_Component!BP37</f>
        <v>0</v>
      </c>
      <c r="BQ37" s="147">
        <f>$A37*CAS_Component!BQ37</f>
        <v>0</v>
      </c>
      <c r="BR37" s="159">
        <f>$A37*CAS_Component!BR37</f>
        <v>0</v>
      </c>
      <c r="BS37" s="147">
        <f>$A37*CAS_Component!BS37</f>
        <v>0</v>
      </c>
      <c r="BT37" s="159">
        <f>$A37*CAS_Component!BT37</f>
        <v>0</v>
      </c>
      <c r="BU37" s="147">
        <f>$A37*CAS_Component!BU37</f>
        <v>0</v>
      </c>
      <c r="BV37" s="159">
        <f>$A37*CAS_Component!BV37</f>
        <v>0</v>
      </c>
      <c r="BW37" s="147">
        <f>$A37*CAS_Component!BW37</f>
        <v>0</v>
      </c>
      <c r="BX37" s="159">
        <f>$A37*CAS_Component!BX37</f>
        <v>0</v>
      </c>
      <c r="BY37" s="147">
        <f>$A37*CAS_Component!BY37</f>
        <v>0</v>
      </c>
      <c r="BZ37" s="159">
        <f>$A37*CAS_Component!BZ37</f>
        <v>0</v>
      </c>
      <c r="CA37" s="147">
        <f>$A37*CAS_Component!CA37</f>
        <v>0</v>
      </c>
      <c r="CB37" s="159">
        <f>$A37*CAS_Component!CB37</f>
        <v>0</v>
      </c>
    </row>
    <row r="38" spans="1:80">
      <c r="A38" s="69">
        <v>3</v>
      </c>
      <c r="B38" s="68" t="s">
        <v>373</v>
      </c>
      <c r="C38" s="67">
        <v>4.8129499999999998</v>
      </c>
      <c r="D38" s="159">
        <f t="shared" ref="D38:D54" si="4">SUM(E38:CV38)</f>
        <v>14.867250000000002</v>
      </c>
      <c r="E38" s="147">
        <f>A38*CAS_Component!E38</f>
        <v>0</v>
      </c>
      <c r="F38" s="159">
        <f>$A38*CAS_Component!F38</f>
        <v>0</v>
      </c>
      <c r="G38" s="147">
        <f>$A38*CAS_Component!G38</f>
        <v>0</v>
      </c>
      <c r="H38" s="159">
        <f>$A38*CAS_Component!H38</f>
        <v>0</v>
      </c>
      <c r="I38" s="147">
        <f>$A38*CAS_Component!I38</f>
        <v>2.7212999999999998E-2</v>
      </c>
      <c r="J38" s="159">
        <f>$A38*CAS_Component!J38</f>
        <v>0</v>
      </c>
      <c r="K38" s="147">
        <f>$A38*CAS_Component!K38</f>
        <v>0</v>
      </c>
      <c r="L38" s="159">
        <f>$A38*CAS_Component!L38</f>
        <v>0</v>
      </c>
      <c r="M38" s="147">
        <f>$A38*CAS_Component!M38</f>
        <v>0.32388899999999998</v>
      </c>
      <c r="N38" s="159">
        <f>$A38*CAS_Component!N38</f>
        <v>6.1499999999999999E-4</v>
      </c>
      <c r="O38" s="147">
        <f>$A38*CAS_Component!O38</f>
        <v>0</v>
      </c>
      <c r="P38" s="159">
        <f>$A38*CAS_Component!P38</f>
        <v>0</v>
      </c>
      <c r="Q38" s="147">
        <f>$A38*CAS_Component!Q38</f>
        <v>0</v>
      </c>
      <c r="R38" s="159">
        <f>$A38*CAS_Component!R38</f>
        <v>0.66900000000000004</v>
      </c>
      <c r="S38" s="147">
        <f>$A38*CAS_Component!S38</f>
        <v>1.3289999999999999E-3</v>
      </c>
      <c r="T38" s="159">
        <f>$A38*CAS_Component!T38</f>
        <v>0</v>
      </c>
      <c r="U38" s="147">
        <f>$A38*CAS_Component!U38</f>
        <v>0.46799999999999997</v>
      </c>
      <c r="V38" s="159">
        <f>$A38*CAS_Component!V38</f>
        <v>0</v>
      </c>
      <c r="W38" s="147">
        <f>$A38*CAS_Component!W38</f>
        <v>0</v>
      </c>
      <c r="X38" s="159">
        <f>$A38*CAS_Component!X38</f>
        <v>0</v>
      </c>
      <c r="Y38" s="147">
        <f>$A38*CAS_Component!Y38</f>
        <v>3.1800000000000003E-4</v>
      </c>
      <c r="Z38" s="159">
        <f>$A38*CAS_Component!Z38</f>
        <v>0</v>
      </c>
      <c r="AA38" s="147">
        <f>$A38*CAS_Component!AA38</f>
        <v>4.6695E-2</v>
      </c>
      <c r="AB38" s="159">
        <f>$A38*CAS_Component!AB38</f>
        <v>0</v>
      </c>
      <c r="AC38" s="147">
        <f>$A38*CAS_Component!AC38</f>
        <v>0</v>
      </c>
      <c r="AD38" s="159">
        <f>$A38*CAS_Component!AD38</f>
        <v>0.30999900000000002</v>
      </c>
      <c r="AE38" s="147">
        <f>$A38*CAS_Component!AE38</f>
        <v>0</v>
      </c>
      <c r="AF38" s="159">
        <f>$A38*CAS_Component!AF38</f>
        <v>0.12362400000000001</v>
      </c>
      <c r="AG38" s="147">
        <f>$A38*CAS_Component!AG38</f>
        <v>0</v>
      </c>
      <c r="AH38" s="159">
        <f>$A38*CAS_Component!AH38</f>
        <v>0</v>
      </c>
      <c r="AI38" s="147">
        <f>$A38*CAS_Component!AI38</f>
        <v>0</v>
      </c>
      <c r="AJ38" s="159">
        <f>$A38*CAS_Component!AJ38</f>
        <v>8.8938000000000003E-2</v>
      </c>
      <c r="AK38" s="147">
        <f>$A38*CAS_Component!AK38</f>
        <v>0</v>
      </c>
      <c r="AL38" s="159">
        <f>$A38*CAS_Component!AL38</f>
        <v>6.3900000000000003E-4</v>
      </c>
      <c r="AM38" s="147">
        <f>$A38*CAS_Component!AM38</f>
        <v>0</v>
      </c>
      <c r="AN38" s="159">
        <f>$A38*CAS_Component!AN38</f>
        <v>0.126</v>
      </c>
      <c r="AO38" s="147">
        <f>$A38*CAS_Component!AO38</f>
        <v>0</v>
      </c>
      <c r="AP38" s="159">
        <f>$A38*CAS_Component!AP38</f>
        <v>0</v>
      </c>
      <c r="AQ38" s="147">
        <f>$A38*CAS_Component!AQ38</f>
        <v>0</v>
      </c>
      <c r="AR38" s="159">
        <f>$A38*CAS_Component!AR38</f>
        <v>0</v>
      </c>
      <c r="AS38" s="147">
        <f>$A38*CAS_Component!AS38</f>
        <v>0</v>
      </c>
      <c r="AT38" s="159">
        <f>$A38*CAS_Component!AT38</f>
        <v>0</v>
      </c>
      <c r="AU38" s="147">
        <f>$A38*CAS_Component!AU38</f>
        <v>0</v>
      </c>
      <c r="AV38" s="159">
        <f>$A38*CAS_Component!AV38</f>
        <v>0</v>
      </c>
      <c r="AW38" s="147">
        <f>$A38*CAS_Component!AW38</f>
        <v>0</v>
      </c>
      <c r="AX38" s="159">
        <f>$A38*CAS_Component!AX38</f>
        <v>12.600000000000001</v>
      </c>
      <c r="AY38" s="147">
        <f>$A38*CAS_Component!AY38</f>
        <v>3.78E-2</v>
      </c>
      <c r="AZ38" s="159">
        <f>$A38*CAS_Component!AZ38</f>
        <v>1.302E-2</v>
      </c>
      <c r="BA38" s="147">
        <f>$A38*CAS_Component!BA38</f>
        <v>1.2032999999999999E-2</v>
      </c>
      <c r="BB38" s="159">
        <f>$A38*CAS_Component!BB38</f>
        <v>2.2530000000000002E-3</v>
      </c>
      <c r="BC38" s="147">
        <f>$A38*CAS_Component!BC38</f>
        <v>1.2359999999999999E-3</v>
      </c>
      <c r="BD38" s="159">
        <f>$A38*CAS_Component!BD38</f>
        <v>7.1400000000000001E-4</v>
      </c>
      <c r="BE38" s="147">
        <f>$A38*CAS_Component!BE38</f>
        <v>1.3934999999999999E-2</v>
      </c>
      <c r="BF38" s="159">
        <f>$A38*CAS_Component!BF38</f>
        <v>0</v>
      </c>
      <c r="BG38" s="147">
        <f>$A38*CAS_Component!BG38</f>
        <v>0</v>
      </c>
      <c r="BH38" s="159">
        <f>$A38*CAS_Component!BH38</f>
        <v>0</v>
      </c>
      <c r="BI38" s="147">
        <f>$A38*CAS_Component!BI38</f>
        <v>0</v>
      </c>
      <c r="BJ38" s="159">
        <f>$A38*CAS_Component!BJ38</f>
        <v>0</v>
      </c>
      <c r="BK38" s="147">
        <f>$A38*CAS_Component!BK38</f>
        <v>0</v>
      </c>
      <c r="BL38" s="159">
        <f>$A38*CAS_Component!BL38</f>
        <v>0</v>
      </c>
      <c r="BM38" s="147">
        <f>$A38*CAS_Component!BM38</f>
        <v>0</v>
      </c>
      <c r="BN38" s="159">
        <f>$A38*CAS_Component!BN38</f>
        <v>0</v>
      </c>
      <c r="BO38" s="147">
        <f>$A38*CAS_Component!BO38</f>
        <v>0</v>
      </c>
      <c r="BP38" s="159">
        <f>$A38*CAS_Component!BP38</f>
        <v>0</v>
      </c>
      <c r="BQ38" s="147">
        <f>$A38*CAS_Component!BQ38</f>
        <v>0</v>
      </c>
      <c r="BR38" s="159">
        <f>$A38*CAS_Component!BR38</f>
        <v>0</v>
      </c>
      <c r="BS38" s="147">
        <f>$A38*CAS_Component!BS38</f>
        <v>0</v>
      </c>
      <c r="BT38" s="159">
        <f>$A38*CAS_Component!BT38</f>
        <v>0</v>
      </c>
      <c r="BU38" s="147">
        <f>$A38*CAS_Component!BU38</f>
        <v>0</v>
      </c>
      <c r="BV38" s="159">
        <f>$A38*CAS_Component!BV38</f>
        <v>0</v>
      </c>
      <c r="BW38" s="147">
        <f>$A38*CAS_Component!BW38</f>
        <v>0</v>
      </c>
      <c r="BX38" s="159">
        <f>$A38*CAS_Component!BX38</f>
        <v>0</v>
      </c>
      <c r="BY38" s="147">
        <f>$A38*CAS_Component!BY38</f>
        <v>0</v>
      </c>
      <c r="BZ38" s="159">
        <f>$A38*CAS_Component!BZ38</f>
        <v>0</v>
      </c>
      <c r="CA38" s="147">
        <f>$A38*CAS_Component!CA38</f>
        <v>0</v>
      </c>
      <c r="CB38" s="159">
        <f>$A38*CAS_Component!CB38</f>
        <v>0</v>
      </c>
    </row>
    <row r="39" spans="1:80">
      <c r="A39" s="69">
        <v>1</v>
      </c>
      <c r="B39" s="68" t="s">
        <v>368</v>
      </c>
      <c r="C39" s="67">
        <v>420</v>
      </c>
      <c r="D39" s="159">
        <f t="shared" si="4"/>
        <v>429.20324376333917</v>
      </c>
      <c r="E39" s="147">
        <v>0</v>
      </c>
      <c r="F39" s="159">
        <f>$A39*CAS_Component!F39</f>
        <v>0</v>
      </c>
      <c r="G39" s="147">
        <f>$A39*CAS_Component!G39</f>
        <v>0</v>
      </c>
      <c r="H39" s="159">
        <f>$A39*CAS_Component!H39</f>
        <v>0</v>
      </c>
      <c r="I39" s="147">
        <f>$A39*CAS_Component!I39</f>
        <v>0.79157689151144306</v>
      </c>
      <c r="J39" s="159">
        <f>$A39*CAS_Component!J39</f>
        <v>0</v>
      </c>
      <c r="K39" s="147">
        <f>$A39*CAS_Component!K39</f>
        <v>0</v>
      </c>
      <c r="L39" s="159">
        <f>$A39*CAS_Component!L39</f>
        <v>0</v>
      </c>
      <c r="M39" s="147">
        <f>$A39*CAS_Component!M39</f>
        <v>9.4213444976573619</v>
      </c>
      <c r="N39" s="159">
        <f>$A39*CAS_Component!N39</f>
        <v>1.7889236331148257E-2</v>
      </c>
      <c r="O39" s="147">
        <f>$A39*CAS_Component!O39</f>
        <v>0</v>
      </c>
      <c r="P39" s="159">
        <f>$A39*CAS_Component!P39</f>
        <v>0</v>
      </c>
      <c r="Q39" s="147">
        <f>$A39*CAS_Component!Q39</f>
        <v>0</v>
      </c>
      <c r="R39" s="159">
        <f>$A39*CAS_Component!R39</f>
        <v>19.45999854559054</v>
      </c>
      <c r="S39" s="147">
        <f>$A39*CAS_Component!S39</f>
        <v>3.8658203388774036E-2</v>
      </c>
      <c r="T39" s="159">
        <f>$A39*CAS_Component!T39</f>
        <v>0</v>
      </c>
      <c r="U39" s="147">
        <f>$A39*CAS_Component!U39</f>
        <v>13.613272525166478</v>
      </c>
      <c r="V39" s="159">
        <f>$A39*CAS_Component!V39</f>
        <v>0</v>
      </c>
      <c r="W39" s="147">
        <f>$A39*CAS_Component!W39</f>
        <v>0</v>
      </c>
      <c r="X39" s="159">
        <f>$A39*CAS_Component!X39</f>
        <v>0</v>
      </c>
      <c r="Y39" s="147">
        <f>$A39*CAS_Component!Y39</f>
        <v>9.2500441517156841E-3</v>
      </c>
      <c r="Z39" s="159">
        <f>$A39*CAS_Component!Z39</f>
        <v>0</v>
      </c>
      <c r="AA39" s="147">
        <f>$A39*CAS_Component!AA39</f>
        <v>1.3582729926552322</v>
      </c>
      <c r="AB39" s="159">
        <f>$A39*CAS_Component!AB39</f>
        <v>0</v>
      </c>
      <c r="AC39" s="147">
        <f>$A39*CAS_Component!AC39</f>
        <v>0</v>
      </c>
      <c r="AD39" s="159">
        <f>$A39*CAS_Component!AD39</f>
        <v>9.0173095502758187</v>
      </c>
      <c r="AE39" s="147">
        <f>$A39*CAS_Component!AE39</f>
        <v>0</v>
      </c>
      <c r="AF39" s="159">
        <f>$A39*CAS_Component!AF39</f>
        <v>3.5959982962632067</v>
      </c>
      <c r="AG39" s="147">
        <f>$A39*CAS_Component!AG39</f>
        <v>0</v>
      </c>
      <c r="AH39" s="159">
        <f>$A39*CAS_Component!AH39</f>
        <v>0</v>
      </c>
      <c r="AI39" s="147">
        <f>$A39*CAS_Component!AI39</f>
        <v>0</v>
      </c>
      <c r="AJ39" s="159">
        <f>$A39*CAS_Component!AJ39</f>
        <v>2.5870453671864451</v>
      </c>
      <c r="AK39" s="147">
        <f>$A39*CAS_Component!AK39</f>
        <v>0</v>
      </c>
      <c r="AL39" s="159">
        <f>$A39*CAS_Component!AL39</f>
        <v>1.8587352870900384E-2</v>
      </c>
      <c r="AM39" s="147">
        <f>$A39*CAS_Component!AM39</f>
        <v>0</v>
      </c>
      <c r="AN39" s="159">
        <f>$A39*CAS_Component!AN39</f>
        <v>0.46421052631578946</v>
      </c>
      <c r="AO39" s="147">
        <f>$A39*CAS_Component!AO39</f>
        <v>0</v>
      </c>
      <c r="AP39" s="159">
        <f>$A39*CAS_Component!AP39</f>
        <v>0</v>
      </c>
      <c r="AQ39" s="147">
        <f>$A39*CAS_Component!AQ39</f>
        <v>0</v>
      </c>
      <c r="AR39" s="159">
        <f>$A39*CAS_Component!AR39</f>
        <v>0</v>
      </c>
      <c r="AS39" s="147">
        <f>$A39*CAS_Component!AS39</f>
        <v>0</v>
      </c>
      <c r="AT39" s="159">
        <f>$A39*CAS_Component!AT39</f>
        <v>0</v>
      </c>
      <c r="AU39" s="147">
        <f>$A39*CAS_Component!AU39</f>
        <v>0</v>
      </c>
      <c r="AV39" s="159">
        <f>$A39*CAS_Component!AV39</f>
        <v>0</v>
      </c>
      <c r="AW39" s="147">
        <f>$A39*CAS_Component!AW39</f>
        <v>0</v>
      </c>
      <c r="AX39" s="159">
        <f>$A39*CAS_Component!AX39</f>
        <v>366.51118336986673</v>
      </c>
      <c r="AY39" s="147">
        <f>$A39*CAS_Component!AY39</f>
        <v>1.0995335501096002</v>
      </c>
      <c r="AZ39" s="159">
        <f>$A39*CAS_Component!AZ39</f>
        <v>0.37872822281552893</v>
      </c>
      <c r="BA39" s="147">
        <f>$A39*CAS_Component!BA39</f>
        <v>0.35001818011822272</v>
      </c>
      <c r="BB39" s="159">
        <f>$A39*CAS_Component!BB39</f>
        <v>8.3005263157894752E-3</v>
      </c>
      <c r="BC39" s="147">
        <f>$A39*CAS_Component!BC39</f>
        <v>3.5953001797234548E-2</v>
      </c>
      <c r="BD39" s="159">
        <f>$A39*CAS_Component!BD39</f>
        <v>2.0768967057625782E-2</v>
      </c>
      <c r="BE39" s="147">
        <f>$A39*CAS_Component!BE39</f>
        <v>0.40534391589357877</v>
      </c>
      <c r="BF39" s="159">
        <f>$A39*CAS_Component!BF39</f>
        <v>0</v>
      </c>
      <c r="BG39" s="147">
        <f>$A39*CAS_Component!BG39</f>
        <v>0</v>
      </c>
      <c r="BH39" s="159">
        <f>$A39*CAS_Component!BH39</f>
        <v>0</v>
      </c>
      <c r="BI39" s="147">
        <f>$A39*CAS_Component!BI39</f>
        <v>0</v>
      </c>
      <c r="BJ39" s="159">
        <f>$A39*CAS_Component!BJ39</f>
        <v>0</v>
      </c>
      <c r="BK39" s="147">
        <f>$A39*CAS_Component!BK39</f>
        <v>0</v>
      </c>
      <c r="BL39" s="159">
        <f>$A39*CAS_Component!BL39</f>
        <v>0</v>
      </c>
      <c r="BM39" s="147">
        <f>$A39*CAS_Component!BM39</f>
        <v>0</v>
      </c>
      <c r="BN39" s="159">
        <f>$A39*CAS_Component!BN39</f>
        <v>0</v>
      </c>
      <c r="BO39" s="147">
        <f>$A39*CAS_Component!BO39</f>
        <v>0</v>
      </c>
      <c r="BP39" s="159">
        <f>$A39*CAS_Component!BP39</f>
        <v>0</v>
      </c>
      <c r="BQ39" s="147">
        <f>$A39*CAS_Component!BQ39</f>
        <v>0</v>
      </c>
      <c r="BR39" s="159">
        <f>$A39*CAS_Component!BR39</f>
        <v>0</v>
      </c>
      <c r="BS39" s="147">
        <f>$A39*CAS_Component!BS39</f>
        <v>0</v>
      </c>
      <c r="BT39" s="159">
        <f>$A39*CAS_Component!BT39</f>
        <v>0</v>
      </c>
      <c r="BU39" s="147">
        <f>$A39*CAS_Component!BU39</f>
        <v>0</v>
      </c>
      <c r="BV39" s="159">
        <f>$A39*CAS_Component!BV39</f>
        <v>0</v>
      </c>
      <c r="BW39" s="147">
        <f>$A39*CAS_Component!BW39</f>
        <v>0</v>
      </c>
      <c r="BX39" s="159">
        <f>$A39*CAS_Component!BX39</f>
        <v>0</v>
      </c>
      <c r="BY39" s="147">
        <f>$A39*CAS_Component!BY39</f>
        <v>0</v>
      </c>
      <c r="BZ39" s="159">
        <f>$A39*CAS_Component!BZ39</f>
        <v>0</v>
      </c>
      <c r="CA39" s="147">
        <f>$A39*CAS_Component!CA39</f>
        <v>0</v>
      </c>
      <c r="CB39" s="159">
        <f>$A39*CAS_Component!CB39</f>
        <v>0</v>
      </c>
    </row>
    <row r="40" spans="1:80">
      <c r="A40" s="69">
        <v>2</v>
      </c>
      <c r="B40" s="68" t="s">
        <v>364</v>
      </c>
      <c r="C40" s="67">
        <v>39.448</v>
      </c>
      <c r="D40" s="159">
        <f t="shared" si="4"/>
        <v>78.895900000000012</v>
      </c>
      <c r="E40" s="147">
        <f>A40*CAS_Component!E40</f>
        <v>0</v>
      </c>
      <c r="F40" s="159">
        <f>$A40*CAS_Component!F40</f>
        <v>0.54720000000000002</v>
      </c>
      <c r="G40" s="147">
        <f>$A40*CAS_Component!G40</f>
        <v>0</v>
      </c>
      <c r="H40" s="159">
        <f>$A40*CAS_Component!H40</f>
        <v>0</v>
      </c>
      <c r="I40" s="147">
        <f>$A40*CAS_Component!I40</f>
        <v>6.4399999999999999E-2</v>
      </c>
      <c r="J40" s="159">
        <f>$A40*CAS_Component!J40</f>
        <v>0</v>
      </c>
      <c r="K40" s="147">
        <f>$A40*CAS_Component!K40</f>
        <v>0</v>
      </c>
      <c r="L40" s="159">
        <f>$A40*CAS_Component!L40</f>
        <v>0</v>
      </c>
      <c r="M40" s="147">
        <f>$A40*CAS_Component!M40</f>
        <v>1.3166</v>
      </c>
      <c r="N40" s="159">
        <f>$A40*CAS_Component!N40</f>
        <v>0</v>
      </c>
      <c r="O40" s="147">
        <f>$A40*CAS_Component!O40</f>
        <v>0</v>
      </c>
      <c r="P40" s="159">
        <f>$A40*CAS_Component!P40</f>
        <v>0</v>
      </c>
      <c r="Q40" s="147">
        <f>$A40*CAS_Component!Q40</f>
        <v>0</v>
      </c>
      <c r="R40" s="159">
        <f>$A40*CAS_Component!R40</f>
        <v>2.8769999999999998</v>
      </c>
      <c r="S40" s="147">
        <f>$A40*CAS_Component!S40</f>
        <v>9.5999999999999992E-3</v>
      </c>
      <c r="T40" s="159">
        <f>$A40*CAS_Component!T40</f>
        <v>0</v>
      </c>
      <c r="U40" s="147">
        <f>$A40*CAS_Component!U40</f>
        <v>2.8639999999999999</v>
      </c>
      <c r="V40" s="159">
        <f>$A40*CAS_Component!V40</f>
        <v>0</v>
      </c>
      <c r="W40" s="147">
        <f>$A40*CAS_Component!W40</f>
        <v>0</v>
      </c>
      <c r="X40" s="159">
        <f>$A40*CAS_Component!X40</f>
        <v>0</v>
      </c>
      <c r="Y40" s="147">
        <f>$A40*CAS_Component!Y40</f>
        <v>0</v>
      </c>
      <c r="Z40" s="159">
        <f>$A40*CAS_Component!Z40</f>
        <v>0</v>
      </c>
      <c r="AA40" s="147">
        <f>$A40*CAS_Component!AA40</f>
        <v>0</v>
      </c>
      <c r="AB40" s="159">
        <f>$A40*CAS_Component!AB40</f>
        <v>0</v>
      </c>
      <c r="AC40" s="147">
        <f>$A40*CAS_Component!AC40</f>
        <v>0</v>
      </c>
      <c r="AD40" s="159">
        <f>$A40*CAS_Component!AD40</f>
        <v>2.0996000000000001</v>
      </c>
      <c r="AE40" s="147">
        <f>$A40*CAS_Component!AE40</f>
        <v>0</v>
      </c>
      <c r="AF40" s="159">
        <f>$A40*CAS_Component!AF40</f>
        <v>0.47092000000000001</v>
      </c>
      <c r="AG40" s="147">
        <f>$A40*CAS_Component!AG40</f>
        <v>0</v>
      </c>
      <c r="AH40" s="159">
        <f>$A40*CAS_Component!AH40</f>
        <v>0</v>
      </c>
      <c r="AI40" s="147">
        <f>$A40*CAS_Component!AI40</f>
        <v>0</v>
      </c>
      <c r="AJ40" s="159">
        <f>$A40*CAS_Component!AJ40</f>
        <v>0</v>
      </c>
      <c r="AK40" s="147">
        <f>$A40*CAS_Component!AK40</f>
        <v>0</v>
      </c>
      <c r="AL40" s="159">
        <f>$A40*CAS_Component!AL40</f>
        <v>0</v>
      </c>
      <c r="AM40" s="147">
        <f>$A40*CAS_Component!AM40</f>
        <v>0</v>
      </c>
      <c r="AN40" s="159">
        <f>$A40*CAS_Component!AN40</f>
        <v>0.69979999999999998</v>
      </c>
      <c r="AO40" s="147">
        <f>$A40*CAS_Component!AO40</f>
        <v>0</v>
      </c>
      <c r="AP40" s="159">
        <f>$A40*CAS_Component!AP40</f>
        <v>0</v>
      </c>
      <c r="AQ40" s="147">
        <f>$A40*CAS_Component!AQ40</f>
        <v>0</v>
      </c>
      <c r="AR40" s="159">
        <f>$A40*CAS_Component!AR40</f>
        <v>0</v>
      </c>
      <c r="AS40" s="147">
        <f>$A40*CAS_Component!AS40</f>
        <v>1.06E-2</v>
      </c>
      <c r="AT40" s="159">
        <f>$A40*CAS_Component!AT40</f>
        <v>0</v>
      </c>
      <c r="AU40" s="147">
        <f>$A40*CAS_Component!AU40</f>
        <v>0</v>
      </c>
      <c r="AV40" s="159">
        <f>$A40*CAS_Component!AV40</f>
        <v>0</v>
      </c>
      <c r="AW40" s="147">
        <f>$A40*CAS_Component!AW40</f>
        <v>0</v>
      </c>
      <c r="AX40" s="159">
        <f>$A40*CAS_Component!AX40</f>
        <v>67.188999999999993</v>
      </c>
      <c r="AY40" s="147">
        <f>$A40*CAS_Component!AY40</f>
        <v>0</v>
      </c>
      <c r="AZ40" s="159">
        <f>$A40*CAS_Component!AZ40</f>
        <v>0.1744</v>
      </c>
      <c r="BA40" s="147">
        <f>$A40*CAS_Component!BA40</f>
        <v>0</v>
      </c>
      <c r="BB40" s="159">
        <f>$A40*CAS_Component!BB40</f>
        <v>0</v>
      </c>
      <c r="BC40" s="147">
        <f>$A40*CAS_Component!BC40</f>
        <v>0</v>
      </c>
      <c r="BD40" s="159">
        <f>$A40*CAS_Component!BD40</f>
        <v>1.5779999999999999E-2</v>
      </c>
      <c r="BE40" s="147">
        <f>$A40*CAS_Component!BE40</f>
        <v>0</v>
      </c>
      <c r="BF40" s="159">
        <f>$A40*CAS_Component!BF40</f>
        <v>0.29199999999999998</v>
      </c>
      <c r="BG40" s="147">
        <f>$A40*CAS_Component!BG40</f>
        <v>0</v>
      </c>
      <c r="BH40" s="159">
        <f>$A40*CAS_Component!BH40</f>
        <v>0</v>
      </c>
      <c r="BI40" s="147">
        <f>$A40*CAS_Component!BI40</f>
        <v>0.2114</v>
      </c>
      <c r="BJ40" s="159">
        <f>$A40*CAS_Component!BJ40</f>
        <v>5.3600000000000002E-2</v>
      </c>
      <c r="BK40" s="147">
        <f>$A40*CAS_Component!BK40</f>
        <v>0</v>
      </c>
      <c r="BL40" s="159">
        <f>$A40*CAS_Component!BL40</f>
        <v>0</v>
      </c>
      <c r="BM40" s="147">
        <f>$A40*CAS_Component!BM40</f>
        <v>0</v>
      </c>
      <c r="BN40" s="159">
        <f>$A40*CAS_Component!BN40</f>
        <v>0</v>
      </c>
      <c r="BO40" s="147">
        <f>$A40*CAS_Component!BO40</f>
        <v>0</v>
      </c>
      <c r="BP40" s="159">
        <f>$A40*CAS_Component!BP40</f>
        <v>0</v>
      </c>
      <c r="BQ40" s="147">
        <f>$A40*CAS_Component!BQ40</f>
        <v>0</v>
      </c>
      <c r="BR40" s="159">
        <f>$A40*CAS_Component!BR40</f>
        <v>0</v>
      </c>
      <c r="BS40" s="147">
        <f>$A40*CAS_Component!BS40</f>
        <v>0</v>
      </c>
      <c r="BT40" s="159">
        <f>$A40*CAS_Component!BT40</f>
        <v>0</v>
      </c>
      <c r="BU40" s="147">
        <f>$A40*CAS_Component!BU40</f>
        <v>0</v>
      </c>
      <c r="BV40" s="159">
        <f>$A40*CAS_Component!BV40</f>
        <v>0</v>
      </c>
      <c r="BW40" s="147">
        <f>$A40*CAS_Component!BW40</f>
        <v>0</v>
      </c>
      <c r="BX40" s="159">
        <f>$A40*CAS_Component!BX40</f>
        <v>0</v>
      </c>
      <c r="BY40" s="147">
        <f>$A40*CAS_Component!BY40</f>
        <v>0</v>
      </c>
      <c r="BZ40" s="159">
        <f>$A40*CAS_Component!BZ40</f>
        <v>0</v>
      </c>
      <c r="CA40" s="147">
        <f>$A40*CAS_Component!CA40</f>
        <v>0</v>
      </c>
      <c r="CB40" s="159">
        <f>$A40*CAS_Component!CB40</f>
        <v>0</v>
      </c>
    </row>
    <row r="41" spans="1:80">
      <c r="A41" s="69">
        <v>3</v>
      </c>
      <c r="B41" s="68" t="s">
        <v>358</v>
      </c>
      <c r="C41" s="67">
        <v>2</v>
      </c>
      <c r="D41" s="159">
        <f t="shared" si="4"/>
        <v>2</v>
      </c>
      <c r="E41" s="147">
        <v>2</v>
      </c>
      <c r="F41" s="159">
        <f>$A41*CAS_Component!F41</f>
        <v>0</v>
      </c>
      <c r="G41" s="147">
        <f>$A41*CAS_Component!G41</f>
        <v>0</v>
      </c>
      <c r="H41" s="159">
        <f>$A41*CAS_Component!H41</f>
        <v>0</v>
      </c>
      <c r="I41" s="147">
        <f>$A41*CAS_Component!I41</f>
        <v>0</v>
      </c>
      <c r="J41" s="159">
        <f>$A41*CAS_Component!J41</f>
        <v>0</v>
      </c>
      <c r="K41" s="147">
        <f>$A41*CAS_Component!K41</f>
        <v>0</v>
      </c>
      <c r="L41" s="159">
        <f>$A41*CAS_Component!L41</f>
        <v>0</v>
      </c>
      <c r="M41" s="147">
        <f>$A41*CAS_Component!M41</f>
        <v>0</v>
      </c>
      <c r="N41" s="159">
        <f>$A41*CAS_Component!N41</f>
        <v>0</v>
      </c>
      <c r="O41" s="147">
        <f>$A41*CAS_Component!O41</f>
        <v>0</v>
      </c>
      <c r="P41" s="159">
        <f>$A41*CAS_Component!P41</f>
        <v>0</v>
      </c>
      <c r="Q41" s="147">
        <f>$A41*CAS_Component!Q41</f>
        <v>0</v>
      </c>
      <c r="R41" s="159">
        <f>$A41*CAS_Component!R41</f>
        <v>0</v>
      </c>
      <c r="S41" s="147">
        <f>$A41*CAS_Component!S41</f>
        <v>0</v>
      </c>
      <c r="T41" s="159">
        <f>$A41*CAS_Component!T41</f>
        <v>0</v>
      </c>
      <c r="U41" s="147">
        <f>$A41*CAS_Component!U41</f>
        <v>0</v>
      </c>
      <c r="V41" s="159">
        <f>$A41*CAS_Component!V41</f>
        <v>0</v>
      </c>
      <c r="W41" s="147">
        <f>$A41*CAS_Component!W41</f>
        <v>0</v>
      </c>
      <c r="X41" s="159">
        <f>$A41*CAS_Component!X41</f>
        <v>0</v>
      </c>
      <c r="Y41" s="147">
        <f>$A41*CAS_Component!Y41</f>
        <v>0</v>
      </c>
      <c r="Z41" s="159">
        <f>$A41*CAS_Component!Z41</f>
        <v>0</v>
      </c>
      <c r="AA41" s="147">
        <f>$A41*CAS_Component!AA41</f>
        <v>0</v>
      </c>
      <c r="AB41" s="159">
        <f>$A41*CAS_Component!AB41</f>
        <v>0</v>
      </c>
      <c r="AC41" s="147">
        <f>$A41*CAS_Component!AC41</f>
        <v>0</v>
      </c>
      <c r="AD41" s="159">
        <f>$A41*CAS_Component!AD41</f>
        <v>0</v>
      </c>
      <c r="AE41" s="147">
        <f>$A41*CAS_Component!AE41</f>
        <v>0</v>
      </c>
      <c r="AF41" s="159">
        <f>$A41*CAS_Component!AF41</f>
        <v>0</v>
      </c>
      <c r="AG41" s="147">
        <f>$A41*CAS_Component!AG41</f>
        <v>0</v>
      </c>
      <c r="AH41" s="159">
        <f>$A41*CAS_Component!AH41</f>
        <v>0</v>
      </c>
      <c r="AI41" s="147">
        <f>$A41*CAS_Component!AI41</f>
        <v>0</v>
      </c>
      <c r="AJ41" s="159">
        <f>$A41*CAS_Component!AJ41</f>
        <v>0</v>
      </c>
      <c r="AK41" s="147">
        <f>$A41*CAS_Component!AK41</f>
        <v>0</v>
      </c>
      <c r="AL41" s="159">
        <f>$A41*CAS_Component!AL41</f>
        <v>0</v>
      </c>
      <c r="AM41" s="147">
        <f>$A41*CAS_Component!AM41</f>
        <v>0</v>
      </c>
      <c r="AN41" s="159">
        <f>$A41*CAS_Component!AN41</f>
        <v>0</v>
      </c>
      <c r="AO41" s="147">
        <f>$A41*CAS_Component!AO41</f>
        <v>0</v>
      </c>
      <c r="AP41" s="159">
        <f>$A41*CAS_Component!AP41</f>
        <v>0</v>
      </c>
      <c r="AQ41" s="147">
        <f>$A41*CAS_Component!AQ41</f>
        <v>0</v>
      </c>
      <c r="AR41" s="159">
        <f>$A41*CAS_Component!AR41</f>
        <v>0</v>
      </c>
      <c r="AS41" s="147">
        <f>$A41*CAS_Component!AS41</f>
        <v>0</v>
      </c>
      <c r="AT41" s="159">
        <f>$A41*CAS_Component!AT41</f>
        <v>0</v>
      </c>
      <c r="AU41" s="147">
        <f>$A41*CAS_Component!AU41</f>
        <v>0</v>
      </c>
      <c r="AV41" s="159">
        <f>$A41*CAS_Component!AV41</f>
        <v>0</v>
      </c>
      <c r="AW41" s="147">
        <f>$A41*CAS_Component!AW41</f>
        <v>0</v>
      </c>
      <c r="AX41" s="159">
        <f>$A41*CAS_Component!AX41</f>
        <v>0</v>
      </c>
      <c r="AY41" s="147">
        <f>$A41*CAS_Component!AY41</f>
        <v>0</v>
      </c>
      <c r="AZ41" s="159">
        <f>$A41*CAS_Component!AZ41</f>
        <v>0</v>
      </c>
      <c r="BA41" s="147">
        <f>$A41*CAS_Component!BA41</f>
        <v>0</v>
      </c>
      <c r="BB41" s="159">
        <f>$A41*CAS_Component!BB41</f>
        <v>0</v>
      </c>
      <c r="BC41" s="147">
        <f>$A41*CAS_Component!BC41</f>
        <v>0</v>
      </c>
      <c r="BD41" s="159">
        <f>$A41*CAS_Component!BD41</f>
        <v>0</v>
      </c>
      <c r="BE41" s="147">
        <f>$A41*CAS_Component!BE41</f>
        <v>0</v>
      </c>
      <c r="BF41" s="159">
        <f>$A41*CAS_Component!BF41</f>
        <v>0</v>
      </c>
      <c r="BG41" s="147">
        <f>$A41*CAS_Component!BG41</f>
        <v>0</v>
      </c>
      <c r="BH41" s="159">
        <f>$A41*CAS_Component!BH41</f>
        <v>0</v>
      </c>
      <c r="BI41" s="147">
        <f>$A41*CAS_Component!BI41</f>
        <v>0</v>
      </c>
      <c r="BJ41" s="159">
        <f>$A41*CAS_Component!BJ41</f>
        <v>0</v>
      </c>
      <c r="BK41" s="147">
        <f>$A41*CAS_Component!BK41</f>
        <v>0</v>
      </c>
      <c r="BL41" s="159">
        <f>$A41*CAS_Component!BL41</f>
        <v>0</v>
      </c>
      <c r="BM41" s="147">
        <f>$A41*CAS_Component!BM41</f>
        <v>0</v>
      </c>
      <c r="BN41" s="159">
        <f>$A41*CAS_Component!BN41</f>
        <v>0</v>
      </c>
      <c r="BO41" s="147">
        <f>$A41*CAS_Component!BO41</f>
        <v>0</v>
      </c>
      <c r="BP41" s="159">
        <f>$A41*CAS_Component!BP41</f>
        <v>0</v>
      </c>
      <c r="BQ41" s="147">
        <f>$A41*CAS_Component!BQ41</f>
        <v>0</v>
      </c>
      <c r="BR41" s="159">
        <f>$A41*CAS_Component!BR41</f>
        <v>0</v>
      </c>
      <c r="BS41" s="147">
        <f>$A41*CAS_Component!BS41</f>
        <v>0</v>
      </c>
      <c r="BT41" s="159">
        <f>$A41*CAS_Component!BT41</f>
        <v>0</v>
      </c>
      <c r="BU41" s="147">
        <f>$A41*CAS_Component!BU41</f>
        <v>0</v>
      </c>
      <c r="BV41" s="159">
        <f>$A41*CAS_Component!BV41</f>
        <v>0</v>
      </c>
      <c r="BW41" s="147">
        <f>$A41*CAS_Component!BW41</f>
        <v>0</v>
      </c>
      <c r="BX41" s="159">
        <f>$A41*CAS_Component!BX41</f>
        <v>0</v>
      </c>
      <c r="BY41" s="147">
        <f>$A41*CAS_Component!BY41</f>
        <v>0</v>
      </c>
      <c r="BZ41" s="159">
        <f>$A41*CAS_Component!BZ41</f>
        <v>0</v>
      </c>
      <c r="CA41" s="147">
        <f>$A41*CAS_Component!CA41</f>
        <v>0</v>
      </c>
      <c r="CB41" s="159">
        <f>$A41*CAS_Component!CB41</f>
        <v>0</v>
      </c>
    </row>
    <row r="42" spans="1:80">
      <c r="A42" s="69">
        <v>2</v>
      </c>
      <c r="B42" s="68" t="s">
        <v>353</v>
      </c>
      <c r="C42" s="67">
        <v>2.47343</v>
      </c>
      <c r="D42" s="159">
        <f t="shared" si="4"/>
        <v>4.9414200000000008</v>
      </c>
      <c r="E42" s="147">
        <f>A42*CAS_Component!E42</f>
        <v>0</v>
      </c>
      <c r="F42" s="159">
        <f>$A42*CAS_Component!F42</f>
        <v>0</v>
      </c>
      <c r="G42" s="147">
        <f>$A42*CAS_Component!G42</f>
        <v>0</v>
      </c>
      <c r="H42" s="159">
        <f>$A42*CAS_Component!H42</f>
        <v>0</v>
      </c>
      <c r="I42" s="147">
        <f>$A42*CAS_Component!I42</f>
        <v>0</v>
      </c>
      <c r="J42" s="159">
        <f>$A42*CAS_Component!J42</f>
        <v>0</v>
      </c>
      <c r="K42" s="147">
        <f>$A42*CAS_Component!K42</f>
        <v>0</v>
      </c>
      <c r="L42" s="159">
        <f>$A42*CAS_Component!L42</f>
        <v>0</v>
      </c>
      <c r="M42" s="147">
        <f>$A42*CAS_Component!M42</f>
        <v>6.4219999999999999E-2</v>
      </c>
      <c r="N42" s="159">
        <f>$A42*CAS_Component!N42</f>
        <v>0</v>
      </c>
      <c r="O42" s="147">
        <f>$A42*CAS_Component!O42</f>
        <v>0</v>
      </c>
      <c r="P42" s="159">
        <f>$A42*CAS_Component!P42</f>
        <v>0</v>
      </c>
      <c r="Q42" s="147">
        <f>$A42*CAS_Component!Q42</f>
        <v>0</v>
      </c>
      <c r="R42" s="159">
        <f>$A42*CAS_Component!R42</f>
        <v>0.20671999999999999</v>
      </c>
      <c r="S42" s="147">
        <f>$A42*CAS_Component!S42</f>
        <v>6.4000000000000005E-4</v>
      </c>
      <c r="T42" s="159">
        <f>$A42*CAS_Component!T42</f>
        <v>0</v>
      </c>
      <c r="U42" s="147">
        <f>$A42*CAS_Component!U42</f>
        <v>0.1081</v>
      </c>
      <c r="V42" s="159">
        <f>$A42*CAS_Component!V42</f>
        <v>0</v>
      </c>
      <c r="W42" s="147">
        <f>$A42*CAS_Component!W42</f>
        <v>0</v>
      </c>
      <c r="X42" s="159">
        <f>$A42*CAS_Component!X42</f>
        <v>0</v>
      </c>
      <c r="Y42" s="147">
        <f>$A42*CAS_Component!Y42</f>
        <v>0</v>
      </c>
      <c r="Z42" s="159">
        <f>$A42*CAS_Component!Z42</f>
        <v>0</v>
      </c>
      <c r="AA42" s="147">
        <f>$A42*CAS_Component!AA42</f>
        <v>0</v>
      </c>
      <c r="AB42" s="159">
        <f>$A42*CAS_Component!AB42</f>
        <v>0</v>
      </c>
      <c r="AC42" s="147">
        <f>$A42*CAS_Component!AC42</f>
        <v>0</v>
      </c>
      <c r="AD42" s="159">
        <f>$A42*CAS_Component!AD42</f>
        <v>0</v>
      </c>
      <c r="AE42" s="147">
        <f>$A42*CAS_Component!AE42</f>
        <v>0</v>
      </c>
      <c r="AF42" s="159">
        <f>$A42*CAS_Component!AF42</f>
        <v>5.7160000000000002E-2</v>
      </c>
      <c r="AG42" s="147">
        <f>$A42*CAS_Component!AG42</f>
        <v>0</v>
      </c>
      <c r="AH42" s="159">
        <f>$A42*CAS_Component!AH42</f>
        <v>0</v>
      </c>
      <c r="AI42" s="147">
        <f>$A42*CAS_Component!AI42</f>
        <v>0</v>
      </c>
      <c r="AJ42" s="159">
        <f>$A42*CAS_Component!AJ42</f>
        <v>0</v>
      </c>
      <c r="AK42" s="147">
        <f>$A42*CAS_Component!AK42</f>
        <v>0</v>
      </c>
      <c r="AL42" s="159">
        <f>$A42*CAS_Component!AL42</f>
        <v>0</v>
      </c>
      <c r="AM42" s="147">
        <f>$A42*CAS_Component!AM42</f>
        <v>0</v>
      </c>
      <c r="AN42" s="159">
        <f>$A42*CAS_Component!AN42</f>
        <v>8.8800000000000004E-2</v>
      </c>
      <c r="AO42" s="147">
        <f>$A42*CAS_Component!AO42</f>
        <v>8.8800000000000004E-2</v>
      </c>
      <c r="AP42" s="159">
        <f>$A42*CAS_Component!AP42</f>
        <v>0</v>
      </c>
      <c r="AQ42" s="147">
        <f>$A42*CAS_Component!AQ42</f>
        <v>0</v>
      </c>
      <c r="AR42" s="159">
        <f>$A42*CAS_Component!AR42</f>
        <v>0</v>
      </c>
      <c r="AS42" s="147">
        <f>$A42*CAS_Component!AS42</f>
        <v>0</v>
      </c>
      <c r="AT42" s="159">
        <f>$A42*CAS_Component!AT42</f>
        <v>0</v>
      </c>
      <c r="AU42" s="147">
        <f>$A42*CAS_Component!AU42</f>
        <v>0</v>
      </c>
      <c r="AV42" s="159">
        <f>$A42*CAS_Component!AV42</f>
        <v>0</v>
      </c>
      <c r="AW42" s="147">
        <f>$A42*CAS_Component!AW42</f>
        <v>0</v>
      </c>
      <c r="AX42" s="159">
        <f>$A42*CAS_Component!AX42</f>
        <v>4.2624000000000004</v>
      </c>
      <c r="AY42" s="147">
        <f>$A42*CAS_Component!AY42</f>
        <v>0</v>
      </c>
      <c r="AZ42" s="159">
        <f>$A42*CAS_Component!AZ42</f>
        <v>2.1839999999999998E-2</v>
      </c>
      <c r="BA42" s="147">
        <f>$A42*CAS_Component!BA42</f>
        <v>0</v>
      </c>
      <c r="BB42" s="159">
        <f>$A42*CAS_Component!BB42</f>
        <v>0</v>
      </c>
      <c r="BC42" s="147">
        <f>$A42*CAS_Component!BC42</f>
        <v>0</v>
      </c>
      <c r="BD42" s="159">
        <f>$A42*CAS_Component!BD42</f>
        <v>0</v>
      </c>
      <c r="BE42" s="147">
        <f>$A42*CAS_Component!BE42</f>
        <v>0</v>
      </c>
      <c r="BF42" s="159">
        <f>$A42*CAS_Component!BF42</f>
        <v>0</v>
      </c>
      <c r="BG42" s="147">
        <f>$A42*CAS_Component!BG42</f>
        <v>4.274E-2</v>
      </c>
      <c r="BH42" s="159">
        <f>$A42*CAS_Component!BH42</f>
        <v>0</v>
      </c>
      <c r="BI42" s="147">
        <f>$A42*CAS_Component!BI42</f>
        <v>0</v>
      </c>
      <c r="BJ42" s="159">
        <f>$A42*CAS_Component!BJ42</f>
        <v>0</v>
      </c>
      <c r="BK42" s="147">
        <f>$A42*CAS_Component!BK42</f>
        <v>0</v>
      </c>
      <c r="BL42" s="159">
        <f>$A42*CAS_Component!BL42</f>
        <v>0</v>
      </c>
      <c r="BM42" s="147">
        <f>$A42*CAS_Component!BM42</f>
        <v>0</v>
      </c>
      <c r="BN42" s="159">
        <f>$A42*CAS_Component!BN42</f>
        <v>0</v>
      </c>
      <c r="BO42" s="147">
        <f>$A42*CAS_Component!BO42</f>
        <v>0</v>
      </c>
      <c r="BP42" s="159">
        <f>$A42*CAS_Component!BP42</f>
        <v>0</v>
      </c>
      <c r="BQ42" s="147">
        <f>$A42*CAS_Component!BQ42</f>
        <v>0</v>
      </c>
      <c r="BR42" s="159">
        <f>$A42*CAS_Component!BR42</f>
        <v>0</v>
      </c>
      <c r="BS42" s="147">
        <f>$A42*CAS_Component!BS42</f>
        <v>0</v>
      </c>
      <c r="BT42" s="159">
        <f>$A42*CAS_Component!BT42</f>
        <v>0</v>
      </c>
      <c r="BU42" s="147">
        <f>$A42*CAS_Component!BU42</f>
        <v>0</v>
      </c>
      <c r="BV42" s="159">
        <f>$A42*CAS_Component!BV42</f>
        <v>0</v>
      </c>
      <c r="BW42" s="147">
        <f>$A42*CAS_Component!BW42</f>
        <v>0</v>
      </c>
      <c r="BX42" s="159">
        <f>$A42*CAS_Component!BX42</f>
        <v>0</v>
      </c>
      <c r="BY42" s="147">
        <f>$A42*CAS_Component!BY42</f>
        <v>0</v>
      </c>
      <c r="BZ42" s="159">
        <f>$A42*CAS_Component!BZ42</f>
        <v>0</v>
      </c>
      <c r="CA42" s="147">
        <f>$A42*CAS_Component!CA42</f>
        <v>0</v>
      </c>
      <c r="CB42" s="159">
        <f>$A42*CAS_Component!CB42</f>
        <v>0</v>
      </c>
    </row>
    <row r="43" spans="1:80">
      <c r="A43" s="69">
        <v>2</v>
      </c>
      <c r="B43" s="68" t="s">
        <v>348</v>
      </c>
      <c r="C43" s="67">
        <v>2</v>
      </c>
      <c r="D43" s="159">
        <f t="shared" si="4"/>
        <v>2</v>
      </c>
      <c r="E43" s="147">
        <v>2</v>
      </c>
      <c r="F43" s="159">
        <f>$A43*CAS_Component!F43</f>
        <v>0</v>
      </c>
      <c r="G43" s="147">
        <f>$A43*CAS_Component!G43</f>
        <v>0</v>
      </c>
      <c r="H43" s="159">
        <f>$A43*CAS_Component!H43</f>
        <v>0</v>
      </c>
      <c r="I43" s="147">
        <f>$A43*CAS_Component!I43</f>
        <v>0</v>
      </c>
      <c r="J43" s="159">
        <f>$A43*CAS_Component!J43</f>
        <v>0</v>
      </c>
      <c r="K43" s="147">
        <f>$A43*CAS_Component!K43</f>
        <v>0</v>
      </c>
      <c r="L43" s="159">
        <f>$A43*CAS_Component!L43</f>
        <v>0</v>
      </c>
      <c r="M43" s="147">
        <f>$A43*CAS_Component!M43</f>
        <v>0</v>
      </c>
      <c r="N43" s="159">
        <f>$A43*CAS_Component!N43</f>
        <v>0</v>
      </c>
      <c r="O43" s="147">
        <f>$A43*CAS_Component!O43</f>
        <v>0</v>
      </c>
      <c r="P43" s="159">
        <f>$A43*CAS_Component!P43</f>
        <v>0</v>
      </c>
      <c r="Q43" s="147">
        <f>$A43*CAS_Component!Q43</f>
        <v>0</v>
      </c>
      <c r="R43" s="159">
        <f>$A43*CAS_Component!R43</f>
        <v>0</v>
      </c>
      <c r="S43" s="147">
        <f>$A43*CAS_Component!S43</f>
        <v>0</v>
      </c>
      <c r="T43" s="159">
        <f>$A43*CAS_Component!T43</f>
        <v>0</v>
      </c>
      <c r="U43" s="147">
        <f>$A43*CAS_Component!U43</f>
        <v>0</v>
      </c>
      <c r="V43" s="159">
        <f>$A43*CAS_Component!V43</f>
        <v>0</v>
      </c>
      <c r="W43" s="147">
        <f>$A43*CAS_Component!W43</f>
        <v>0</v>
      </c>
      <c r="X43" s="159">
        <f>$A43*CAS_Component!X43</f>
        <v>0</v>
      </c>
      <c r="Y43" s="147">
        <f>$A43*CAS_Component!Y43</f>
        <v>0</v>
      </c>
      <c r="Z43" s="159">
        <f>$A43*CAS_Component!Z43</f>
        <v>0</v>
      </c>
      <c r="AA43" s="147">
        <f>$A43*CAS_Component!AA43</f>
        <v>0</v>
      </c>
      <c r="AB43" s="159">
        <f>$A43*CAS_Component!AB43</f>
        <v>0</v>
      </c>
      <c r="AC43" s="147">
        <f>$A43*CAS_Component!AC43</f>
        <v>0</v>
      </c>
      <c r="AD43" s="159">
        <f>$A43*CAS_Component!AD43</f>
        <v>0</v>
      </c>
      <c r="AE43" s="147">
        <f>$A43*CAS_Component!AE43</f>
        <v>0</v>
      </c>
      <c r="AF43" s="159">
        <f>$A43*CAS_Component!AF43</f>
        <v>0</v>
      </c>
      <c r="AG43" s="147">
        <f>$A43*CAS_Component!AG43</f>
        <v>0</v>
      </c>
      <c r="AH43" s="159">
        <f>$A43*CAS_Component!AH43</f>
        <v>0</v>
      </c>
      <c r="AI43" s="147">
        <f>$A43*CAS_Component!AI43</f>
        <v>0</v>
      </c>
      <c r="AJ43" s="159">
        <f>$A43*CAS_Component!AJ43</f>
        <v>0</v>
      </c>
      <c r="AK43" s="147">
        <f>$A43*CAS_Component!AK43</f>
        <v>0</v>
      </c>
      <c r="AL43" s="159">
        <f>$A43*CAS_Component!AL43</f>
        <v>0</v>
      </c>
      <c r="AM43" s="147">
        <f>$A43*CAS_Component!AM43</f>
        <v>0</v>
      </c>
      <c r="AN43" s="159">
        <f>$A43*CAS_Component!AN43</f>
        <v>0</v>
      </c>
      <c r="AO43" s="147">
        <f>$A43*CAS_Component!AO43</f>
        <v>0</v>
      </c>
      <c r="AP43" s="159">
        <f>$A43*CAS_Component!AP43</f>
        <v>0</v>
      </c>
      <c r="AQ43" s="147">
        <f>$A43*CAS_Component!AQ43</f>
        <v>0</v>
      </c>
      <c r="AR43" s="159">
        <f>$A43*CAS_Component!AR43</f>
        <v>0</v>
      </c>
      <c r="AS43" s="147">
        <f>$A43*CAS_Component!AS43</f>
        <v>0</v>
      </c>
      <c r="AT43" s="159">
        <f>$A43*CAS_Component!AT43</f>
        <v>0</v>
      </c>
      <c r="AU43" s="147">
        <f>$A43*CAS_Component!AU43</f>
        <v>0</v>
      </c>
      <c r="AV43" s="159">
        <f>$A43*CAS_Component!AV43</f>
        <v>0</v>
      </c>
      <c r="AW43" s="147">
        <f>$A43*CAS_Component!AW43</f>
        <v>0</v>
      </c>
      <c r="AX43" s="159">
        <f>$A43*CAS_Component!AX43</f>
        <v>0</v>
      </c>
      <c r="AY43" s="147">
        <f>$A43*CAS_Component!AY43</f>
        <v>0</v>
      </c>
      <c r="AZ43" s="159">
        <f>$A43*CAS_Component!AZ43</f>
        <v>0</v>
      </c>
      <c r="BA43" s="147">
        <f>$A43*CAS_Component!BA43</f>
        <v>0</v>
      </c>
      <c r="BB43" s="159">
        <f>$A43*CAS_Component!BB43</f>
        <v>0</v>
      </c>
      <c r="BC43" s="147">
        <f>$A43*CAS_Component!BC43</f>
        <v>0</v>
      </c>
      <c r="BD43" s="159">
        <f>$A43*CAS_Component!BD43</f>
        <v>0</v>
      </c>
      <c r="BE43" s="147">
        <f>$A43*CAS_Component!BE43</f>
        <v>0</v>
      </c>
      <c r="BF43" s="159">
        <f>$A43*CAS_Component!BF43</f>
        <v>0</v>
      </c>
      <c r="BG43" s="147">
        <f>$A43*CAS_Component!BG43</f>
        <v>0</v>
      </c>
      <c r="BH43" s="159">
        <f>$A43*CAS_Component!BH43</f>
        <v>0</v>
      </c>
      <c r="BI43" s="147">
        <f>$A43*CAS_Component!BI43</f>
        <v>0</v>
      </c>
      <c r="BJ43" s="159">
        <f>$A43*CAS_Component!BJ43</f>
        <v>0</v>
      </c>
      <c r="BK43" s="147">
        <f>$A43*CAS_Component!BK43</f>
        <v>0</v>
      </c>
      <c r="BL43" s="159">
        <f>$A43*CAS_Component!BL43</f>
        <v>0</v>
      </c>
      <c r="BM43" s="147">
        <f>$A43*CAS_Component!BM43</f>
        <v>0</v>
      </c>
      <c r="BN43" s="159">
        <f>$A43*CAS_Component!BN43</f>
        <v>0</v>
      </c>
      <c r="BO43" s="147">
        <f>$A43*CAS_Component!BO43</f>
        <v>0</v>
      </c>
      <c r="BP43" s="159">
        <f>$A43*CAS_Component!BP43</f>
        <v>0</v>
      </c>
      <c r="BQ43" s="147">
        <f>$A43*CAS_Component!BQ43</f>
        <v>0</v>
      </c>
      <c r="BR43" s="159">
        <f>$A43*CAS_Component!BR43</f>
        <v>0</v>
      </c>
      <c r="BS43" s="147">
        <f>$A43*CAS_Component!BS43</f>
        <v>0</v>
      </c>
      <c r="BT43" s="159">
        <f>$A43*CAS_Component!BT43</f>
        <v>0</v>
      </c>
      <c r="BU43" s="147">
        <f>$A43*CAS_Component!BU43</f>
        <v>0</v>
      </c>
      <c r="BV43" s="159">
        <f>$A43*CAS_Component!BV43</f>
        <v>0</v>
      </c>
      <c r="BW43" s="147">
        <f>$A43*CAS_Component!BW43</f>
        <v>0</v>
      </c>
      <c r="BX43" s="159">
        <f>$A43*CAS_Component!BX43</f>
        <v>0</v>
      </c>
      <c r="BY43" s="147">
        <f>$A43*CAS_Component!BY43</f>
        <v>0</v>
      </c>
      <c r="BZ43" s="159">
        <f>$A43*CAS_Component!BZ43</f>
        <v>0</v>
      </c>
      <c r="CA43" s="147">
        <f>$A43*CAS_Component!CA43</f>
        <v>0</v>
      </c>
      <c r="CB43" s="159">
        <f>$A43*CAS_Component!CB43</f>
        <v>0</v>
      </c>
    </row>
    <row r="44" spans="1:80">
      <c r="A44" s="69">
        <v>1</v>
      </c>
      <c r="B44" s="68" t="s">
        <v>343</v>
      </c>
      <c r="C44" s="67">
        <v>2.14</v>
      </c>
      <c r="D44" s="159">
        <f t="shared" si="4"/>
        <v>2.1318893999999999</v>
      </c>
      <c r="E44" s="147">
        <f>A44*CAS_Component!E44</f>
        <v>0</v>
      </c>
      <c r="F44" s="159">
        <f>$A44*CAS_Component!F44</f>
        <v>0</v>
      </c>
      <c r="G44" s="147">
        <f>$A44*CAS_Component!G44</f>
        <v>0</v>
      </c>
      <c r="H44" s="159">
        <f>$A44*CAS_Component!H44</f>
        <v>0</v>
      </c>
      <c r="I44" s="147">
        <f>$A44*CAS_Component!I44</f>
        <v>0</v>
      </c>
      <c r="J44" s="159">
        <f>$A44*CAS_Component!J44</f>
        <v>0</v>
      </c>
      <c r="K44" s="147">
        <f>$A44*CAS_Component!K44</f>
        <v>0</v>
      </c>
      <c r="L44" s="159">
        <f>$A44*CAS_Component!L44</f>
        <v>0</v>
      </c>
      <c r="M44" s="147">
        <f>$A44*CAS_Component!M44</f>
        <v>5.8207999999999996E-2</v>
      </c>
      <c r="N44" s="159">
        <f>$A44*CAS_Component!N44</f>
        <v>2.568E-3</v>
      </c>
      <c r="O44" s="147">
        <f>$A44*CAS_Component!O44</f>
        <v>5.6710000000000003E-2</v>
      </c>
      <c r="P44" s="159">
        <f>$A44*CAS_Component!P44</f>
        <v>0</v>
      </c>
      <c r="Q44" s="147">
        <f>$A44*CAS_Component!Q44</f>
        <v>0</v>
      </c>
      <c r="R44" s="159">
        <f>$A44*CAS_Component!R44</f>
        <v>6.2894600000000009E-2</v>
      </c>
      <c r="S44" s="147">
        <f>$A44*CAS_Component!S44</f>
        <v>9.4160000000000012E-4</v>
      </c>
      <c r="T44" s="159">
        <f>$A44*CAS_Component!T44</f>
        <v>0</v>
      </c>
      <c r="U44" s="147">
        <f>$A44*CAS_Component!U44</f>
        <v>5.3114799999999997E-2</v>
      </c>
      <c r="V44" s="159">
        <f>$A44*CAS_Component!V44</f>
        <v>0</v>
      </c>
      <c r="W44" s="147">
        <f>$A44*CAS_Component!W44</f>
        <v>0</v>
      </c>
      <c r="X44" s="159">
        <f>$A44*CAS_Component!X44</f>
        <v>0</v>
      </c>
      <c r="Y44" s="147">
        <f>$A44*CAS_Component!Y44</f>
        <v>1.60714E-2</v>
      </c>
      <c r="Z44" s="159">
        <f>$A44*CAS_Component!Z44</f>
        <v>0</v>
      </c>
      <c r="AA44" s="147">
        <f>$A44*CAS_Component!AA44</f>
        <v>0</v>
      </c>
      <c r="AB44" s="159">
        <f>$A44*CAS_Component!AB44</f>
        <v>0</v>
      </c>
      <c r="AC44" s="147">
        <f>$A44*CAS_Component!AC44</f>
        <v>0</v>
      </c>
      <c r="AD44" s="159">
        <f>$A44*CAS_Component!AD44</f>
        <v>1.2026800000000001E-2</v>
      </c>
      <c r="AE44" s="147">
        <f>$A44*CAS_Component!AE44</f>
        <v>0</v>
      </c>
      <c r="AF44" s="159">
        <f>$A44*CAS_Component!AF44</f>
        <v>0</v>
      </c>
      <c r="AG44" s="147">
        <f>$A44*CAS_Component!AG44</f>
        <v>0</v>
      </c>
      <c r="AH44" s="159">
        <f>$A44*CAS_Component!AH44</f>
        <v>0</v>
      </c>
      <c r="AI44" s="147">
        <f>$A44*CAS_Component!AI44</f>
        <v>0</v>
      </c>
      <c r="AJ44" s="159">
        <f>$A44*CAS_Component!AJ44</f>
        <v>0</v>
      </c>
      <c r="AK44" s="147">
        <f>$A44*CAS_Component!AK44</f>
        <v>0</v>
      </c>
      <c r="AL44" s="159">
        <f>$A44*CAS_Component!AL44</f>
        <v>0</v>
      </c>
      <c r="AM44" s="147">
        <f>$A44*CAS_Component!AM44</f>
        <v>0</v>
      </c>
      <c r="AN44" s="159">
        <f>$A44*CAS_Component!AN44</f>
        <v>0</v>
      </c>
      <c r="AO44" s="147">
        <f>$A44*CAS_Component!AO44</f>
        <v>0</v>
      </c>
      <c r="AP44" s="159">
        <f>$A44*CAS_Component!AP44</f>
        <v>0</v>
      </c>
      <c r="AQ44" s="147">
        <f>$A44*CAS_Component!AQ44</f>
        <v>0</v>
      </c>
      <c r="AR44" s="159">
        <f>$A44*CAS_Component!AR44</f>
        <v>0</v>
      </c>
      <c r="AS44" s="147">
        <f>$A44*CAS_Component!AS44</f>
        <v>3.21E-4</v>
      </c>
      <c r="AT44" s="159">
        <f>$A44*CAS_Component!AT44</f>
        <v>0</v>
      </c>
      <c r="AU44" s="147">
        <f>$A44*CAS_Component!AU44</f>
        <v>0</v>
      </c>
      <c r="AV44" s="159">
        <f>$A44*CAS_Component!AV44</f>
        <v>0</v>
      </c>
      <c r="AW44" s="147">
        <f>$A44*CAS_Component!AW44</f>
        <v>1.9709400000000002E-2</v>
      </c>
      <c r="AX44" s="159">
        <f>$A44*CAS_Component!AX44</f>
        <v>0</v>
      </c>
      <c r="AY44" s="147">
        <f>$A44*CAS_Component!AY44</f>
        <v>0</v>
      </c>
      <c r="AZ44" s="159">
        <f>$A44*CAS_Component!AZ44</f>
        <v>1.8237080000000001</v>
      </c>
      <c r="BA44" s="147">
        <f>$A44*CAS_Component!BA44</f>
        <v>3.8948000000000003E-3</v>
      </c>
      <c r="BB44" s="159">
        <f>$A44*CAS_Component!BB44</f>
        <v>0</v>
      </c>
      <c r="BC44" s="147">
        <f>$A44*CAS_Component!BC44</f>
        <v>5.2643999999999998E-3</v>
      </c>
      <c r="BD44" s="159">
        <f>$A44*CAS_Component!BD44</f>
        <v>7.2760000000000012E-4</v>
      </c>
      <c r="BE44" s="147">
        <f>$A44*CAS_Component!BE44</f>
        <v>0</v>
      </c>
      <c r="BF44" s="159">
        <f>$A44*CAS_Component!BF44</f>
        <v>0</v>
      </c>
      <c r="BG44" s="147">
        <f>$A44*CAS_Component!BG44</f>
        <v>0</v>
      </c>
      <c r="BH44" s="159">
        <f>$A44*CAS_Component!BH44</f>
        <v>0</v>
      </c>
      <c r="BI44" s="147">
        <f>$A44*CAS_Component!BI44</f>
        <v>0</v>
      </c>
      <c r="BJ44" s="159">
        <f>$A44*CAS_Component!BJ44</f>
        <v>0</v>
      </c>
      <c r="BK44" s="147">
        <f>$A44*CAS_Component!BK44</f>
        <v>1.5729E-2</v>
      </c>
      <c r="BL44" s="159">
        <f>$A44*CAS_Component!BL44</f>
        <v>0</v>
      </c>
      <c r="BM44" s="147">
        <f>$A44*CAS_Component!BM44</f>
        <v>0</v>
      </c>
      <c r="BN44" s="159">
        <f>$A44*CAS_Component!BN44</f>
        <v>0</v>
      </c>
      <c r="BO44" s="147">
        <f>$A44*CAS_Component!BO44</f>
        <v>0</v>
      </c>
      <c r="BP44" s="159">
        <f>$A44*CAS_Component!BP44</f>
        <v>0</v>
      </c>
      <c r="BQ44" s="147">
        <f>$A44*CAS_Component!BQ44</f>
        <v>0</v>
      </c>
      <c r="BR44" s="159">
        <f>$A44*CAS_Component!BR44</f>
        <v>0</v>
      </c>
      <c r="BS44" s="147">
        <f>$A44*CAS_Component!BS44</f>
        <v>0</v>
      </c>
      <c r="BT44" s="159">
        <f>$A44*CAS_Component!BT44</f>
        <v>0</v>
      </c>
      <c r="BU44" s="147">
        <f>$A44*CAS_Component!BU44</f>
        <v>0</v>
      </c>
      <c r="BV44" s="159">
        <f>$A44*CAS_Component!BV44</f>
        <v>0</v>
      </c>
      <c r="BW44" s="147">
        <f>$A44*CAS_Component!BW44</f>
        <v>0</v>
      </c>
      <c r="BX44" s="159">
        <f>$A44*CAS_Component!BX44</f>
        <v>0</v>
      </c>
      <c r="BY44" s="147">
        <f>$A44*CAS_Component!BY44</f>
        <v>0</v>
      </c>
      <c r="BZ44" s="159">
        <f>$A44*CAS_Component!BZ44</f>
        <v>0</v>
      </c>
      <c r="CA44" s="147">
        <f>$A44*CAS_Component!CA44</f>
        <v>0</v>
      </c>
      <c r="CB44" s="159">
        <f>$A44*CAS_Component!CB44</f>
        <v>0</v>
      </c>
    </row>
    <row r="45" spans="1:80">
      <c r="A45" s="69">
        <v>1</v>
      </c>
      <c r="B45" s="68" t="s">
        <v>337</v>
      </c>
      <c r="C45" s="67">
        <v>4.7</v>
      </c>
      <c r="D45" s="159">
        <f t="shared" si="4"/>
        <v>4.7</v>
      </c>
      <c r="E45" s="147">
        <v>4.7</v>
      </c>
      <c r="F45" s="159">
        <f>$A45*CAS_Component!F45</f>
        <v>0</v>
      </c>
      <c r="G45" s="147">
        <f>$A45*CAS_Component!G45</f>
        <v>0</v>
      </c>
      <c r="H45" s="159">
        <f>$A45*CAS_Component!H45</f>
        <v>0</v>
      </c>
      <c r="I45" s="147">
        <f>$A45*CAS_Component!I45</f>
        <v>0</v>
      </c>
      <c r="J45" s="159">
        <f>$A45*CAS_Component!J45</f>
        <v>0</v>
      </c>
      <c r="K45" s="147">
        <f>$A45*CAS_Component!K45</f>
        <v>0</v>
      </c>
      <c r="L45" s="159">
        <f>$A45*CAS_Component!L45</f>
        <v>0</v>
      </c>
      <c r="M45" s="147">
        <f>$A45*CAS_Component!M45</f>
        <v>0</v>
      </c>
      <c r="N45" s="159">
        <f>$A45*CAS_Component!N45</f>
        <v>0</v>
      </c>
      <c r="O45" s="147">
        <f>$A45*CAS_Component!O45</f>
        <v>0</v>
      </c>
      <c r="P45" s="159">
        <f>$A45*CAS_Component!P45</f>
        <v>0</v>
      </c>
      <c r="Q45" s="147">
        <f>$A45*CAS_Component!Q45</f>
        <v>0</v>
      </c>
      <c r="R45" s="159">
        <f>$A45*CAS_Component!R45</f>
        <v>0</v>
      </c>
      <c r="S45" s="147">
        <f>$A45*CAS_Component!S45</f>
        <v>0</v>
      </c>
      <c r="T45" s="159">
        <f>$A45*CAS_Component!T45</f>
        <v>0</v>
      </c>
      <c r="U45" s="147">
        <f>$A45*CAS_Component!U45</f>
        <v>0</v>
      </c>
      <c r="V45" s="159">
        <f>$A45*CAS_Component!V45</f>
        <v>0</v>
      </c>
      <c r="W45" s="147">
        <f>$A45*CAS_Component!W45</f>
        <v>0</v>
      </c>
      <c r="X45" s="159">
        <f>$A45*CAS_Component!X45</f>
        <v>0</v>
      </c>
      <c r="Y45" s="147">
        <f>$A45*CAS_Component!Y45</f>
        <v>0</v>
      </c>
      <c r="Z45" s="159">
        <f>$A45*CAS_Component!Z45</f>
        <v>0</v>
      </c>
      <c r="AA45" s="147">
        <f>$A45*CAS_Component!AA45</f>
        <v>0</v>
      </c>
      <c r="AB45" s="159">
        <f>$A45*CAS_Component!AB45</f>
        <v>0</v>
      </c>
      <c r="AC45" s="147">
        <f>$A45*CAS_Component!AC45</f>
        <v>0</v>
      </c>
      <c r="AD45" s="159">
        <f>$A45*CAS_Component!AD45</f>
        <v>0</v>
      </c>
      <c r="AE45" s="147">
        <f>$A45*CAS_Component!AE45</f>
        <v>0</v>
      </c>
      <c r="AF45" s="159">
        <f>$A45*CAS_Component!AF45</f>
        <v>0</v>
      </c>
      <c r="AG45" s="147">
        <f>$A45*CAS_Component!AG45</f>
        <v>0</v>
      </c>
      <c r="AH45" s="159">
        <f>$A45*CAS_Component!AH45</f>
        <v>0</v>
      </c>
      <c r="AI45" s="147">
        <f>$A45*CAS_Component!AI45</f>
        <v>0</v>
      </c>
      <c r="AJ45" s="159">
        <f>$A45*CAS_Component!AJ45</f>
        <v>0</v>
      </c>
      <c r="AK45" s="147">
        <f>$A45*CAS_Component!AK45</f>
        <v>0</v>
      </c>
      <c r="AL45" s="159">
        <f>$A45*CAS_Component!AL45</f>
        <v>0</v>
      </c>
      <c r="AM45" s="147">
        <f>$A45*CAS_Component!AM45</f>
        <v>0</v>
      </c>
      <c r="AN45" s="159">
        <f>$A45*CAS_Component!AN45</f>
        <v>0</v>
      </c>
      <c r="AO45" s="147">
        <f>$A45*CAS_Component!AO45</f>
        <v>0</v>
      </c>
      <c r="AP45" s="159">
        <f>$A45*CAS_Component!AP45</f>
        <v>0</v>
      </c>
      <c r="AQ45" s="147">
        <f>$A45*CAS_Component!AQ45</f>
        <v>0</v>
      </c>
      <c r="AR45" s="159">
        <f>$A45*CAS_Component!AR45</f>
        <v>0</v>
      </c>
      <c r="AS45" s="147">
        <f>$A45*CAS_Component!AS45</f>
        <v>0</v>
      </c>
      <c r="AT45" s="159">
        <f>$A45*CAS_Component!AT45</f>
        <v>0</v>
      </c>
      <c r="AU45" s="147">
        <f>$A45*CAS_Component!AU45</f>
        <v>0</v>
      </c>
      <c r="AV45" s="159">
        <f>$A45*CAS_Component!AV45</f>
        <v>0</v>
      </c>
      <c r="AW45" s="147">
        <f>$A45*CAS_Component!AW45</f>
        <v>0</v>
      </c>
      <c r="AX45" s="159">
        <f>$A45*CAS_Component!AX45</f>
        <v>0</v>
      </c>
      <c r="AY45" s="147">
        <f>$A45*CAS_Component!AY45</f>
        <v>0</v>
      </c>
      <c r="AZ45" s="159">
        <f>$A45*CAS_Component!AZ45</f>
        <v>0</v>
      </c>
      <c r="BA45" s="147">
        <f>$A45*CAS_Component!BA45</f>
        <v>0</v>
      </c>
      <c r="BB45" s="159">
        <f>$A45*CAS_Component!BB45</f>
        <v>0</v>
      </c>
      <c r="BC45" s="147">
        <f>$A45*CAS_Component!BC45</f>
        <v>0</v>
      </c>
      <c r="BD45" s="159">
        <f>$A45*CAS_Component!BD45</f>
        <v>0</v>
      </c>
      <c r="BE45" s="147">
        <f>$A45*CAS_Component!BE45</f>
        <v>0</v>
      </c>
      <c r="BF45" s="159">
        <f>$A45*CAS_Component!BF45</f>
        <v>0</v>
      </c>
      <c r="BG45" s="147">
        <f>$A45*CAS_Component!BG45</f>
        <v>0</v>
      </c>
      <c r="BH45" s="159">
        <f>$A45*CAS_Component!BH45</f>
        <v>0</v>
      </c>
      <c r="BI45" s="147">
        <f>$A45*CAS_Component!BI45</f>
        <v>0</v>
      </c>
      <c r="BJ45" s="159">
        <f>$A45*CAS_Component!BJ45</f>
        <v>0</v>
      </c>
      <c r="BK45" s="147">
        <f>$A45*CAS_Component!BK45</f>
        <v>0</v>
      </c>
      <c r="BL45" s="159">
        <f>$A45*CAS_Component!BL45</f>
        <v>0</v>
      </c>
      <c r="BM45" s="147">
        <f>$A45*CAS_Component!BM45</f>
        <v>0</v>
      </c>
      <c r="BN45" s="159">
        <f>$A45*CAS_Component!BN45</f>
        <v>0</v>
      </c>
      <c r="BO45" s="147">
        <f>$A45*CAS_Component!BO45</f>
        <v>0</v>
      </c>
      <c r="BP45" s="159">
        <f>$A45*CAS_Component!BP45</f>
        <v>0</v>
      </c>
      <c r="BQ45" s="147">
        <f>$A45*CAS_Component!BQ45</f>
        <v>0</v>
      </c>
      <c r="BR45" s="159">
        <f>$A45*CAS_Component!BR45</f>
        <v>0</v>
      </c>
      <c r="BS45" s="147">
        <f>$A45*CAS_Component!BS45</f>
        <v>0</v>
      </c>
      <c r="BT45" s="159">
        <f>$A45*CAS_Component!BT45</f>
        <v>0</v>
      </c>
      <c r="BU45" s="147">
        <f>$A45*CAS_Component!BU45</f>
        <v>0</v>
      </c>
      <c r="BV45" s="159">
        <f>$A45*CAS_Component!BV45</f>
        <v>0</v>
      </c>
      <c r="BW45" s="147">
        <f>$A45*CAS_Component!BW45</f>
        <v>0</v>
      </c>
      <c r="BX45" s="159">
        <f>$A45*CAS_Component!BX45</f>
        <v>0</v>
      </c>
      <c r="BY45" s="147">
        <f>$A45*CAS_Component!BY45</f>
        <v>0</v>
      </c>
      <c r="BZ45" s="159">
        <f>$A45*CAS_Component!BZ45</f>
        <v>0</v>
      </c>
      <c r="CA45" s="147">
        <f>$A45*CAS_Component!CA45</f>
        <v>0</v>
      </c>
      <c r="CB45" s="159">
        <f>$A45*CAS_Component!CB45</f>
        <v>0</v>
      </c>
    </row>
    <row r="46" spans="1:80">
      <c r="A46" s="69">
        <v>1</v>
      </c>
      <c r="B46" s="68">
        <v>760390014</v>
      </c>
      <c r="C46" s="67">
        <v>338</v>
      </c>
      <c r="D46" s="159">
        <f t="shared" si="4"/>
        <v>338.61380800000006</v>
      </c>
      <c r="E46" s="147">
        <f>A46*CAS_Component!E46</f>
        <v>9.8831199999999999</v>
      </c>
      <c r="F46" s="159">
        <f>$A46*CAS_Component!F46</f>
        <v>0</v>
      </c>
      <c r="G46" s="147">
        <f>$A46*CAS_Component!G46</f>
        <v>0</v>
      </c>
      <c r="H46" s="159">
        <f>$A46*CAS_Component!H46</f>
        <v>0</v>
      </c>
      <c r="I46" s="147">
        <f>$A46*CAS_Component!I46</f>
        <v>0</v>
      </c>
      <c r="J46" s="159">
        <f>$A46*CAS_Component!J46</f>
        <v>0</v>
      </c>
      <c r="K46" s="147">
        <f>$A46*CAS_Component!K46</f>
        <v>4.7320000000000001E-2</v>
      </c>
      <c r="L46" s="159">
        <f>$A46*CAS_Component!L46</f>
        <v>0</v>
      </c>
      <c r="M46" s="147">
        <f>$A46*CAS_Component!M46</f>
        <v>0.33800000000000002</v>
      </c>
      <c r="N46" s="159">
        <f>$A46*CAS_Component!N46</f>
        <v>19.894680000000001</v>
      </c>
      <c r="O46" s="147">
        <f>$A46*CAS_Component!O46</f>
        <v>0</v>
      </c>
      <c r="P46" s="159">
        <f>$A46*CAS_Component!P46</f>
        <v>45.551516399999997</v>
      </c>
      <c r="Q46" s="147">
        <f>$A46*CAS_Component!Q46</f>
        <v>0</v>
      </c>
      <c r="R46" s="159">
        <f>$A46*CAS_Component!R46</f>
        <v>0.50700000000000001</v>
      </c>
      <c r="S46" s="147">
        <f>$A46*CAS_Component!S46</f>
        <v>0</v>
      </c>
      <c r="T46" s="159">
        <f>$A46*CAS_Component!T46</f>
        <v>0</v>
      </c>
      <c r="U46" s="147">
        <f>$A46*CAS_Component!U46</f>
        <v>9.2814800000000002</v>
      </c>
      <c r="V46" s="159">
        <f>$A46*CAS_Component!V46</f>
        <v>0</v>
      </c>
      <c r="W46" s="147">
        <f>$A46*CAS_Component!W46</f>
        <v>0</v>
      </c>
      <c r="X46" s="159">
        <f>$A46*CAS_Component!X46</f>
        <v>0</v>
      </c>
      <c r="Y46" s="147">
        <f>$A46*CAS_Component!Y46</f>
        <v>0</v>
      </c>
      <c r="Z46" s="159">
        <f>$A46*CAS_Component!Z46</f>
        <v>0</v>
      </c>
      <c r="AA46" s="147">
        <f>$A46*CAS_Component!AA46</f>
        <v>0</v>
      </c>
      <c r="AB46" s="159">
        <f>$A46*CAS_Component!AB46</f>
        <v>0</v>
      </c>
      <c r="AC46" s="147">
        <f>$A46*CAS_Component!AC46</f>
        <v>29.842020000000002</v>
      </c>
      <c r="AD46" s="159">
        <f>$A46*CAS_Component!AD46</f>
        <v>0</v>
      </c>
      <c r="AE46" s="147">
        <f>$A46*CAS_Component!AE46</f>
        <v>0</v>
      </c>
      <c r="AF46" s="159">
        <f>$A46*CAS_Component!AF46</f>
        <v>0</v>
      </c>
      <c r="AG46" s="147">
        <f>$A46*CAS_Component!AG46</f>
        <v>0</v>
      </c>
      <c r="AH46" s="159">
        <f>$A46*CAS_Component!AH46</f>
        <v>0</v>
      </c>
      <c r="AI46" s="147">
        <f>$A46*CAS_Component!AI46</f>
        <v>0</v>
      </c>
      <c r="AJ46" s="159">
        <f>$A46*CAS_Component!AJ46</f>
        <v>0</v>
      </c>
      <c r="AK46" s="147">
        <f>$A46*CAS_Component!AK46</f>
        <v>0</v>
      </c>
      <c r="AL46" s="159">
        <f>$A46*CAS_Component!AL46</f>
        <v>0</v>
      </c>
      <c r="AM46" s="147">
        <f>$A46*CAS_Component!AM46</f>
        <v>0</v>
      </c>
      <c r="AN46" s="159">
        <f>$A46*CAS_Component!AN46</f>
        <v>0</v>
      </c>
      <c r="AO46" s="147">
        <f>$A46*CAS_Component!AO46</f>
        <v>0</v>
      </c>
      <c r="AP46" s="159">
        <f>$A46*CAS_Component!AP46</f>
        <v>0</v>
      </c>
      <c r="AQ46" s="147">
        <f>$A46*CAS_Component!AQ46</f>
        <v>0</v>
      </c>
      <c r="AR46" s="159">
        <f>$A46*CAS_Component!AR46</f>
        <v>0</v>
      </c>
      <c r="AS46" s="147">
        <f>$A46*CAS_Component!AS46</f>
        <v>0</v>
      </c>
      <c r="AT46" s="159">
        <f>$A46*CAS_Component!AT46</f>
        <v>0</v>
      </c>
      <c r="AU46" s="147">
        <f>$A46*CAS_Component!AU46</f>
        <v>0</v>
      </c>
      <c r="AV46" s="159">
        <f>$A46*CAS_Component!AV46</f>
        <v>0</v>
      </c>
      <c r="AW46" s="147">
        <f>$A46*CAS_Component!AW46</f>
        <v>0</v>
      </c>
      <c r="AX46" s="159">
        <f>$A46*CAS_Component!AX46</f>
        <v>0</v>
      </c>
      <c r="AY46" s="147">
        <f>$A46*CAS_Component!AY46</f>
        <v>0</v>
      </c>
      <c r="AZ46" s="159">
        <f>$A46*CAS_Component!AZ46</f>
        <v>0</v>
      </c>
      <c r="BA46" s="147">
        <f>$A46*CAS_Component!BA46</f>
        <v>0</v>
      </c>
      <c r="BB46" s="159">
        <f>$A46*CAS_Component!BB46</f>
        <v>23.296988000000002</v>
      </c>
      <c r="BC46" s="147">
        <f>$A46*CAS_Component!BC46</f>
        <v>0</v>
      </c>
      <c r="BD46" s="159">
        <f>$A46*CAS_Component!BD46</f>
        <v>4.2926000000000006E-2</v>
      </c>
      <c r="BE46" s="147">
        <f>$A46*CAS_Component!BE46</f>
        <v>0</v>
      </c>
      <c r="BF46" s="159">
        <f>$A46*CAS_Component!BF46</f>
        <v>0</v>
      </c>
      <c r="BG46" s="147">
        <f>$A46*CAS_Component!BG46</f>
        <v>0</v>
      </c>
      <c r="BH46" s="159">
        <f>$A46*CAS_Component!BH46</f>
        <v>0</v>
      </c>
      <c r="BI46" s="147">
        <f>$A46*CAS_Component!BI46</f>
        <v>0</v>
      </c>
      <c r="BJ46" s="159">
        <f>$A46*CAS_Component!BJ46</f>
        <v>0</v>
      </c>
      <c r="BK46" s="147">
        <f>$A46*CAS_Component!BK46</f>
        <v>0</v>
      </c>
      <c r="BL46" s="159">
        <f>$A46*CAS_Component!BL46</f>
        <v>47.04419200000001</v>
      </c>
      <c r="BM46" s="147">
        <f>$A46*CAS_Component!BM46</f>
        <v>125.44532</v>
      </c>
      <c r="BN46" s="159">
        <f>$A46*CAS_Component!BN46</f>
        <v>0.2136836</v>
      </c>
      <c r="BO46" s="147">
        <f>$A46*CAS_Component!BO46</f>
        <v>23.719487999999998</v>
      </c>
      <c r="BP46" s="159">
        <f>$A46*CAS_Component!BP46</f>
        <v>0.12607400000000002</v>
      </c>
      <c r="BQ46" s="147">
        <f>$A46*CAS_Component!BQ46</f>
        <v>3.38</v>
      </c>
      <c r="BR46" s="159">
        <f>$A46*CAS_Component!BR46</f>
        <v>0</v>
      </c>
      <c r="BS46" s="147">
        <f>$A46*CAS_Component!BS46</f>
        <v>0</v>
      </c>
      <c r="BT46" s="159">
        <f>$A46*CAS_Component!BT46</f>
        <v>0</v>
      </c>
      <c r="BU46" s="147">
        <f>$A46*CAS_Component!BU46</f>
        <v>0</v>
      </c>
      <c r="BV46" s="159">
        <f>$A46*CAS_Component!BV46</f>
        <v>0</v>
      </c>
      <c r="BW46" s="147">
        <f>$A46*CAS_Component!BW46</f>
        <v>0</v>
      </c>
      <c r="BX46" s="159">
        <f>$A46*CAS_Component!BX46</f>
        <v>0</v>
      </c>
      <c r="BY46" s="147">
        <f>$A46*CAS_Component!BY46</f>
        <v>0</v>
      </c>
      <c r="BZ46" s="159">
        <f>$A46*CAS_Component!BZ46</f>
        <v>0</v>
      </c>
      <c r="CA46" s="147">
        <f>$A46*CAS_Component!CA46</f>
        <v>0</v>
      </c>
      <c r="CB46" s="159">
        <f>$A46*CAS_Component!CB46</f>
        <v>0</v>
      </c>
    </row>
    <row r="47" spans="1:80">
      <c r="A47" s="69">
        <v>1</v>
      </c>
      <c r="B47" s="68" t="s">
        <v>327</v>
      </c>
      <c r="C47" s="67">
        <v>16.5</v>
      </c>
      <c r="D47" s="159">
        <f t="shared" si="4"/>
        <v>16.500000000000004</v>
      </c>
      <c r="E47" s="147">
        <f>A47*CAS_Component!E47</f>
        <v>4.0000000000000001E-3</v>
      </c>
      <c r="F47" s="159">
        <f>$A47*CAS_Component!F47</f>
        <v>7.4009999999999998</v>
      </c>
      <c r="G47" s="147">
        <f>$A47*CAS_Component!G47</f>
        <v>0.55900000000000005</v>
      </c>
      <c r="H47" s="159">
        <f>$A47*CAS_Component!H47</f>
        <v>0.53300000000000003</v>
      </c>
      <c r="I47" s="147">
        <f>$A47*CAS_Component!I47</f>
        <v>2.5999999999999999E-2</v>
      </c>
      <c r="J47" s="159">
        <f>$A47*CAS_Component!J47</f>
        <v>0.14299999999999999</v>
      </c>
      <c r="K47" s="147">
        <f>$A47*CAS_Component!K47</f>
        <v>5.0000000000000001E-3</v>
      </c>
      <c r="L47" s="159">
        <f>$A47*CAS_Component!L47</f>
        <v>8.0000000000000002E-3</v>
      </c>
      <c r="M47" s="147">
        <f>$A47*CAS_Component!M47</f>
        <v>0.22600000000000001</v>
      </c>
      <c r="N47" s="159">
        <f>$A47*CAS_Component!N47</f>
        <v>0</v>
      </c>
      <c r="O47" s="147">
        <f>$A47*CAS_Component!O47</f>
        <v>0.17</v>
      </c>
      <c r="P47" s="159">
        <f>$A47*CAS_Component!P47</f>
        <v>5.7990000000000004</v>
      </c>
      <c r="Q47" s="147">
        <f>$A47*CAS_Component!Q47</f>
        <v>9.0999999999999998E-2</v>
      </c>
      <c r="R47" s="159">
        <f>$A47*CAS_Component!R47</f>
        <v>0</v>
      </c>
      <c r="S47" s="147">
        <f>$A47*CAS_Component!S47</f>
        <v>0</v>
      </c>
      <c r="T47" s="159">
        <f>$A47*CAS_Component!T47</f>
        <v>0</v>
      </c>
      <c r="U47" s="147">
        <f>$A47*CAS_Component!U47</f>
        <v>1.3220000000000001</v>
      </c>
      <c r="V47" s="159">
        <f>$A47*CAS_Component!V47</f>
        <v>0</v>
      </c>
      <c r="W47" s="147">
        <f>$A47*CAS_Component!W47</f>
        <v>0</v>
      </c>
      <c r="X47" s="159">
        <f>$A47*CAS_Component!X47</f>
        <v>0</v>
      </c>
      <c r="Y47" s="147">
        <f>$A47*CAS_Component!Y47</f>
        <v>0</v>
      </c>
      <c r="Z47" s="159">
        <f>$A47*CAS_Component!Z47</f>
        <v>0</v>
      </c>
      <c r="AA47" s="147">
        <f>$A47*CAS_Component!AA47</f>
        <v>0</v>
      </c>
      <c r="AB47" s="159">
        <f>$A47*CAS_Component!AB47</f>
        <v>0</v>
      </c>
      <c r="AC47" s="147">
        <f>$A47*CAS_Component!AC47</f>
        <v>0</v>
      </c>
      <c r="AD47" s="159">
        <f>$A47*CAS_Component!AD47</f>
        <v>0</v>
      </c>
      <c r="AE47" s="147">
        <f>$A47*CAS_Component!AE47</f>
        <v>0</v>
      </c>
      <c r="AF47" s="159">
        <f>$A47*CAS_Component!AF47</f>
        <v>0</v>
      </c>
      <c r="AG47" s="147">
        <f>$A47*CAS_Component!AG47</f>
        <v>0</v>
      </c>
      <c r="AH47" s="159">
        <f>$A47*CAS_Component!AH47</f>
        <v>0</v>
      </c>
      <c r="AI47" s="147">
        <f>$A47*CAS_Component!AI47</f>
        <v>0</v>
      </c>
      <c r="AJ47" s="159">
        <f>$A47*CAS_Component!AJ47</f>
        <v>0.21299999999999999</v>
      </c>
      <c r="AK47" s="147">
        <f>$A47*CAS_Component!AK47</f>
        <v>0</v>
      </c>
      <c r="AL47" s="159">
        <f>$A47*CAS_Component!AL47</f>
        <v>0</v>
      </c>
      <c r="AM47" s="147">
        <f>$A47*CAS_Component!AM47</f>
        <v>0</v>
      </c>
      <c r="AN47" s="159">
        <f>$A47*CAS_Component!AN47</f>
        <v>0</v>
      </c>
      <c r="AO47" s="147">
        <f>$A47*CAS_Component!AO47</f>
        <v>0</v>
      </c>
      <c r="AP47" s="159">
        <f>$A47*CAS_Component!AP47</f>
        <v>0</v>
      </c>
      <c r="AQ47" s="147">
        <f>$A47*CAS_Component!AQ47</f>
        <v>0</v>
      </c>
      <c r="AR47" s="159">
        <f>$A47*CAS_Component!AR47</f>
        <v>0</v>
      </c>
      <c r="AS47" s="147">
        <f>$A47*CAS_Component!AS47</f>
        <v>0</v>
      </c>
      <c r="AT47" s="159">
        <f>$A47*CAS_Component!AT47</f>
        <v>0</v>
      </c>
      <c r="AU47" s="147">
        <f>$A47*CAS_Component!AU47</f>
        <v>0</v>
      </c>
      <c r="AV47" s="159">
        <f>$A47*CAS_Component!AV47</f>
        <v>0</v>
      </c>
      <c r="AW47" s="147">
        <f>$A47*CAS_Component!AW47</f>
        <v>0</v>
      </c>
      <c r="AX47" s="159">
        <f>$A47*CAS_Component!AX47</f>
        <v>0</v>
      </c>
      <c r="AY47" s="147">
        <f>$A47*CAS_Component!AY47</f>
        <v>0</v>
      </c>
      <c r="AZ47" s="159">
        <f>$A47*CAS_Component!AZ47</f>
        <v>0</v>
      </c>
      <c r="BA47" s="147">
        <f>$A47*CAS_Component!BA47</f>
        <v>0</v>
      </c>
      <c r="BB47" s="159">
        <f>$A47*CAS_Component!BB47</f>
        <v>0</v>
      </c>
      <c r="BC47" s="147">
        <f>$A47*CAS_Component!BC47</f>
        <v>0</v>
      </c>
      <c r="BD47" s="159">
        <f>$A47*CAS_Component!BD47</f>
        <v>0</v>
      </c>
      <c r="BE47" s="147">
        <f>$A47*CAS_Component!BE47</f>
        <v>0</v>
      </c>
      <c r="BF47" s="159">
        <f>$A47*CAS_Component!BF47</f>
        <v>0</v>
      </c>
      <c r="BG47" s="147">
        <f>$A47*CAS_Component!BG47</f>
        <v>0</v>
      </c>
      <c r="BH47" s="159">
        <f>$A47*CAS_Component!BH47</f>
        <v>0</v>
      </c>
      <c r="BI47" s="147">
        <f>$A47*CAS_Component!BI47</f>
        <v>0</v>
      </c>
      <c r="BJ47" s="159">
        <f>$A47*CAS_Component!BJ47</f>
        <v>0</v>
      </c>
      <c r="BK47" s="147">
        <f>$A47*CAS_Component!BK47</f>
        <v>0</v>
      </c>
      <c r="BL47" s="159">
        <f>$A47*CAS_Component!BL47</f>
        <v>0</v>
      </c>
      <c r="BM47" s="147">
        <f>$A47*CAS_Component!BM47</f>
        <v>0</v>
      </c>
      <c r="BN47" s="159">
        <f>$A47*CAS_Component!BN47</f>
        <v>0</v>
      </c>
      <c r="BO47" s="147">
        <f>$A47*CAS_Component!BO47</f>
        <v>0</v>
      </c>
      <c r="BP47" s="159">
        <f>$A47*CAS_Component!BP47</f>
        <v>0</v>
      </c>
      <c r="BQ47" s="147">
        <f>$A47*CAS_Component!BQ47</f>
        <v>0</v>
      </c>
      <c r="BR47" s="159">
        <f>$A47*CAS_Component!BR47</f>
        <v>0</v>
      </c>
      <c r="BS47" s="147">
        <f>$A47*CAS_Component!BS47</f>
        <v>0</v>
      </c>
      <c r="BT47" s="159">
        <f>$A47*CAS_Component!BT47</f>
        <v>0</v>
      </c>
      <c r="BU47" s="147">
        <f>$A47*CAS_Component!BU47</f>
        <v>0</v>
      </c>
      <c r="BV47" s="159">
        <f>$A47*CAS_Component!BV47</f>
        <v>0</v>
      </c>
      <c r="BW47" s="147">
        <f>$A47*CAS_Component!BW47</f>
        <v>0</v>
      </c>
      <c r="BX47" s="159">
        <f>$A47*CAS_Component!BX47</f>
        <v>0</v>
      </c>
      <c r="BY47" s="147">
        <f>$A47*CAS_Component!BY47</f>
        <v>0</v>
      </c>
      <c r="BZ47" s="159">
        <f>$A47*CAS_Component!BZ47</f>
        <v>0</v>
      </c>
      <c r="CA47" s="147">
        <f>$A47*CAS_Component!CA47</f>
        <v>0</v>
      </c>
      <c r="CB47" s="159">
        <f>$A47*CAS_Component!CB47</f>
        <v>0</v>
      </c>
    </row>
    <row r="48" spans="1:80">
      <c r="A48" s="69">
        <v>1</v>
      </c>
      <c r="B48" s="68" t="s">
        <v>322</v>
      </c>
      <c r="C48" s="67">
        <v>17</v>
      </c>
      <c r="D48" s="142">
        <f t="shared" si="4"/>
        <v>16.999000000000002</v>
      </c>
      <c r="E48" s="147">
        <f>A48*CAS_Component!E48</f>
        <v>0</v>
      </c>
      <c r="F48" s="159">
        <f>$A48*CAS_Component!F48</f>
        <v>11.531000000000001</v>
      </c>
      <c r="G48" s="147">
        <f>$A48*CAS_Component!G48</f>
        <v>0.93799999999999994</v>
      </c>
      <c r="H48" s="159">
        <f>$A48*CAS_Component!H48</f>
        <v>0.83099999999999996</v>
      </c>
      <c r="I48" s="147">
        <f>$A48*CAS_Component!I48</f>
        <v>4.1000000000000002E-2</v>
      </c>
      <c r="J48" s="159">
        <f>$A48*CAS_Component!J48</f>
        <v>4.2000000000000003E-2</v>
      </c>
      <c r="K48" s="147">
        <f>$A48*CAS_Component!K48</f>
        <v>1E-3</v>
      </c>
      <c r="L48" s="159">
        <f>$A48*CAS_Component!L48</f>
        <v>2E-3</v>
      </c>
      <c r="M48" s="147">
        <f>$A48*CAS_Component!M48</f>
        <v>3.4000000000000002E-2</v>
      </c>
      <c r="N48" s="159">
        <f>$A48*CAS_Component!N48</f>
        <v>0</v>
      </c>
      <c r="O48" s="147">
        <f>$A48*CAS_Component!O48</f>
        <v>1.2749999999999999</v>
      </c>
      <c r="P48" s="159">
        <f>$A48*CAS_Component!P48</f>
        <v>1.7050000000000001</v>
      </c>
      <c r="Q48" s="147">
        <f>$A48*CAS_Component!Q48</f>
        <v>3.4000000000000002E-2</v>
      </c>
      <c r="R48" s="159">
        <f>$A48*CAS_Component!R48</f>
        <v>0</v>
      </c>
      <c r="S48" s="147">
        <f>$A48*CAS_Component!S48</f>
        <v>0</v>
      </c>
      <c r="T48" s="159">
        <f>$A48*CAS_Component!T48</f>
        <v>0</v>
      </c>
      <c r="U48" s="147">
        <f>$A48*CAS_Component!U48</f>
        <v>0.21299999999999999</v>
      </c>
      <c r="V48" s="159">
        <f>$A48*CAS_Component!V48</f>
        <v>0</v>
      </c>
      <c r="W48" s="147">
        <f>$A48*CAS_Component!W48</f>
        <v>0</v>
      </c>
      <c r="X48" s="159">
        <f>$A48*CAS_Component!X48</f>
        <v>0</v>
      </c>
      <c r="Y48" s="147">
        <f>$A48*CAS_Component!Y48</f>
        <v>0</v>
      </c>
      <c r="Z48" s="159">
        <f>$A48*CAS_Component!Z48</f>
        <v>0</v>
      </c>
      <c r="AA48" s="147">
        <f>$A48*CAS_Component!AA48</f>
        <v>0</v>
      </c>
      <c r="AB48" s="159">
        <f>$A48*CAS_Component!AB48</f>
        <v>0</v>
      </c>
      <c r="AC48" s="147">
        <f>$A48*CAS_Component!AC48</f>
        <v>0</v>
      </c>
      <c r="AD48" s="159">
        <f>$A48*CAS_Component!AD48</f>
        <v>0</v>
      </c>
      <c r="AE48" s="147">
        <f>$A48*CAS_Component!AE48</f>
        <v>0</v>
      </c>
      <c r="AF48" s="159">
        <f>$A48*CAS_Component!AF48</f>
        <v>0.02</v>
      </c>
      <c r="AG48" s="147">
        <f>$A48*CAS_Component!AG48</f>
        <v>0</v>
      </c>
      <c r="AH48" s="159">
        <f>$A48*CAS_Component!AH48</f>
        <v>0</v>
      </c>
      <c r="AI48" s="147">
        <f>$A48*CAS_Component!AI48</f>
        <v>0</v>
      </c>
      <c r="AJ48" s="159">
        <f>$A48*CAS_Component!AJ48</f>
        <v>0.33200000000000002</v>
      </c>
      <c r="AK48" s="147">
        <f>$A48*CAS_Component!AK48</f>
        <v>0</v>
      </c>
      <c r="AL48" s="159">
        <f>$A48*CAS_Component!AL48</f>
        <v>0</v>
      </c>
      <c r="AM48" s="147">
        <f>$A48*CAS_Component!AM48</f>
        <v>0</v>
      </c>
      <c r="AN48" s="159">
        <f>$A48*CAS_Component!AN48</f>
        <v>0</v>
      </c>
      <c r="AO48" s="147">
        <f>$A48*CAS_Component!AO48</f>
        <v>0</v>
      </c>
      <c r="AP48" s="159">
        <f>$A48*CAS_Component!AP48</f>
        <v>0</v>
      </c>
      <c r="AQ48" s="147">
        <f>$A48*CAS_Component!AQ48</f>
        <v>0</v>
      </c>
      <c r="AR48" s="159">
        <f>$A48*CAS_Component!AR48</f>
        <v>0</v>
      </c>
      <c r="AS48" s="147">
        <f>$A48*CAS_Component!AS48</f>
        <v>0</v>
      </c>
      <c r="AT48" s="159">
        <f>$A48*CAS_Component!AT48</f>
        <v>0</v>
      </c>
      <c r="AU48" s="147">
        <f>$A48*CAS_Component!AU48</f>
        <v>0</v>
      </c>
      <c r="AV48" s="159">
        <f>$A48*CAS_Component!AV48</f>
        <v>0</v>
      </c>
      <c r="AW48" s="147">
        <f>$A48*CAS_Component!AW48</f>
        <v>0</v>
      </c>
      <c r="AX48" s="159">
        <f>$A48*CAS_Component!AX48</f>
        <v>0</v>
      </c>
      <c r="AY48" s="147">
        <f>$A48*CAS_Component!AY48</f>
        <v>0</v>
      </c>
      <c r="AZ48" s="159">
        <f>$A48*CAS_Component!AZ48</f>
        <v>0</v>
      </c>
      <c r="BA48" s="147">
        <f>$A48*CAS_Component!BA48</f>
        <v>0</v>
      </c>
      <c r="BB48" s="159">
        <f>$A48*CAS_Component!BB48</f>
        <v>0</v>
      </c>
      <c r="BC48" s="147">
        <f>$A48*CAS_Component!BC48</f>
        <v>0</v>
      </c>
      <c r="BD48" s="159">
        <f>$A48*CAS_Component!BD48</f>
        <v>0</v>
      </c>
      <c r="BE48" s="147">
        <f>$A48*CAS_Component!BE48</f>
        <v>0</v>
      </c>
      <c r="BF48" s="159">
        <f>$A48*CAS_Component!BF48</f>
        <v>0</v>
      </c>
      <c r="BG48" s="147">
        <f>$A48*CAS_Component!BG48</f>
        <v>0</v>
      </c>
      <c r="BH48" s="159">
        <f>$A48*CAS_Component!BH48</f>
        <v>0</v>
      </c>
      <c r="BI48" s="147">
        <f>$A48*CAS_Component!BI48</f>
        <v>0</v>
      </c>
      <c r="BJ48" s="159">
        <f>$A48*CAS_Component!BJ48</f>
        <v>0</v>
      </c>
      <c r="BK48" s="147">
        <f>$A48*CAS_Component!BK48</f>
        <v>0</v>
      </c>
      <c r="BL48" s="159">
        <f>$A48*CAS_Component!BL48</f>
        <v>0</v>
      </c>
      <c r="BM48" s="147">
        <f>$A48*CAS_Component!BM48</f>
        <v>0</v>
      </c>
      <c r="BN48" s="159">
        <f>$A48*CAS_Component!BN48</f>
        <v>0</v>
      </c>
      <c r="BO48" s="147">
        <f>$A48*CAS_Component!BO48</f>
        <v>0</v>
      </c>
      <c r="BP48" s="159">
        <f>$A48*CAS_Component!BP48</f>
        <v>0</v>
      </c>
      <c r="BQ48" s="147">
        <f>$A48*CAS_Component!BQ48</f>
        <v>0</v>
      </c>
      <c r="BR48" s="159">
        <f>$A48*CAS_Component!BR48</f>
        <v>0</v>
      </c>
      <c r="BS48" s="147">
        <f>$A48*CAS_Component!BS48</f>
        <v>0</v>
      </c>
      <c r="BT48" s="159">
        <f>$A48*CAS_Component!BT48</f>
        <v>0</v>
      </c>
      <c r="BU48" s="147">
        <f>$A48*CAS_Component!BU48</f>
        <v>0</v>
      </c>
      <c r="BV48" s="159">
        <f>$A48*CAS_Component!BV48</f>
        <v>0</v>
      </c>
      <c r="BW48" s="147">
        <f>$A48*CAS_Component!BW48</f>
        <v>0</v>
      </c>
      <c r="BX48" s="159">
        <f>$A48*CAS_Component!BX48</f>
        <v>0</v>
      </c>
      <c r="BY48" s="147">
        <f>$A48*CAS_Component!BY48</f>
        <v>0</v>
      </c>
      <c r="BZ48" s="159">
        <f>$A48*CAS_Component!BZ48</f>
        <v>0</v>
      </c>
      <c r="CA48" s="147">
        <f>$A48*CAS_Component!CA48</f>
        <v>0</v>
      </c>
      <c r="CB48" s="159">
        <f>$A48*CAS_Component!CB48</f>
        <v>0</v>
      </c>
    </row>
    <row r="49" spans="1:80">
      <c r="A49" s="69">
        <v>1</v>
      </c>
      <c r="B49" s="68" t="s">
        <v>317</v>
      </c>
      <c r="C49" s="67">
        <v>626.94357000000002</v>
      </c>
      <c r="D49" s="142">
        <f t="shared" si="4"/>
        <v>626.35377021730005</v>
      </c>
      <c r="E49" s="147">
        <v>0</v>
      </c>
      <c r="F49" s="159">
        <f>$A49*CAS_Component!F49</f>
        <v>293.08493930399999</v>
      </c>
      <c r="G49" s="147">
        <f>$A49*CAS_Component!G49</f>
        <v>44.951995989500006</v>
      </c>
      <c r="H49" s="159">
        <f>$A49*CAS_Component!H49</f>
        <v>0</v>
      </c>
      <c r="I49" s="147">
        <f>$A49*CAS_Component!I49</f>
        <v>1.0223900537000001</v>
      </c>
      <c r="J49" s="159">
        <f>$A49*CAS_Component!J49</f>
        <v>6.4123874934000007</v>
      </c>
      <c r="K49" s="147">
        <f>$A49*CAS_Component!K49</f>
        <v>0</v>
      </c>
      <c r="L49" s="159">
        <f>$A49*CAS_Component!L49</f>
        <v>0.27880109520000002</v>
      </c>
      <c r="M49" s="147">
        <f>$A49*CAS_Component!M49</f>
        <v>0.82359914300000003</v>
      </c>
      <c r="N49" s="159">
        <f>$A49*CAS_Component!N49</f>
        <v>0</v>
      </c>
      <c r="O49" s="147">
        <f>$A49*CAS_Component!O49</f>
        <v>5.7168926033999998</v>
      </c>
      <c r="P49" s="159">
        <f>$A49*CAS_Component!P49</f>
        <v>272.06650571979998</v>
      </c>
      <c r="Q49" s="147">
        <f>$A49*CAS_Component!Q49</f>
        <v>0.5244923614</v>
      </c>
      <c r="R49" s="159">
        <f>$A49*CAS_Component!R49</f>
        <v>1.2793587663999999</v>
      </c>
      <c r="S49" s="147">
        <f>$A49*CAS_Component!S49</f>
        <v>5.5143257899999992E-2</v>
      </c>
      <c r="T49" s="159">
        <f>$A49*CAS_Component!T49</f>
        <v>0</v>
      </c>
      <c r="U49" s="147">
        <f>$A49*CAS_Component!U49</f>
        <v>0</v>
      </c>
      <c r="V49" s="159">
        <f>$A49*CAS_Component!V49</f>
        <v>0</v>
      </c>
      <c r="W49" s="147">
        <f>$A49*CAS_Component!W49</f>
        <v>0</v>
      </c>
      <c r="X49" s="159">
        <f>$A49*CAS_Component!X49</f>
        <v>0</v>
      </c>
      <c r="Y49" s="147">
        <f>$A49*CAS_Component!Y49</f>
        <v>0</v>
      </c>
      <c r="Z49" s="159">
        <f>$A49*CAS_Component!Z49</f>
        <v>0</v>
      </c>
      <c r="AA49" s="147">
        <f>$A49*CAS_Component!AA49</f>
        <v>0</v>
      </c>
      <c r="AB49" s="159">
        <f>$A49*CAS_Component!AB49</f>
        <v>0</v>
      </c>
      <c r="AC49" s="147">
        <f>$A49*CAS_Component!AC49</f>
        <v>0</v>
      </c>
      <c r="AD49" s="159">
        <f>$A49*CAS_Component!AD49</f>
        <v>0</v>
      </c>
      <c r="AE49" s="147">
        <f>$A49*CAS_Component!AE49</f>
        <v>0</v>
      </c>
      <c r="AF49" s="159">
        <f>$A49*CAS_Component!AF49</f>
        <v>0</v>
      </c>
      <c r="AG49" s="147">
        <f>$A49*CAS_Component!AG49</f>
        <v>0</v>
      </c>
      <c r="AH49" s="159">
        <f>$A49*CAS_Component!AH49</f>
        <v>0</v>
      </c>
      <c r="AI49" s="147">
        <f>$A49*CAS_Component!AI49</f>
        <v>0</v>
      </c>
      <c r="AJ49" s="159">
        <f>$A49*CAS_Component!AJ49</f>
        <v>0</v>
      </c>
      <c r="AK49" s="147">
        <f>$A49*CAS_Component!AK49</f>
        <v>0</v>
      </c>
      <c r="AL49" s="159">
        <f>$A49*CAS_Component!AL49</f>
        <v>0</v>
      </c>
      <c r="AM49" s="147">
        <f>$A49*CAS_Component!AM49</f>
        <v>0</v>
      </c>
      <c r="AN49" s="159">
        <f>$A49*CAS_Component!AN49</f>
        <v>0</v>
      </c>
      <c r="AO49" s="147">
        <f>$A49*CAS_Component!AO49</f>
        <v>0</v>
      </c>
      <c r="AP49" s="159">
        <f>$A49*CAS_Component!AP49</f>
        <v>0</v>
      </c>
      <c r="AQ49" s="147">
        <f>$A49*CAS_Component!AQ49</f>
        <v>0</v>
      </c>
      <c r="AR49" s="159">
        <f>$A49*CAS_Component!AR49</f>
        <v>0</v>
      </c>
      <c r="AS49" s="147">
        <f>$A49*CAS_Component!AS49</f>
        <v>0</v>
      </c>
      <c r="AT49" s="159">
        <f>$A49*CAS_Component!AT49</f>
        <v>0</v>
      </c>
      <c r="AU49" s="147">
        <f>$A49*CAS_Component!AU49</f>
        <v>0</v>
      </c>
      <c r="AV49" s="159">
        <f>$A49*CAS_Component!AV49</f>
        <v>0</v>
      </c>
      <c r="AW49" s="147">
        <f>$A49*CAS_Component!AW49</f>
        <v>0.13726442960000002</v>
      </c>
      <c r="AX49" s="159">
        <f>$A49*CAS_Component!AX49</f>
        <v>0</v>
      </c>
      <c r="AY49" s="147">
        <f>$A49*CAS_Component!AY49</f>
        <v>0</v>
      </c>
      <c r="AZ49" s="159">
        <f>$A49*CAS_Component!AZ49</f>
        <v>0</v>
      </c>
      <c r="BA49" s="147">
        <f>$A49*CAS_Component!BA49</f>
        <v>0</v>
      </c>
      <c r="BB49" s="159">
        <f>$A49*CAS_Component!BB49</f>
        <v>0</v>
      </c>
      <c r="BC49" s="147">
        <f>$A49*CAS_Component!BC49</f>
        <v>0</v>
      </c>
      <c r="BD49" s="159">
        <f>$A49*CAS_Component!BD49</f>
        <v>0</v>
      </c>
      <c r="BE49" s="147">
        <f>$A49*CAS_Component!BE49</f>
        <v>0</v>
      </c>
      <c r="BF49" s="159">
        <f>$A49*CAS_Component!BF49</f>
        <v>0</v>
      </c>
      <c r="BG49" s="147">
        <f>$A49*CAS_Component!BG49</f>
        <v>0</v>
      </c>
      <c r="BH49" s="159">
        <f>$A49*CAS_Component!BH49</f>
        <v>0</v>
      </c>
      <c r="BI49" s="147">
        <f>$A49*CAS_Component!BI49</f>
        <v>0</v>
      </c>
      <c r="BJ49" s="159">
        <f>$A49*CAS_Component!BJ49</f>
        <v>0</v>
      </c>
      <c r="BK49" s="147">
        <f>$A49*CAS_Component!BK49</f>
        <v>0</v>
      </c>
      <c r="BL49" s="159">
        <f>$A49*CAS_Component!BL49</f>
        <v>0</v>
      </c>
      <c r="BM49" s="147">
        <f>$A49*CAS_Component!BM49</f>
        <v>0</v>
      </c>
      <c r="BN49" s="159">
        <f>$A49*CAS_Component!BN49</f>
        <v>0</v>
      </c>
      <c r="BO49" s="147">
        <f>$A49*CAS_Component!BO49</f>
        <v>0</v>
      </c>
      <c r="BP49" s="159">
        <f>$A49*CAS_Component!BP49</f>
        <v>0</v>
      </c>
      <c r="BQ49" s="147">
        <f>$A49*CAS_Component!BQ49</f>
        <v>0</v>
      </c>
      <c r="BR49" s="159">
        <f>$A49*CAS_Component!BR49</f>
        <v>0</v>
      </c>
      <c r="BS49" s="147">
        <f>$A49*CAS_Component!BS49</f>
        <v>0</v>
      </c>
      <c r="BT49" s="159">
        <f>$A49*CAS_Component!BT49</f>
        <v>0</v>
      </c>
      <c r="BU49" s="147">
        <f>$A49*CAS_Component!BU49</f>
        <v>0</v>
      </c>
      <c r="BV49" s="159">
        <f>$A49*CAS_Component!BV49</f>
        <v>0</v>
      </c>
      <c r="BW49" s="147">
        <f>$A49*CAS_Component!BW49</f>
        <v>0</v>
      </c>
      <c r="BX49" s="159">
        <f>$A49*CAS_Component!BX49</f>
        <v>0</v>
      </c>
      <c r="BY49" s="147">
        <f>$A49*CAS_Component!BY49</f>
        <v>0</v>
      </c>
      <c r="BZ49" s="159">
        <f>$A49*CAS_Component!BZ49</f>
        <v>0</v>
      </c>
      <c r="CA49" s="147">
        <f>$A49*CAS_Component!CA49</f>
        <v>0</v>
      </c>
      <c r="CB49" s="159">
        <f>$A49*CAS_Component!CB49</f>
        <v>0</v>
      </c>
    </row>
    <row r="50" spans="1:80">
      <c r="A50" s="69">
        <v>1</v>
      </c>
      <c r="B50" s="68" t="s">
        <v>311</v>
      </c>
      <c r="C50" s="67">
        <v>75</v>
      </c>
      <c r="D50" s="142">
        <f t="shared" si="4"/>
        <v>75.00200000000001</v>
      </c>
      <c r="E50" s="147">
        <f>A50*CAS_Component!E50</f>
        <v>0</v>
      </c>
      <c r="F50" s="159">
        <f>$A50*CAS_Component!F50</f>
        <v>44.656999999999996</v>
      </c>
      <c r="G50" s="147">
        <f>$A50*CAS_Component!G50</f>
        <v>4.5859999999999994</v>
      </c>
      <c r="H50" s="159">
        <f>$A50*CAS_Component!H50</f>
        <v>3.1520000000000001</v>
      </c>
      <c r="I50" s="147">
        <f>$A50*CAS_Component!I50</f>
        <v>0.158</v>
      </c>
      <c r="J50" s="159">
        <f>$A50*CAS_Component!J50</f>
        <v>0.03</v>
      </c>
      <c r="K50" s="147">
        <f>$A50*CAS_Component!K50</f>
        <v>8.0000000000000002E-3</v>
      </c>
      <c r="L50" s="159">
        <f>$A50*CAS_Component!L50</f>
        <v>6.0000000000000001E-3</v>
      </c>
      <c r="M50" s="147">
        <f>$A50*CAS_Component!M50</f>
        <v>5.8000000000000003E-2</v>
      </c>
      <c r="N50" s="159">
        <f>$A50*CAS_Component!N50</f>
        <v>2E-3</v>
      </c>
      <c r="O50" s="147">
        <f>$A50*CAS_Component!O50</f>
        <v>0.71299999999999997</v>
      </c>
      <c r="P50" s="159">
        <f>$A50*CAS_Component!P50</f>
        <v>20.497</v>
      </c>
      <c r="Q50" s="147">
        <f>$A50*CAS_Component!Q50</f>
        <v>9.9999999999999985E-3</v>
      </c>
      <c r="R50" s="159">
        <f>$A50*CAS_Component!R50</f>
        <v>1.0429999999999999</v>
      </c>
      <c r="S50" s="147">
        <f>$A50*CAS_Component!S50</f>
        <v>8.199999999999999E-2</v>
      </c>
      <c r="T50" s="159">
        <f>$A50*CAS_Component!T50</f>
        <v>0</v>
      </c>
      <c r="U50" s="147">
        <f>$A50*CAS_Component!U50</f>
        <v>0</v>
      </c>
      <c r="V50" s="159">
        <f>$A50*CAS_Component!V50</f>
        <v>0</v>
      </c>
      <c r="W50" s="147">
        <f>$A50*CAS_Component!W50</f>
        <v>0</v>
      </c>
      <c r="X50" s="159">
        <f>$A50*CAS_Component!X50</f>
        <v>0</v>
      </c>
      <c r="Y50" s="147">
        <f>$A50*CAS_Component!Y50</f>
        <v>0</v>
      </c>
      <c r="Z50" s="159">
        <f>$A50*CAS_Component!Z50</f>
        <v>0</v>
      </c>
      <c r="AA50" s="147">
        <f>$A50*CAS_Component!AA50</f>
        <v>0</v>
      </c>
      <c r="AB50" s="159">
        <f>$A50*CAS_Component!AB50</f>
        <v>0</v>
      </c>
      <c r="AC50" s="147">
        <f>$A50*CAS_Component!AC50</f>
        <v>0</v>
      </c>
      <c r="AD50" s="159">
        <f>$A50*CAS_Component!AD50</f>
        <v>0</v>
      </c>
      <c r="AE50" s="147">
        <f>$A50*CAS_Component!AE50</f>
        <v>0</v>
      </c>
      <c r="AF50" s="159">
        <f>$A50*CAS_Component!AF50</f>
        <v>0</v>
      </c>
      <c r="AG50" s="147">
        <f>$A50*CAS_Component!AG50</f>
        <v>0</v>
      </c>
      <c r="AH50" s="159">
        <f>$A50*CAS_Component!AH50</f>
        <v>0</v>
      </c>
      <c r="AI50" s="147">
        <f>$A50*CAS_Component!AI50</f>
        <v>0</v>
      </c>
      <c r="AJ50" s="159">
        <f>$A50*CAS_Component!AJ50</f>
        <v>0</v>
      </c>
      <c r="AK50" s="147">
        <f>$A50*CAS_Component!AK50</f>
        <v>0</v>
      </c>
      <c r="AL50" s="159">
        <f>$A50*CAS_Component!AL50</f>
        <v>0</v>
      </c>
      <c r="AM50" s="147">
        <f>$A50*CAS_Component!AM50</f>
        <v>0</v>
      </c>
      <c r="AN50" s="159">
        <f>$A50*CAS_Component!AN50</f>
        <v>0</v>
      </c>
      <c r="AO50" s="147">
        <f>$A50*CAS_Component!AO50</f>
        <v>0</v>
      </c>
      <c r="AP50" s="159">
        <f>$A50*CAS_Component!AP50</f>
        <v>0</v>
      </c>
      <c r="AQ50" s="147">
        <f>$A50*CAS_Component!AQ50</f>
        <v>0</v>
      </c>
      <c r="AR50" s="159">
        <f>$A50*CAS_Component!AR50</f>
        <v>0</v>
      </c>
      <c r="AS50" s="147">
        <f>$A50*CAS_Component!AS50</f>
        <v>0</v>
      </c>
      <c r="AT50" s="159">
        <f>$A50*CAS_Component!AT50</f>
        <v>0</v>
      </c>
      <c r="AU50" s="147">
        <f>$A50*CAS_Component!AU50</f>
        <v>0</v>
      </c>
      <c r="AV50" s="159">
        <f>$A50*CAS_Component!AV50</f>
        <v>0</v>
      </c>
      <c r="AW50" s="147">
        <f>$A50*CAS_Component!AW50</f>
        <v>0</v>
      </c>
      <c r="AX50" s="159">
        <f>$A50*CAS_Component!AX50</f>
        <v>0</v>
      </c>
      <c r="AY50" s="147">
        <f>$A50*CAS_Component!AY50</f>
        <v>0</v>
      </c>
      <c r="AZ50" s="159">
        <f>$A50*CAS_Component!AZ50</f>
        <v>0</v>
      </c>
      <c r="BA50" s="147">
        <f>$A50*CAS_Component!BA50</f>
        <v>0</v>
      </c>
      <c r="BB50" s="159">
        <f>$A50*CAS_Component!BB50</f>
        <v>0</v>
      </c>
      <c r="BC50" s="147">
        <f>$A50*CAS_Component!BC50</f>
        <v>0</v>
      </c>
      <c r="BD50" s="159">
        <f>$A50*CAS_Component!BD50</f>
        <v>0</v>
      </c>
      <c r="BE50" s="147">
        <f>$A50*CAS_Component!BE50</f>
        <v>0</v>
      </c>
      <c r="BF50" s="159">
        <f>$A50*CAS_Component!BF50</f>
        <v>0</v>
      </c>
      <c r="BG50" s="147">
        <f>$A50*CAS_Component!BG50</f>
        <v>0</v>
      </c>
      <c r="BH50" s="159">
        <f>$A50*CAS_Component!BH50</f>
        <v>0</v>
      </c>
      <c r="BI50" s="147">
        <f>$A50*CAS_Component!BI50</f>
        <v>0</v>
      </c>
      <c r="BJ50" s="159">
        <f>$A50*CAS_Component!BJ50</f>
        <v>0</v>
      </c>
      <c r="BK50" s="147">
        <f>$A50*CAS_Component!BK50</f>
        <v>0</v>
      </c>
      <c r="BL50" s="159">
        <f>$A50*CAS_Component!BL50</f>
        <v>0</v>
      </c>
      <c r="BM50" s="147">
        <f>$A50*CAS_Component!BM50</f>
        <v>0</v>
      </c>
      <c r="BN50" s="159">
        <f>$A50*CAS_Component!BN50</f>
        <v>0</v>
      </c>
      <c r="BO50" s="147">
        <f>$A50*CAS_Component!BO50</f>
        <v>0</v>
      </c>
      <c r="BP50" s="159">
        <f>$A50*CAS_Component!BP50</f>
        <v>0</v>
      </c>
      <c r="BQ50" s="147">
        <f>$A50*CAS_Component!BQ50</f>
        <v>0</v>
      </c>
      <c r="BR50" s="159">
        <f>$A50*CAS_Component!BR50</f>
        <v>0</v>
      </c>
      <c r="BS50" s="147">
        <f>$A50*CAS_Component!BS50</f>
        <v>0</v>
      </c>
      <c r="BT50" s="159">
        <f>$A50*CAS_Component!BT50</f>
        <v>0</v>
      </c>
      <c r="BU50" s="147">
        <f>$A50*CAS_Component!BU50</f>
        <v>0</v>
      </c>
      <c r="BV50" s="159">
        <f>$A50*CAS_Component!BV50</f>
        <v>0</v>
      </c>
      <c r="BW50" s="147">
        <f>$A50*CAS_Component!BW50</f>
        <v>0</v>
      </c>
      <c r="BX50" s="159">
        <f>$A50*CAS_Component!BX50</f>
        <v>0</v>
      </c>
      <c r="BY50" s="147">
        <f>$A50*CAS_Component!BY50</f>
        <v>0</v>
      </c>
      <c r="BZ50" s="159">
        <f>$A50*CAS_Component!BZ50</f>
        <v>0</v>
      </c>
      <c r="CA50" s="147">
        <f>$A50*CAS_Component!CA50</f>
        <v>0</v>
      </c>
      <c r="CB50" s="159">
        <f>$A50*CAS_Component!CB50</f>
        <v>0</v>
      </c>
    </row>
    <row r="51" spans="1:80">
      <c r="A51" s="69">
        <v>1</v>
      </c>
      <c r="B51" s="68" t="s">
        <v>306</v>
      </c>
      <c r="C51" s="67">
        <v>14.9</v>
      </c>
      <c r="D51" s="142">
        <f t="shared" si="4"/>
        <v>14.899000000000001</v>
      </c>
      <c r="E51" s="147">
        <f>A51*CAS_Component!E51</f>
        <v>0</v>
      </c>
      <c r="F51" s="159">
        <f>$A51*CAS_Component!F51</f>
        <v>8.0060000000000002</v>
      </c>
      <c r="G51" s="147">
        <f>$A51*CAS_Component!G51</f>
        <v>0.70299999999999996</v>
      </c>
      <c r="H51" s="159">
        <f>$A51*CAS_Component!H51</f>
        <v>0.57699999999999996</v>
      </c>
      <c r="I51" s="147">
        <f>$A51*CAS_Component!I51</f>
        <v>2.8000000000000001E-2</v>
      </c>
      <c r="J51" s="159">
        <f>$A51*CAS_Component!J51</f>
        <v>9.9000000000000005E-2</v>
      </c>
      <c r="K51" s="147">
        <f>$A51*CAS_Component!K51</f>
        <v>3.0000000000000001E-3</v>
      </c>
      <c r="L51" s="159">
        <f>$A51*CAS_Component!L51</f>
        <v>5.0000000000000001E-3</v>
      </c>
      <c r="M51" s="147">
        <f>$A51*CAS_Component!M51</f>
        <v>0.08</v>
      </c>
      <c r="N51" s="159">
        <f>$A51*CAS_Component!N51</f>
        <v>0</v>
      </c>
      <c r="O51" s="147">
        <f>$A51*CAS_Component!O51</f>
        <v>0.47199999999999998</v>
      </c>
      <c r="P51" s="159">
        <f>$A51*CAS_Component!P51</f>
        <v>4.0289999999999999</v>
      </c>
      <c r="Q51" s="147">
        <f>$A51*CAS_Component!Q51</f>
        <v>0.11</v>
      </c>
      <c r="R51" s="159">
        <f>$A51*CAS_Component!R51</f>
        <v>0</v>
      </c>
      <c r="S51" s="147">
        <f>$A51*CAS_Component!S51</f>
        <v>0</v>
      </c>
      <c r="T51" s="159">
        <f>$A51*CAS_Component!T51</f>
        <v>0</v>
      </c>
      <c r="U51" s="147">
        <f>$A51*CAS_Component!U51</f>
        <v>0.30099999999999999</v>
      </c>
      <c r="V51" s="159">
        <f>$A51*CAS_Component!V51</f>
        <v>0</v>
      </c>
      <c r="W51" s="147">
        <f>$A51*CAS_Component!W51</f>
        <v>0</v>
      </c>
      <c r="X51" s="159">
        <f>$A51*CAS_Component!X51</f>
        <v>0</v>
      </c>
      <c r="Y51" s="147">
        <f>$A51*CAS_Component!Y51</f>
        <v>0</v>
      </c>
      <c r="Z51" s="159">
        <f>$A51*CAS_Component!Z51</f>
        <v>0</v>
      </c>
      <c r="AA51" s="147">
        <f>$A51*CAS_Component!AA51</f>
        <v>0</v>
      </c>
      <c r="AB51" s="159">
        <f>$A51*CAS_Component!AB51</f>
        <v>0</v>
      </c>
      <c r="AC51" s="147">
        <f>$A51*CAS_Component!AC51</f>
        <v>0</v>
      </c>
      <c r="AD51" s="159">
        <f>$A51*CAS_Component!AD51</f>
        <v>0</v>
      </c>
      <c r="AE51" s="147">
        <f>$A51*CAS_Component!AE51</f>
        <v>0</v>
      </c>
      <c r="AF51" s="159">
        <f>$A51*CAS_Component!AF51</f>
        <v>0</v>
      </c>
      <c r="AG51" s="147">
        <f>$A51*CAS_Component!AG51</f>
        <v>0</v>
      </c>
      <c r="AH51" s="159">
        <f>$A51*CAS_Component!AH51</f>
        <v>0</v>
      </c>
      <c r="AI51" s="147">
        <f>$A51*CAS_Component!AI51</f>
        <v>0</v>
      </c>
      <c r="AJ51" s="159">
        <f>$A51*CAS_Component!AJ51</f>
        <v>0.23100000000000001</v>
      </c>
      <c r="AK51" s="147">
        <f>$A51*CAS_Component!AK51</f>
        <v>0</v>
      </c>
      <c r="AL51" s="159">
        <f>$A51*CAS_Component!AL51</f>
        <v>0</v>
      </c>
      <c r="AM51" s="147">
        <f>$A51*CAS_Component!AM51</f>
        <v>0</v>
      </c>
      <c r="AN51" s="159">
        <f>$A51*CAS_Component!AN51</f>
        <v>0</v>
      </c>
      <c r="AO51" s="147">
        <f>$A51*CAS_Component!AO51</f>
        <v>0</v>
      </c>
      <c r="AP51" s="159">
        <f>$A51*CAS_Component!AP51</f>
        <v>0</v>
      </c>
      <c r="AQ51" s="147">
        <f>$A51*CAS_Component!AQ51</f>
        <v>0</v>
      </c>
      <c r="AR51" s="159">
        <f>$A51*CAS_Component!AR51</f>
        <v>0</v>
      </c>
      <c r="AS51" s="147">
        <f>$A51*CAS_Component!AS51</f>
        <v>0</v>
      </c>
      <c r="AT51" s="159">
        <f>$A51*CAS_Component!AT51</f>
        <v>0</v>
      </c>
      <c r="AU51" s="147">
        <f>$A51*CAS_Component!AU51</f>
        <v>0</v>
      </c>
      <c r="AV51" s="159">
        <f>$A51*CAS_Component!AV51</f>
        <v>0</v>
      </c>
      <c r="AW51" s="147">
        <f>$A51*CAS_Component!AW51</f>
        <v>0</v>
      </c>
      <c r="AX51" s="159">
        <f>$A51*CAS_Component!AX51</f>
        <v>0</v>
      </c>
      <c r="AY51" s="147">
        <f>$A51*CAS_Component!AY51</f>
        <v>0</v>
      </c>
      <c r="AZ51" s="159">
        <f>$A51*CAS_Component!AZ51</f>
        <v>0</v>
      </c>
      <c r="BA51" s="147">
        <f>$A51*CAS_Component!BA51</f>
        <v>0</v>
      </c>
      <c r="BB51" s="159">
        <f>$A51*CAS_Component!BB51</f>
        <v>0</v>
      </c>
      <c r="BC51" s="147">
        <f>$A51*CAS_Component!BC51</f>
        <v>0</v>
      </c>
      <c r="BD51" s="159">
        <f>$A51*CAS_Component!BD51</f>
        <v>0</v>
      </c>
      <c r="BE51" s="147">
        <f>$A51*CAS_Component!BE51</f>
        <v>0</v>
      </c>
      <c r="BF51" s="159">
        <f>$A51*CAS_Component!BF51</f>
        <v>0</v>
      </c>
      <c r="BG51" s="147">
        <f>$A51*CAS_Component!BG51</f>
        <v>0</v>
      </c>
      <c r="BH51" s="159">
        <f>$A51*CAS_Component!BH51</f>
        <v>0</v>
      </c>
      <c r="BI51" s="147">
        <f>$A51*CAS_Component!BI51</f>
        <v>0</v>
      </c>
      <c r="BJ51" s="159">
        <f>$A51*CAS_Component!BJ51</f>
        <v>9.5000000000000001E-2</v>
      </c>
      <c r="BK51" s="147">
        <f>$A51*CAS_Component!BK51</f>
        <v>0</v>
      </c>
      <c r="BL51" s="159">
        <f>$A51*CAS_Component!BL51</f>
        <v>0</v>
      </c>
      <c r="BM51" s="147">
        <f>$A51*CAS_Component!BM51</f>
        <v>0</v>
      </c>
      <c r="BN51" s="159">
        <f>$A51*CAS_Component!BN51</f>
        <v>0</v>
      </c>
      <c r="BO51" s="147">
        <f>$A51*CAS_Component!BO51</f>
        <v>0</v>
      </c>
      <c r="BP51" s="159">
        <f>$A51*CAS_Component!BP51</f>
        <v>0</v>
      </c>
      <c r="BQ51" s="147">
        <f>$A51*CAS_Component!BQ51</f>
        <v>0</v>
      </c>
      <c r="BR51" s="159">
        <f>$A51*CAS_Component!BR51</f>
        <v>0.126</v>
      </c>
      <c r="BS51" s="147">
        <f>$A51*CAS_Component!BS51</f>
        <v>3.4000000000000002E-2</v>
      </c>
      <c r="BT51" s="159">
        <f>$A51*CAS_Component!BT51</f>
        <v>0</v>
      </c>
      <c r="BU51" s="147">
        <f>$A51*CAS_Component!BU51</f>
        <v>0</v>
      </c>
      <c r="BV51" s="159">
        <f>$A51*CAS_Component!BV51</f>
        <v>0</v>
      </c>
      <c r="BW51" s="147">
        <f>$A51*CAS_Component!BW51</f>
        <v>0</v>
      </c>
      <c r="BX51" s="159">
        <f>$A51*CAS_Component!BX51</f>
        <v>0</v>
      </c>
      <c r="BY51" s="147">
        <f>$A51*CAS_Component!BY51</f>
        <v>0</v>
      </c>
      <c r="BZ51" s="159">
        <f>$A51*CAS_Component!BZ51</f>
        <v>0</v>
      </c>
      <c r="CA51" s="147">
        <f>$A51*CAS_Component!CA51</f>
        <v>0</v>
      </c>
      <c r="CB51" s="159">
        <f>$A51*CAS_Component!CB51</f>
        <v>0</v>
      </c>
    </row>
    <row r="52" spans="1:80">
      <c r="A52" s="69">
        <v>1</v>
      </c>
      <c r="B52" s="68" t="s">
        <v>300</v>
      </c>
      <c r="C52" s="67">
        <v>106.98</v>
      </c>
      <c r="D52" s="142">
        <f t="shared" si="4"/>
        <v>106.89</v>
      </c>
      <c r="E52" s="147">
        <f>A52*CAS_Component!E52</f>
        <v>0.28999999999999998</v>
      </c>
      <c r="F52" s="159">
        <f>$A52*CAS_Component!F52</f>
        <v>58.36</v>
      </c>
      <c r="G52" s="147">
        <f>$A52*CAS_Component!G52</f>
        <v>4.33</v>
      </c>
      <c r="H52" s="159">
        <f>$A52*CAS_Component!H52</f>
        <v>0</v>
      </c>
      <c r="I52" s="147">
        <f>$A52*CAS_Component!I52</f>
        <v>0.2</v>
      </c>
      <c r="J52" s="159">
        <f>$A52*CAS_Component!J52</f>
        <v>0</v>
      </c>
      <c r="K52" s="147">
        <f>$A52*CAS_Component!K52</f>
        <v>0</v>
      </c>
      <c r="L52" s="159">
        <f>$A52*CAS_Component!L52</f>
        <v>0</v>
      </c>
      <c r="M52" s="147">
        <f>$A52*CAS_Component!M52</f>
        <v>0.82</v>
      </c>
      <c r="N52" s="159">
        <f>$A52*CAS_Component!N52</f>
        <v>0</v>
      </c>
      <c r="O52" s="147">
        <f>$A52*CAS_Component!O52</f>
        <v>10.27</v>
      </c>
      <c r="P52" s="159">
        <f>$A52*CAS_Component!P52</f>
        <v>27.86</v>
      </c>
      <c r="Q52" s="147">
        <f>$A52*CAS_Component!Q52</f>
        <v>1.08</v>
      </c>
      <c r="R52" s="159">
        <f>$A52*CAS_Component!R52</f>
        <v>0</v>
      </c>
      <c r="S52" s="147">
        <f>$A52*CAS_Component!S52</f>
        <v>0</v>
      </c>
      <c r="T52" s="159">
        <f>$A52*CAS_Component!T52</f>
        <v>0</v>
      </c>
      <c r="U52" s="147">
        <f>$A52*CAS_Component!U52</f>
        <v>0</v>
      </c>
      <c r="V52" s="159">
        <f>$A52*CAS_Component!V52</f>
        <v>0</v>
      </c>
      <c r="W52" s="147">
        <f>$A52*CAS_Component!W52</f>
        <v>0</v>
      </c>
      <c r="X52" s="159">
        <f>$A52*CAS_Component!X52</f>
        <v>0</v>
      </c>
      <c r="Y52" s="147">
        <f>$A52*CAS_Component!Y52</f>
        <v>0</v>
      </c>
      <c r="Z52" s="159">
        <f>$A52*CAS_Component!Z52</f>
        <v>0</v>
      </c>
      <c r="AA52" s="147">
        <f>$A52*CAS_Component!AA52</f>
        <v>0</v>
      </c>
      <c r="AB52" s="159">
        <f>$A52*CAS_Component!AB52</f>
        <v>0</v>
      </c>
      <c r="AC52" s="147">
        <f>$A52*CAS_Component!AC52</f>
        <v>0</v>
      </c>
      <c r="AD52" s="159">
        <f>$A52*CAS_Component!AD52</f>
        <v>0</v>
      </c>
      <c r="AE52" s="147">
        <f>$A52*CAS_Component!AE52</f>
        <v>0</v>
      </c>
      <c r="AF52" s="159">
        <f>$A52*CAS_Component!AF52</f>
        <v>0</v>
      </c>
      <c r="AG52" s="147">
        <f>$A52*CAS_Component!AG52</f>
        <v>0</v>
      </c>
      <c r="AH52" s="159">
        <f>$A52*CAS_Component!AH52</f>
        <v>0</v>
      </c>
      <c r="AI52" s="147">
        <f>$A52*CAS_Component!AI52</f>
        <v>0</v>
      </c>
      <c r="AJ52" s="159">
        <f>$A52*CAS_Component!AJ52</f>
        <v>0</v>
      </c>
      <c r="AK52" s="147">
        <f>$A52*CAS_Component!AK52</f>
        <v>2.66</v>
      </c>
      <c r="AL52" s="159">
        <f>$A52*CAS_Component!AL52</f>
        <v>0</v>
      </c>
      <c r="AM52" s="147">
        <f>$A52*CAS_Component!AM52</f>
        <v>0</v>
      </c>
      <c r="AN52" s="159">
        <f>$A52*CAS_Component!AN52</f>
        <v>0</v>
      </c>
      <c r="AO52" s="147">
        <f>$A52*CAS_Component!AO52</f>
        <v>0</v>
      </c>
      <c r="AP52" s="159">
        <f>$A52*CAS_Component!AP52</f>
        <v>0</v>
      </c>
      <c r="AQ52" s="147">
        <f>$A52*CAS_Component!AQ52</f>
        <v>0</v>
      </c>
      <c r="AR52" s="159">
        <f>$A52*CAS_Component!AR52</f>
        <v>0</v>
      </c>
      <c r="AS52" s="147">
        <f>$A52*CAS_Component!AS52</f>
        <v>0</v>
      </c>
      <c r="AT52" s="159">
        <f>$A52*CAS_Component!AT52</f>
        <v>0</v>
      </c>
      <c r="AU52" s="147">
        <f>$A52*CAS_Component!AU52</f>
        <v>0</v>
      </c>
      <c r="AV52" s="159">
        <f>$A52*CAS_Component!AV52</f>
        <v>0</v>
      </c>
      <c r="AW52" s="147">
        <f>$A52*CAS_Component!AW52</f>
        <v>0</v>
      </c>
      <c r="AX52" s="159">
        <f>$A52*CAS_Component!AX52</f>
        <v>0</v>
      </c>
      <c r="AY52" s="147">
        <f>$A52*CAS_Component!AY52</f>
        <v>0</v>
      </c>
      <c r="AZ52" s="159">
        <f>$A52*CAS_Component!AZ52</f>
        <v>0</v>
      </c>
      <c r="BA52" s="147">
        <f>$A52*CAS_Component!BA52</f>
        <v>0</v>
      </c>
      <c r="BB52" s="159">
        <f>$A52*CAS_Component!BB52</f>
        <v>0</v>
      </c>
      <c r="BC52" s="147">
        <f>$A52*CAS_Component!BC52</f>
        <v>0</v>
      </c>
      <c r="BD52" s="159">
        <f>$A52*CAS_Component!BD52</f>
        <v>0</v>
      </c>
      <c r="BE52" s="147">
        <f>$A52*CAS_Component!BE52</f>
        <v>0</v>
      </c>
      <c r="BF52" s="159">
        <f>$A52*CAS_Component!BF52</f>
        <v>0</v>
      </c>
      <c r="BG52" s="147">
        <f>$A52*CAS_Component!BG52</f>
        <v>0</v>
      </c>
      <c r="BH52" s="159">
        <f>$A52*CAS_Component!BH52</f>
        <v>0</v>
      </c>
      <c r="BI52" s="147">
        <f>$A52*CAS_Component!BI52</f>
        <v>0</v>
      </c>
      <c r="BJ52" s="159">
        <f>$A52*CAS_Component!BJ52</f>
        <v>0</v>
      </c>
      <c r="BK52" s="147">
        <f>$A52*CAS_Component!BK52</f>
        <v>0</v>
      </c>
      <c r="BL52" s="159">
        <f>$A52*CAS_Component!BL52</f>
        <v>0</v>
      </c>
      <c r="BM52" s="147">
        <f>$A52*CAS_Component!BM52</f>
        <v>0</v>
      </c>
      <c r="BN52" s="159">
        <f>$A52*CAS_Component!BN52</f>
        <v>0</v>
      </c>
      <c r="BO52" s="147">
        <f>$A52*CAS_Component!BO52</f>
        <v>0</v>
      </c>
      <c r="BP52" s="159">
        <f>$A52*CAS_Component!BP52</f>
        <v>0</v>
      </c>
      <c r="BQ52" s="147">
        <f>$A52*CAS_Component!BQ52</f>
        <v>0</v>
      </c>
      <c r="BR52" s="159">
        <f>$A52*CAS_Component!BR52</f>
        <v>0</v>
      </c>
      <c r="BS52" s="147">
        <f>$A52*CAS_Component!BS52</f>
        <v>0</v>
      </c>
      <c r="BT52" s="159">
        <f>$A52*CAS_Component!BT52</f>
        <v>0.01</v>
      </c>
      <c r="BU52" s="147">
        <f>$A52*CAS_Component!BU52</f>
        <v>0.01</v>
      </c>
      <c r="BV52" s="159">
        <f>$A52*CAS_Component!BV52</f>
        <v>1</v>
      </c>
      <c r="BW52" s="147">
        <f>$A52*CAS_Component!BW52</f>
        <v>0</v>
      </c>
      <c r="BX52" s="159">
        <f>$A52*CAS_Component!BX52</f>
        <v>0</v>
      </c>
      <c r="BY52" s="147">
        <f>$A52*CAS_Component!BY52</f>
        <v>0</v>
      </c>
      <c r="BZ52" s="159">
        <f>$A52*CAS_Component!BZ52</f>
        <v>0</v>
      </c>
      <c r="CA52" s="147">
        <f>$A52*CAS_Component!CA52</f>
        <v>0</v>
      </c>
      <c r="CB52" s="159">
        <f>$A52*CAS_Component!CB52</f>
        <v>0</v>
      </c>
    </row>
    <row r="53" spans="1:80">
      <c r="A53" s="69">
        <v>1</v>
      </c>
      <c r="B53" s="68" t="s">
        <v>294</v>
      </c>
      <c r="C53" s="67">
        <v>33</v>
      </c>
      <c r="D53" s="142">
        <f t="shared" si="4"/>
        <v>33</v>
      </c>
      <c r="E53" s="147">
        <f>A53*CAS_Component!E53</f>
        <v>1.7999999999999999E-2</v>
      </c>
      <c r="F53" s="159">
        <f>$A53*CAS_Component!F53</f>
        <v>16.565999999999999</v>
      </c>
      <c r="G53" s="147">
        <f>$A53*CAS_Component!G53</f>
        <v>1.212</v>
      </c>
      <c r="H53" s="159">
        <f>$A53*CAS_Component!H53</f>
        <v>1.194</v>
      </c>
      <c r="I53" s="147">
        <f>$A53*CAS_Component!I53</f>
        <v>5.8000000000000003E-2</v>
      </c>
      <c r="J53" s="159">
        <f>$A53*CAS_Component!J53</f>
        <v>0</v>
      </c>
      <c r="K53" s="147">
        <f>$A53*CAS_Component!K53</f>
        <v>0</v>
      </c>
      <c r="L53" s="159">
        <f>$A53*CAS_Component!L53</f>
        <v>0</v>
      </c>
      <c r="M53" s="147">
        <f>$A53*CAS_Component!M53</f>
        <v>0.50700000000000001</v>
      </c>
      <c r="N53" s="159">
        <f>$A53*CAS_Component!N53</f>
        <v>0</v>
      </c>
      <c r="O53" s="147">
        <f>$A53*CAS_Component!O53</f>
        <v>2.1260000000000003</v>
      </c>
      <c r="P53" s="159">
        <f>$A53*CAS_Component!P53</f>
        <v>9.9649999999999999</v>
      </c>
      <c r="Q53" s="147">
        <f>$A53*CAS_Component!Q53</f>
        <v>0</v>
      </c>
      <c r="R53" s="159">
        <f>$A53*CAS_Component!R53</f>
        <v>0.26400000000000001</v>
      </c>
      <c r="S53" s="147">
        <f>$A53*CAS_Component!S53</f>
        <v>1E-3</v>
      </c>
      <c r="T53" s="159">
        <f>$A53*CAS_Component!T53</f>
        <v>0</v>
      </c>
      <c r="U53" s="147">
        <f>$A53*CAS_Component!U53</f>
        <v>0.60099999999999998</v>
      </c>
      <c r="V53" s="159">
        <f>$A53*CAS_Component!V53</f>
        <v>0</v>
      </c>
      <c r="W53" s="147">
        <f>$A53*CAS_Component!W53</f>
        <v>0</v>
      </c>
      <c r="X53" s="159">
        <f>$A53*CAS_Component!X53</f>
        <v>0</v>
      </c>
      <c r="Y53" s="147">
        <f>$A53*CAS_Component!Y53</f>
        <v>0</v>
      </c>
      <c r="Z53" s="159">
        <f>$A53*CAS_Component!Z53</f>
        <v>0</v>
      </c>
      <c r="AA53" s="147">
        <f>$A53*CAS_Component!AA53</f>
        <v>0</v>
      </c>
      <c r="AB53" s="159">
        <f>$A53*CAS_Component!AB53</f>
        <v>0</v>
      </c>
      <c r="AC53" s="147">
        <f>$A53*CAS_Component!AC53</f>
        <v>0</v>
      </c>
      <c r="AD53" s="159">
        <f>$A53*CAS_Component!AD53</f>
        <v>0</v>
      </c>
      <c r="AE53" s="147">
        <f>$A53*CAS_Component!AE53</f>
        <v>0</v>
      </c>
      <c r="AF53" s="159">
        <f>$A53*CAS_Component!AF53</f>
        <v>0</v>
      </c>
      <c r="AG53" s="147">
        <f>$A53*CAS_Component!AG53</f>
        <v>0</v>
      </c>
      <c r="AH53" s="159">
        <f>$A53*CAS_Component!AH53</f>
        <v>0</v>
      </c>
      <c r="AI53" s="147">
        <f>$A53*CAS_Component!AI53</f>
        <v>0</v>
      </c>
      <c r="AJ53" s="159">
        <f>$A53*CAS_Component!AJ53</f>
        <v>0.47799999999999998</v>
      </c>
      <c r="AK53" s="147">
        <f>$A53*CAS_Component!AK53</f>
        <v>0</v>
      </c>
      <c r="AL53" s="159">
        <f>$A53*CAS_Component!AL53</f>
        <v>0</v>
      </c>
      <c r="AM53" s="147">
        <f>$A53*CAS_Component!AM53</f>
        <v>0</v>
      </c>
      <c r="AN53" s="159">
        <f>$A53*CAS_Component!AN53</f>
        <v>0</v>
      </c>
      <c r="AO53" s="147">
        <f>$A53*CAS_Component!AO53</f>
        <v>0</v>
      </c>
      <c r="AP53" s="159">
        <f>$A53*CAS_Component!AP53</f>
        <v>0</v>
      </c>
      <c r="AQ53" s="147">
        <f>$A53*CAS_Component!AQ53</f>
        <v>0</v>
      </c>
      <c r="AR53" s="159">
        <f>$A53*CAS_Component!AR53</f>
        <v>0</v>
      </c>
      <c r="AS53" s="147">
        <f>$A53*CAS_Component!AS53</f>
        <v>0</v>
      </c>
      <c r="AT53" s="159">
        <f>$A53*CAS_Component!AT53</f>
        <v>0</v>
      </c>
      <c r="AU53" s="147">
        <f>$A53*CAS_Component!AU53</f>
        <v>0</v>
      </c>
      <c r="AV53" s="159">
        <f>$A53*CAS_Component!AV53</f>
        <v>0</v>
      </c>
      <c r="AW53" s="147">
        <f>$A53*CAS_Component!AW53</f>
        <v>0</v>
      </c>
      <c r="AX53" s="159">
        <f>$A53*CAS_Component!AX53</f>
        <v>0</v>
      </c>
      <c r="AY53" s="147">
        <f>$A53*CAS_Component!AY53</f>
        <v>0</v>
      </c>
      <c r="AZ53" s="159">
        <f>$A53*CAS_Component!AZ53</f>
        <v>0</v>
      </c>
      <c r="BA53" s="147">
        <f>$A53*CAS_Component!BA53</f>
        <v>0</v>
      </c>
      <c r="BB53" s="159">
        <f>$A53*CAS_Component!BB53</f>
        <v>0</v>
      </c>
      <c r="BC53" s="147">
        <f>$A53*CAS_Component!BC53</f>
        <v>0</v>
      </c>
      <c r="BD53" s="159">
        <f>$A53*CAS_Component!BD53</f>
        <v>0</v>
      </c>
      <c r="BE53" s="147">
        <f>$A53*CAS_Component!BE53</f>
        <v>0</v>
      </c>
      <c r="BF53" s="159">
        <f>$A53*CAS_Component!BF53</f>
        <v>0</v>
      </c>
      <c r="BG53" s="147">
        <f>$A53*CAS_Component!BG53</f>
        <v>0</v>
      </c>
      <c r="BH53" s="159">
        <f>$A53*CAS_Component!BH53</f>
        <v>0</v>
      </c>
      <c r="BI53" s="147">
        <f>$A53*CAS_Component!BI53</f>
        <v>0</v>
      </c>
      <c r="BJ53" s="159">
        <f>$A53*CAS_Component!BJ53</f>
        <v>0</v>
      </c>
      <c r="BK53" s="147">
        <f>$A53*CAS_Component!BK53</f>
        <v>0</v>
      </c>
      <c r="BL53" s="159">
        <f>$A53*CAS_Component!BL53</f>
        <v>0</v>
      </c>
      <c r="BM53" s="147">
        <f>$A53*CAS_Component!BM53</f>
        <v>0</v>
      </c>
      <c r="BN53" s="159">
        <f>$A53*CAS_Component!BN53</f>
        <v>0</v>
      </c>
      <c r="BO53" s="147">
        <f>$A53*CAS_Component!BO53</f>
        <v>0</v>
      </c>
      <c r="BP53" s="159">
        <f>$A53*CAS_Component!BP53</f>
        <v>0</v>
      </c>
      <c r="BQ53" s="147">
        <f>$A53*CAS_Component!BQ53</f>
        <v>0</v>
      </c>
      <c r="BR53" s="159">
        <f>$A53*CAS_Component!BR53</f>
        <v>0</v>
      </c>
      <c r="BS53" s="147">
        <f>$A53*CAS_Component!BS53</f>
        <v>0</v>
      </c>
      <c r="BT53" s="159">
        <f>$A53*CAS_Component!BT53</f>
        <v>0</v>
      </c>
      <c r="BU53" s="147">
        <f>$A53*CAS_Component!BU53</f>
        <v>0</v>
      </c>
      <c r="BV53" s="159">
        <f>$A53*CAS_Component!BV53</f>
        <v>0</v>
      </c>
      <c r="BW53" s="147">
        <f>$A53*CAS_Component!BW53</f>
        <v>0.01</v>
      </c>
      <c r="BX53" s="159">
        <f>$A53*CAS_Component!BX53</f>
        <v>0</v>
      </c>
      <c r="BY53" s="147">
        <f>$A53*CAS_Component!BY53</f>
        <v>0</v>
      </c>
      <c r="BZ53" s="159">
        <f>$A53*CAS_Component!BZ53</f>
        <v>0</v>
      </c>
      <c r="CA53" s="147">
        <f>$A53*CAS_Component!CA53</f>
        <v>0</v>
      </c>
      <c r="CB53" s="159">
        <f>$A53*CAS_Component!CB53</f>
        <v>0</v>
      </c>
    </row>
    <row r="54" spans="1:80">
      <c r="A54" s="69">
        <v>1</v>
      </c>
      <c r="B54" s="68" t="s">
        <v>287</v>
      </c>
      <c r="C54" s="67">
        <v>164.2</v>
      </c>
      <c r="D54" s="142">
        <f t="shared" si="4"/>
        <v>164.20000000000005</v>
      </c>
      <c r="E54" s="147">
        <f>A54*CAS_Component!E54</f>
        <v>0</v>
      </c>
      <c r="F54" s="159">
        <f>$A54*CAS_Component!F54</f>
        <v>113.88</v>
      </c>
      <c r="G54" s="147">
        <f>$A54*CAS_Component!G54</f>
        <v>10.050000000000001</v>
      </c>
      <c r="H54" s="159">
        <f>$A54*CAS_Component!H54</f>
        <v>6.6959999999999997</v>
      </c>
      <c r="I54" s="147">
        <f>$A54*CAS_Component!I54</f>
        <v>0.40600000000000003</v>
      </c>
      <c r="J54" s="159">
        <f>$A54*CAS_Component!J54</f>
        <v>0.40500000000000003</v>
      </c>
      <c r="K54" s="147">
        <f>$A54*CAS_Component!K54</f>
        <v>1.4E-2</v>
      </c>
      <c r="L54" s="159">
        <f>$A54*CAS_Component!L54</f>
        <v>2.1999999999999999E-2</v>
      </c>
      <c r="M54" s="147">
        <f>$A54*CAS_Component!M54</f>
        <v>1.252</v>
      </c>
      <c r="N54" s="159">
        <f>$A54*CAS_Component!N54</f>
        <v>0</v>
      </c>
      <c r="O54" s="147">
        <f>$A54*CAS_Component!O54</f>
        <v>12.315</v>
      </c>
      <c r="P54" s="159">
        <f>$A54*CAS_Component!P54</f>
        <v>16.472000000000001</v>
      </c>
      <c r="Q54" s="147">
        <f>$A54*CAS_Component!Q54</f>
        <v>0.32800000000000001</v>
      </c>
      <c r="R54" s="159">
        <f>$A54*CAS_Component!R54</f>
        <v>0</v>
      </c>
      <c r="S54" s="147">
        <f>$A54*CAS_Component!S54</f>
        <v>0</v>
      </c>
      <c r="T54" s="159">
        <f>$A54*CAS_Component!T54</f>
        <v>0</v>
      </c>
      <c r="U54" s="147">
        <f>$A54*CAS_Component!U54</f>
        <v>2.0529999999999999</v>
      </c>
      <c r="V54" s="159">
        <f>$A54*CAS_Component!V54</f>
        <v>0</v>
      </c>
      <c r="W54" s="147">
        <f>$A54*CAS_Component!W54</f>
        <v>0</v>
      </c>
      <c r="X54" s="159">
        <f>$A54*CAS_Component!X54</f>
        <v>0</v>
      </c>
      <c r="Y54" s="147">
        <f>$A54*CAS_Component!Y54</f>
        <v>0</v>
      </c>
      <c r="Z54" s="159">
        <f>$A54*CAS_Component!Z54</f>
        <v>0</v>
      </c>
      <c r="AA54" s="147">
        <f>$A54*CAS_Component!AA54</f>
        <v>0</v>
      </c>
      <c r="AB54" s="159">
        <f>$A54*CAS_Component!AB54</f>
        <v>0</v>
      </c>
      <c r="AC54" s="147">
        <f>$A54*CAS_Component!AC54</f>
        <v>0</v>
      </c>
      <c r="AD54" s="159">
        <f>$A54*CAS_Component!AD54</f>
        <v>0</v>
      </c>
      <c r="AE54" s="147">
        <f>$A54*CAS_Component!AE54</f>
        <v>0</v>
      </c>
      <c r="AF54" s="159">
        <f>$A54*CAS_Component!AF54</f>
        <v>0.17199999999999999</v>
      </c>
      <c r="AG54" s="147">
        <f>$A54*CAS_Component!AG54</f>
        <v>0</v>
      </c>
      <c r="AH54" s="159">
        <f>$A54*CAS_Component!AH54</f>
        <v>0</v>
      </c>
      <c r="AI54" s="147">
        <f>$A54*CAS_Component!AI54</f>
        <v>0</v>
      </c>
      <c r="AJ54" s="159">
        <f>$A54*CAS_Component!AJ54</f>
        <v>0</v>
      </c>
      <c r="AK54" s="147">
        <f>$A54*CAS_Component!AK54</f>
        <v>0</v>
      </c>
      <c r="AL54" s="159">
        <f>$A54*CAS_Component!AL54</f>
        <v>0</v>
      </c>
      <c r="AM54" s="147">
        <f>$A54*CAS_Component!AM54</f>
        <v>0</v>
      </c>
      <c r="AN54" s="159">
        <f>$A54*CAS_Component!AN54</f>
        <v>0</v>
      </c>
      <c r="AO54" s="147">
        <f>$A54*CAS_Component!AO54</f>
        <v>0</v>
      </c>
      <c r="AP54" s="159">
        <f>$A54*CAS_Component!AP54</f>
        <v>0</v>
      </c>
      <c r="AQ54" s="147">
        <f>$A54*CAS_Component!AQ54</f>
        <v>0</v>
      </c>
      <c r="AR54" s="159">
        <f>$A54*CAS_Component!AR54</f>
        <v>0</v>
      </c>
      <c r="AS54" s="147">
        <f>$A54*CAS_Component!AS54</f>
        <v>0</v>
      </c>
      <c r="AT54" s="159">
        <f>$A54*CAS_Component!AT54</f>
        <v>0</v>
      </c>
      <c r="AU54" s="147">
        <f>$A54*CAS_Component!AU54</f>
        <v>0</v>
      </c>
      <c r="AV54" s="159">
        <f>$A54*CAS_Component!AV54</f>
        <v>0</v>
      </c>
      <c r="AW54" s="147">
        <f>$A54*CAS_Component!AW54</f>
        <v>0</v>
      </c>
      <c r="AX54" s="159">
        <f>$A54*CAS_Component!AX54</f>
        <v>0</v>
      </c>
      <c r="AY54" s="147">
        <f>$A54*CAS_Component!AY54</f>
        <v>0</v>
      </c>
      <c r="AZ54" s="159">
        <f>$A54*CAS_Component!AZ54</f>
        <v>0</v>
      </c>
      <c r="BA54" s="147">
        <f>$A54*CAS_Component!BA54</f>
        <v>0</v>
      </c>
      <c r="BB54" s="159">
        <f>$A54*CAS_Component!BB54</f>
        <v>0</v>
      </c>
      <c r="BC54" s="147">
        <f>$A54*CAS_Component!BC54</f>
        <v>0</v>
      </c>
      <c r="BD54" s="159">
        <f>$A54*CAS_Component!BD54</f>
        <v>0</v>
      </c>
      <c r="BE54" s="147">
        <f>$A54*CAS_Component!BE54</f>
        <v>0</v>
      </c>
      <c r="BF54" s="159">
        <f>$A54*CAS_Component!BF54</f>
        <v>0</v>
      </c>
      <c r="BG54" s="147">
        <f>$A54*CAS_Component!BG54</f>
        <v>0</v>
      </c>
      <c r="BH54" s="159">
        <f>$A54*CAS_Component!BH54</f>
        <v>0</v>
      </c>
      <c r="BI54" s="147">
        <f>$A54*CAS_Component!BI54</f>
        <v>0</v>
      </c>
      <c r="BJ54" s="159">
        <f>$A54*CAS_Component!BJ54</f>
        <v>0</v>
      </c>
      <c r="BK54" s="147">
        <f>$A54*CAS_Component!BK54</f>
        <v>0</v>
      </c>
      <c r="BL54" s="159">
        <f>$A54*CAS_Component!BL54</f>
        <v>0</v>
      </c>
      <c r="BM54" s="147">
        <f>$A54*CAS_Component!BM54</f>
        <v>0</v>
      </c>
      <c r="BN54" s="159">
        <f>$A54*CAS_Component!BN54</f>
        <v>0</v>
      </c>
      <c r="BO54" s="147">
        <f>$A54*CAS_Component!BO54</f>
        <v>0</v>
      </c>
      <c r="BP54" s="159">
        <f>$A54*CAS_Component!BP54</f>
        <v>0</v>
      </c>
      <c r="BQ54" s="147">
        <f>$A54*CAS_Component!BQ54</f>
        <v>0</v>
      </c>
      <c r="BR54" s="159">
        <f>$A54*CAS_Component!BR54</f>
        <v>0</v>
      </c>
      <c r="BS54" s="147">
        <f>$A54*CAS_Component!BS54</f>
        <v>0</v>
      </c>
      <c r="BT54" s="159">
        <f>$A54*CAS_Component!BT54</f>
        <v>0</v>
      </c>
      <c r="BU54" s="147">
        <f>$A54*CAS_Component!BU54</f>
        <v>0</v>
      </c>
      <c r="BV54" s="159">
        <f>$A54*CAS_Component!BV54</f>
        <v>0</v>
      </c>
      <c r="BW54" s="147">
        <f>$A54*CAS_Component!BW54</f>
        <v>0</v>
      </c>
      <c r="BX54" s="159">
        <f>$A54*CAS_Component!BX54</f>
        <v>9.1999999999999998E-2</v>
      </c>
      <c r="BY54" s="147">
        <f>$A54*CAS_Component!BY54</f>
        <v>4.2999999999999997E-2</v>
      </c>
      <c r="BZ54" s="159">
        <f>$A54*CAS_Component!BZ54</f>
        <v>0</v>
      </c>
      <c r="CA54" s="147">
        <f>$A54*CAS_Component!CA54</f>
        <v>0</v>
      </c>
      <c r="CB54" s="159">
        <f>$A54*CAS_Component!CB54</f>
        <v>0</v>
      </c>
    </row>
  </sheetData>
  <mergeCells count="1">
    <mergeCell ref="A1:C1"/>
  </mergeCells>
  <conditionalFormatting sqref="F5:G5 I5:S5">
    <cfRule type="duplicateValues" dxfId="101" priority="102"/>
  </conditionalFormatting>
  <conditionalFormatting sqref="H5">
    <cfRule type="duplicateValues" dxfId="100" priority="101"/>
  </conditionalFormatting>
  <conditionalFormatting sqref="T5">
    <cfRule type="duplicateValues" dxfId="99" priority="100"/>
  </conditionalFormatting>
  <conditionalFormatting sqref="U5">
    <cfRule type="duplicateValues" dxfId="98" priority="99"/>
    <cfRule type="duplicateValues" dxfId="97" priority="98"/>
  </conditionalFormatting>
  <conditionalFormatting sqref="W5">
    <cfRule type="duplicateValues" dxfId="96" priority="97"/>
    <cfRule type="duplicateValues" dxfId="95" priority="96"/>
  </conditionalFormatting>
  <conditionalFormatting sqref="X5">
    <cfRule type="duplicateValues" dxfId="94" priority="95"/>
    <cfRule type="duplicateValues" dxfId="93" priority="94"/>
  </conditionalFormatting>
  <conditionalFormatting sqref="Y5">
    <cfRule type="duplicateValues" dxfId="92" priority="93"/>
    <cfRule type="duplicateValues" dxfId="91" priority="92"/>
  </conditionalFormatting>
  <conditionalFormatting sqref="Z5">
    <cfRule type="duplicateValues" dxfId="90" priority="91"/>
    <cfRule type="duplicateValues" dxfId="89" priority="90"/>
  </conditionalFormatting>
  <conditionalFormatting sqref="AA5">
    <cfRule type="duplicateValues" dxfId="88" priority="89"/>
  </conditionalFormatting>
  <conditionalFormatting sqref="AC5">
    <cfRule type="duplicateValues" dxfId="87" priority="88"/>
    <cfRule type="duplicateValues" dxfId="86" priority="87"/>
    <cfRule type="duplicateValues" dxfId="85" priority="86"/>
    <cfRule type="duplicateValues" dxfId="84" priority="85"/>
  </conditionalFormatting>
  <conditionalFormatting sqref="AD5">
    <cfRule type="duplicateValues" dxfId="83" priority="84"/>
    <cfRule type="duplicateValues" dxfId="82" priority="83"/>
    <cfRule type="duplicateValues" dxfId="81" priority="82"/>
    <cfRule type="duplicateValues" dxfId="80" priority="81"/>
  </conditionalFormatting>
  <conditionalFormatting sqref="AE5">
    <cfRule type="duplicateValues" dxfId="79" priority="80"/>
    <cfRule type="duplicateValues" dxfId="78" priority="79"/>
    <cfRule type="duplicateValues" dxfId="77" priority="77"/>
    <cfRule type="duplicateValues" dxfId="76" priority="78"/>
  </conditionalFormatting>
  <conditionalFormatting sqref="AF5">
    <cfRule type="duplicateValues" dxfId="75" priority="74"/>
    <cfRule type="duplicateValues" dxfId="74" priority="73"/>
    <cfRule type="duplicateValues" dxfId="73" priority="76"/>
    <cfRule type="duplicateValues" dxfId="72" priority="75"/>
  </conditionalFormatting>
  <conditionalFormatting sqref="AG5">
    <cfRule type="duplicateValues" dxfId="71" priority="70"/>
    <cfRule type="duplicateValues" dxfId="70" priority="69"/>
    <cfRule type="duplicateValues" dxfId="69" priority="72"/>
    <cfRule type="duplicateValues" dxfId="68" priority="71"/>
  </conditionalFormatting>
  <conditionalFormatting sqref="AI5">
    <cfRule type="duplicateValues" dxfId="67" priority="68"/>
    <cfRule type="duplicateValues" dxfId="66" priority="67"/>
    <cfRule type="duplicateValues" dxfId="65" priority="66"/>
    <cfRule type="duplicateValues" dxfId="64" priority="65"/>
  </conditionalFormatting>
  <conditionalFormatting sqref="AK5">
    <cfRule type="duplicateValues" dxfId="63" priority="63"/>
    <cfRule type="duplicateValues" dxfId="62" priority="61"/>
    <cfRule type="duplicateValues" dxfId="61" priority="64"/>
    <cfRule type="duplicateValues" dxfId="60" priority="62"/>
  </conditionalFormatting>
  <conditionalFormatting sqref="AO5">
    <cfRule type="duplicateValues" dxfId="59" priority="60"/>
    <cfRule type="duplicateValues" dxfId="58" priority="59"/>
    <cfRule type="duplicateValues" dxfId="57" priority="58"/>
    <cfRule type="duplicateValues" dxfId="56" priority="57"/>
  </conditionalFormatting>
  <conditionalFormatting sqref="AT5">
    <cfRule type="duplicateValues" dxfId="55" priority="56"/>
    <cfRule type="duplicateValues" dxfId="54" priority="55"/>
    <cfRule type="duplicateValues" dxfId="53" priority="54"/>
    <cfRule type="duplicateValues" dxfId="52" priority="53"/>
  </conditionalFormatting>
  <conditionalFormatting sqref="AU5">
    <cfRule type="duplicateValues" dxfId="51" priority="51"/>
    <cfRule type="duplicateValues" dxfId="50" priority="52"/>
    <cfRule type="duplicateValues" dxfId="49" priority="49"/>
    <cfRule type="duplicateValues" dxfId="48" priority="50"/>
  </conditionalFormatting>
  <conditionalFormatting sqref="AZ5">
    <cfRule type="duplicateValues" dxfId="47" priority="46"/>
    <cfRule type="duplicateValues" dxfId="46" priority="45"/>
    <cfRule type="duplicateValues" dxfId="45" priority="47"/>
    <cfRule type="duplicateValues" dxfId="44" priority="48"/>
  </conditionalFormatting>
  <conditionalFormatting sqref="BD5">
    <cfRule type="duplicateValues" dxfId="43" priority="44"/>
    <cfRule type="duplicateValues" dxfId="42" priority="43"/>
    <cfRule type="duplicateValues" dxfId="41" priority="42"/>
    <cfRule type="duplicateValues" dxfId="40" priority="41"/>
  </conditionalFormatting>
  <conditionalFormatting sqref="BG5">
    <cfRule type="duplicateValues" dxfId="39" priority="39"/>
    <cfRule type="duplicateValues" dxfId="38" priority="38"/>
    <cfRule type="duplicateValues" dxfId="37" priority="37"/>
    <cfRule type="duplicateValues" dxfId="36" priority="40"/>
  </conditionalFormatting>
  <conditionalFormatting sqref="BH5">
    <cfRule type="duplicateValues" dxfId="35" priority="36"/>
    <cfRule type="duplicateValues" dxfId="34" priority="35"/>
    <cfRule type="duplicateValues" dxfId="33" priority="34"/>
    <cfRule type="duplicateValues" dxfId="32" priority="33"/>
  </conditionalFormatting>
  <conditionalFormatting sqref="BM5">
    <cfRule type="duplicateValues" dxfId="31" priority="32"/>
    <cfRule type="duplicateValues" dxfId="30" priority="31"/>
    <cfRule type="duplicateValues" dxfId="29" priority="30"/>
    <cfRule type="duplicateValues" dxfId="28" priority="29"/>
  </conditionalFormatting>
  <conditionalFormatting sqref="BT5">
    <cfRule type="duplicateValues" dxfId="27" priority="28"/>
    <cfRule type="duplicateValues" dxfId="26" priority="27"/>
    <cfRule type="duplicateValues" dxfId="25" priority="26"/>
    <cfRule type="duplicateValues" dxfId="24" priority="25"/>
  </conditionalFormatting>
  <conditionalFormatting sqref="BU5">
    <cfRule type="duplicateValues" dxfId="23" priority="22"/>
    <cfRule type="duplicateValues" dxfId="22" priority="21"/>
    <cfRule type="duplicateValues" dxfId="21" priority="24"/>
    <cfRule type="duplicateValues" dxfId="20" priority="23"/>
  </conditionalFormatting>
  <conditionalFormatting sqref="BV5">
    <cfRule type="duplicateValues" dxfId="19" priority="18"/>
    <cfRule type="duplicateValues" dxfId="18" priority="17"/>
    <cfRule type="duplicateValues" dxfId="17" priority="20"/>
    <cfRule type="duplicateValues" dxfId="16" priority="19"/>
  </conditionalFormatting>
  <conditionalFormatting sqref="BW5">
    <cfRule type="duplicateValues" dxfId="15" priority="16"/>
    <cfRule type="duplicateValues" dxfId="14" priority="15"/>
    <cfRule type="duplicateValues" dxfId="13" priority="14"/>
    <cfRule type="duplicateValues" dxfId="12" priority="13"/>
  </conditionalFormatting>
  <conditionalFormatting sqref="BZ5">
    <cfRule type="duplicateValues" dxfId="11" priority="12"/>
    <cfRule type="duplicateValues" dxfId="10" priority="11"/>
    <cfRule type="duplicateValues" dxfId="9" priority="10"/>
    <cfRule type="duplicateValues" dxfId="8" priority="9"/>
  </conditionalFormatting>
  <conditionalFormatting sqref="CA5">
    <cfRule type="duplicateValues" dxfId="7" priority="8"/>
    <cfRule type="duplicateValues" dxfId="6" priority="7"/>
    <cfRule type="duplicateValues" dxfId="5" priority="6"/>
    <cfRule type="duplicateValues" dxfId="4" priority="5"/>
  </conditionalFormatting>
  <conditionalFormatting sqref="CB5">
    <cfRule type="duplicateValues" dxfId="3" priority="1"/>
    <cfRule type="duplicateValues" dxfId="2" priority="4"/>
    <cfRule type="duplicateValues" dxfId="1" priority="3"/>
    <cfRule type="duplicateValues" dxfId="0" priority="2"/>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1737</TotalTime>
  <Application>Microsoft Excel</Application>
  <DocSecurity>0</DocSecurity>
  <ScaleCrop>false</ScaleCrop>
  <HeadingPairs>
    <vt:vector size="4" baseType="variant">
      <vt:variant>
        <vt:lpstr>Feuilles de calcul</vt:lpstr>
      </vt:variant>
      <vt:variant>
        <vt:i4>16</vt:i4>
      </vt:variant>
      <vt:variant>
        <vt:lpstr>Plages nommées</vt:lpstr>
      </vt:variant>
      <vt:variant>
        <vt:i4>2</vt:i4>
      </vt:variant>
    </vt:vector>
  </HeadingPairs>
  <TitlesOfParts>
    <vt:vector size="18" baseType="lpstr">
      <vt:lpstr>PELCA - Legend | License</vt:lpstr>
      <vt:lpstr>Inventory - Manufacturing</vt:lpstr>
      <vt:lpstr>Inventory - Use</vt:lpstr>
      <vt:lpstr>LCA</vt:lpstr>
      <vt:lpstr>LCIA</vt:lpstr>
      <vt:lpstr>Cost - Price</vt:lpstr>
      <vt:lpstr>Staircase</vt:lpstr>
      <vt:lpstr>Faults &amp; Prev. Maint.</vt:lpstr>
      <vt:lpstr>Cur. Maint. (replac. matrix)</vt:lpstr>
      <vt:lpstr>BOM</vt:lpstr>
      <vt:lpstr>Cost</vt:lpstr>
      <vt:lpstr>CAS_Code</vt:lpstr>
      <vt:lpstr>Report - BOM</vt:lpstr>
      <vt:lpstr>Periodic Table VS CAS Code</vt:lpstr>
      <vt:lpstr>CAS_Component</vt:lpstr>
      <vt:lpstr>CAS_EFuse</vt:lpstr>
      <vt:lpstr>BOM!Zone_d_impression</vt:lpstr>
      <vt:lpstr>Cost!Zone_d_impression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Briac Baudais</dc:creator>
  <dc:description/>
  <cp:lastModifiedBy>Guillemet, Thomas</cp:lastModifiedBy>
  <cp:revision>12</cp:revision>
  <dcterms:created xsi:type="dcterms:W3CDTF">2024-06-06T12:20:07Z</dcterms:created>
  <dcterms:modified xsi:type="dcterms:W3CDTF">2026-03-25T13:50:20Z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0x010100B4423484B736DB4F9D6F493751AFCDB8</vt:lpwstr>
  </property>
  <property fmtid="{D5CDD505-2E9C-101B-9397-08002B2CF9AE}" pid="3" name="MSIP_Label_d55f6660-0408-47d2-ae31-f46329b4bd81_ActionId">
    <vt:lpwstr>e87282ce-de7a-4ba8-ae04-8d63f3140dd3</vt:lpwstr>
  </property>
  <property fmtid="{D5CDD505-2E9C-101B-9397-08002B2CF9AE}" pid="4" name="MSIP_Label_d55f6660-0408-47d2-ae31-f46329b4bd81_ContentBits">
    <vt:lpwstr>0</vt:lpwstr>
  </property>
  <property fmtid="{D5CDD505-2E9C-101B-9397-08002B2CF9AE}" pid="5" name="MSIP_Label_d55f6660-0408-47d2-ae31-f46329b4bd81_Enabled">
    <vt:lpwstr>true</vt:lpwstr>
  </property>
  <property fmtid="{D5CDD505-2E9C-101B-9397-08002B2CF9AE}" pid="6" name="MSIP_Label_d55f6660-0408-47d2-ae31-f46329b4bd81_Method">
    <vt:lpwstr>Standard</vt:lpwstr>
  </property>
  <property fmtid="{D5CDD505-2E9C-101B-9397-08002B2CF9AE}" pid="7" name="MSIP_Label_d55f6660-0408-47d2-ae31-f46329b4bd81_Name">
    <vt:lpwstr>General</vt:lpwstr>
  </property>
  <property fmtid="{D5CDD505-2E9C-101B-9397-08002B2CF9AE}" pid="8" name="MSIP_Label_d55f6660-0408-47d2-ae31-f46329b4bd81_SetDate">
    <vt:lpwstr>2024-06-06T12:20:07Z</vt:lpwstr>
  </property>
  <property fmtid="{D5CDD505-2E9C-101B-9397-08002B2CF9AE}" pid="9" name="MSIP_Label_d55f6660-0408-47d2-ae31-f46329b4bd81_SiteId">
    <vt:lpwstr>1f141cfd-a6c5-4e9a-bf84-7116c141e5f4</vt:lpwstr>
  </property>
</Properties>
</file>