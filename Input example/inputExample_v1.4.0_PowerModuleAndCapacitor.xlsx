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uillemet\Documents\PELCA_internal\Input example\"/>
    </mc:Choice>
  </mc:AlternateContent>
  <xr:revisionPtr revIDLastSave="0" documentId="13_ncr:1_{5AB10869-8B06-4EEE-AC1C-938F99B06A06}" xr6:coauthVersionLast="47" xr6:coauthVersionMax="47" xr10:uidLastSave="{00000000-0000-0000-0000-000000000000}"/>
  <bookViews>
    <workbookView xWindow="-28920" yWindow="-120" windowWidth="29040" windowHeight="15720" tabRatio="649" activeTab="1" xr2:uid="{A22A29AF-6D9D-7E4D-B999-57E82FA055BC}"/>
  </bookViews>
  <sheets>
    <sheet name="PELCA - Legend | License" sheetId="10" r:id="rId1"/>
    <sheet name="Inventory - Manufacturing" sheetId="1" r:id="rId2"/>
    <sheet name="Inventory - Use" sheetId="2" r:id="rId3"/>
    <sheet name="LCA" sheetId="3" r:id="rId4"/>
    <sheet name="LCIA" sheetId="4" r:id="rId5"/>
    <sheet name="Cost - Price" sheetId="5" r:id="rId6"/>
    <sheet name="Staircase" sheetId="6" r:id="rId7"/>
    <sheet name="Faults &amp; Prev. Maint." sheetId="7" r:id="rId8"/>
    <sheet name="Cur. Maint. (replac. matrix)" sheetId="8"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 i="2" l="1"/>
  <c r="E22" i="2"/>
  <c r="E11" i="2"/>
  <c r="E10" i="2"/>
  <c r="B5" i="3" l="1"/>
  <c r="E190" i="1"/>
  <c r="E180" i="1"/>
  <c r="E181" i="1"/>
  <c r="E182" i="1"/>
  <c r="E183" i="1"/>
  <c r="E184" i="1"/>
  <c r="E185" i="1"/>
  <c r="E186" i="1"/>
  <c r="E187" i="1"/>
  <c r="E188" i="1"/>
  <c r="E189" i="1"/>
  <c r="E179" i="1"/>
  <c r="E168" i="1"/>
  <c r="E14" i="1"/>
  <c r="K14" i="1" s="1"/>
  <c r="E15" i="1"/>
  <c r="E16" i="1"/>
  <c r="E17" i="1"/>
  <c r="E18" i="1"/>
  <c r="E19" i="1"/>
  <c r="K19" i="1" s="1"/>
  <c r="E20" i="1"/>
  <c r="E21" i="1"/>
  <c r="E22" i="1"/>
  <c r="E23" i="1"/>
  <c r="K23" i="1" s="1"/>
  <c r="E24" i="1"/>
  <c r="E25" i="1"/>
  <c r="K25" i="1" s="1"/>
  <c r="E26" i="1"/>
  <c r="K26" i="1" s="1"/>
  <c r="E27" i="1"/>
  <c r="K27" i="1" s="1"/>
  <c r="E28" i="1"/>
  <c r="E29" i="1"/>
  <c r="E30" i="1"/>
  <c r="K30" i="1" s="1"/>
  <c r="E31" i="1"/>
  <c r="K31" i="1" s="1"/>
  <c r="E32" i="1"/>
  <c r="E33" i="1"/>
  <c r="E34" i="1"/>
  <c r="E35" i="1"/>
  <c r="K35" i="1" s="1"/>
  <c r="E36" i="1"/>
  <c r="K36" i="1" s="1"/>
  <c r="E37" i="1"/>
  <c r="E38" i="1"/>
  <c r="E39" i="1"/>
  <c r="K39" i="1" s="1"/>
  <c r="E40" i="1"/>
  <c r="E41" i="1"/>
  <c r="K41" i="1" s="1"/>
  <c r="E42" i="1"/>
  <c r="E43" i="1"/>
  <c r="E44" i="1"/>
  <c r="E45" i="1"/>
  <c r="E46" i="1"/>
  <c r="K46" i="1" s="1"/>
  <c r="E47" i="1"/>
  <c r="E48" i="1"/>
  <c r="E49" i="1"/>
  <c r="E50" i="1"/>
  <c r="E51" i="1"/>
  <c r="E52" i="1"/>
  <c r="K52" i="1" s="1"/>
  <c r="E53" i="1"/>
  <c r="E54" i="1"/>
  <c r="E55" i="1"/>
  <c r="K55" i="1" s="1"/>
  <c r="E56" i="1"/>
  <c r="E57" i="1"/>
  <c r="K57" i="1" s="1"/>
  <c r="E58" i="1"/>
  <c r="K58" i="1" s="1"/>
  <c r="E59" i="1"/>
  <c r="K59" i="1" s="1"/>
  <c r="E60" i="1"/>
  <c r="K60" i="1" s="1"/>
  <c r="E61" i="1"/>
  <c r="K61" i="1" s="1"/>
  <c r="E62" i="1"/>
  <c r="K62" i="1" s="1"/>
  <c r="E63" i="1"/>
  <c r="E64" i="1"/>
  <c r="E65" i="1"/>
  <c r="E66" i="1"/>
  <c r="K66" i="1" s="1"/>
  <c r="E67" i="1"/>
  <c r="K67" i="1" s="1"/>
  <c r="E68" i="1"/>
  <c r="K68" i="1" s="1"/>
  <c r="E69" i="1"/>
  <c r="E70" i="1"/>
  <c r="E71" i="1"/>
  <c r="K71" i="1" s="1"/>
  <c r="E72" i="1"/>
  <c r="E73" i="1"/>
  <c r="K73" i="1" s="1"/>
  <c r="E74" i="1"/>
  <c r="K74" i="1" s="1"/>
  <c r="E75" i="1"/>
  <c r="K75" i="1" s="1"/>
  <c r="E76" i="1"/>
  <c r="K76" i="1" s="1"/>
  <c r="E77" i="1"/>
  <c r="E78" i="1"/>
  <c r="E79" i="1"/>
  <c r="K79" i="1" s="1"/>
  <c r="E80" i="1"/>
  <c r="E81" i="1"/>
  <c r="K81" i="1" s="1"/>
  <c r="E82" i="1"/>
  <c r="K82" i="1" s="1"/>
  <c r="E83" i="1"/>
  <c r="E84" i="1"/>
  <c r="E85" i="1"/>
  <c r="E86" i="1"/>
  <c r="E87" i="1"/>
  <c r="E88" i="1"/>
  <c r="E89" i="1"/>
  <c r="E90" i="1"/>
  <c r="E91" i="1"/>
  <c r="K91" i="1" s="1"/>
  <c r="E92" i="1"/>
  <c r="K92" i="1" s="1"/>
  <c r="E93" i="1"/>
  <c r="E94" i="1"/>
  <c r="K94" i="1" s="1"/>
  <c r="E95" i="1"/>
  <c r="K95" i="1" s="1"/>
  <c r="E96" i="1"/>
  <c r="E97" i="1"/>
  <c r="K97" i="1" s="1"/>
  <c r="E98" i="1"/>
  <c r="K98" i="1" s="1"/>
  <c r="E99" i="1"/>
  <c r="E100" i="1"/>
  <c r="K100" i="1" s="1"/>
  <c r="E101" i="1"/>
  <c r="K101" i="1" s="1"/>
  <c r="E102" i="1"/>
  <c r="K102" i="1" s="1"/>
  <c r="E103" i="1"/>
  <c r="K103" i="1" s="1"/>
  <c r="E104" i="1"/>
  <c r="E105" i="1"/>
  <c r="E106" i="1"/>
  <c r="K106" i="1" s="1"/>
  <c r="E107" i="1"/>
  <c r="K107" i="1" s="1"/>
  <c r="E108" i="1"/>
  <c r="K108" i="1" s="1"/>
  <c r="E109" i="1"/>
  <c r="E110" i="1"/>
  <c r="K110" i="1" s="1"/>
  <c r="E111" i="1"/>
  <c r="K111" i="1" s="1"/>
  <c r="E112" i="1"/>
  <c r="E113" i="1"/>
  <c r="E114" i="1"/>
  <c r="E115" i="1"/>
  <c r="K115" i="1" s="1"/>
  <c r="E116" i="1"/>
  <c r="E117" i="1"/>
  <c r="K117" i="1" s="1"/>
  <c r="E118" i="1"/>
  <c r="E119" i="1"/>
  <c r="E120" i="1"/>
  <c r="E121" i="1"/>
  <c r="K121" i="1" s="1"/>
  <c r="E122" i="1"/>
  <c r="K122" i="1" s="1"/>
  <c r="E123" i="1"/>
  <c r="K123" i="1" s="1"/>
  <c r="E124" i="1"/>
  <c r="K124" i="1" s="1"/>
  <c r="E125" i="1"/>
  <c r="E126" i="1"/>
  <c r="K126" i="1" s="1"/>
  <c r="E127" i="1"/>
  <c r="K127" i="1" s="1"/>
  <c r="E128" i="1"/>
  <c r="E129" i="1"/>
  <c r="K129" i="1" s="1"/>
  <c r="E130" i="1"/>
  <c r="E131" i="1"/>
  <c r="K131" i="1" s="1"/>
  <c r="E132" i="1"/>
  <c r="K132" i="1" s="1"/>
  <c r="E133" i="1"/>
  <c r="E134" i="1"/>
  <c r="E135" i="1"/>
  <c r="E136" i="1"/>
  <c r="E137" i="1"/>
  <c r="K137" i="1" s="1"/>
  <c r="E138" i="1"/>
  <c r="K138" i="1" s="1"/>
  <c r="E139" i="1"/>
  <c r="E140" i="1"/>
  <c r="K140" i="1" s="1"/>
  <c r="E141" i="1"/>
  <c r="K141" i="1" s="1"/>
  <c r="E142" i="1"/>
  <c r="K142" i="1" s="1"/>
  <c r="E143" i="1"/>
  <c r="K143" i="1" s="1"/>
  <c r="E144" i="1"/>
  <c r="E145" i="1"/>
  <c r="E146" i="1"/>
  <c r="K146" i="1" s="1"/>
  <c r="E147" i="1"/>
  <c r="K147" i="1" s="1"/>
  <c r="E148" i="1"/>
  <c r="K148" i="1" s="1"/>
  <c r="E149" i="1"/>
  <c r="K149" i="1" s="1"/>
  <c r="E150" i="1"/>
  <c r="E151" i="1"/>
  <c r="E152" i="1"/>
  <c r="E153" i="1"/>
  <c r="K153" i="1" s="1"/>
  <c r="E154" i="1"/>
  <c r="K154" i="1" s="1"/>
  <c r="E155" i="1"/>
  <c r="K155" i="1" s="1"/>
  <c r="E156" i="1"/>
  <c r="K156" i="1" s="1"/>
  <c r="E157" i="1"/>
  <c r="E158" i="1"/>
  <c r="E159" i="1"/>
  <c r="K159" i="1" s="1"/>
  <c r="E160" i="1"/>
  <c r="E161" i="1"/>
  <c r="K161" i="1" s="1"/>
  <c r="E162" i="1"/>
  <c r="K162" i="1" s="1"/>
  <c r="E163" i="1"/>
  <c r="K163" i="1" s="1"/>
  <c r="E164" i="1"/>
  <c r="K164" i="1" s="1"/>
  <c r="E165" i="1"/>
  <c r="K165" i="1" s="1"/>
  <c r="E166" i="1"/>
  <c r="K166" i="1" s="1"/>
  <c r="E167" i="1"/>
  <c r="K167" i="1" s="1"/>
  <c r="E13" i="1"/>
  <c r="K13" i="1" s="1"/>
  <c r="F23" i="2"/>
  <c r="A23" i="2"/>
  <c r="B16" i="2"/>
  <c r="F11" i="2"/>
  <c r="A11" i="2"/>
  <c r="B4" i="2"/>
  <c r="F190" i="1"/>
  <c r="A190" i="1"/>
  <c r="K189" i="1"/>
  <c r="L188" i="1"/>
  <c r="K188" i="1"/>
  <c r="L187" i="1"/>
  <c r="K187" i="1"/>
  <c r="L186" i="1"/>
  <c r="K186" i="1"/>
  <c r="L185" i="1"/>
  <c r="K185" i="1"/>
  <c r="L184" i="1"/>
  <c r="K184" i="1"/>
  <c r="L183" i="1"/>
  <c r="K183" i="1"/>
  <c r="L182" i="1"/>
  <c r="K182" i="1"/>
  <c r="L181" i="1"/>
  <c r="K181" i="1"/>
  <c r="L180" i="1"/>
  <c r="K180" i="1"/>
  <c r="L179" i="1"/>
  <c r="K179" i="1"/>
  <c r="F168" i="1"/>
  <c r="A168" i="1"/>
  <c r="L167" i="1"/>
  <c r="L166" i="1"/>
  <c r="L165" i="1"/>
  <c r="L164" i="1"/>
  <c r="L163" i="1"/>
  <c r="L162" i="1"/>
  <c r="L161" i="1"/>
  <c r="L160" i="1"/>
  <c r="K160" i="1"/>
  <c r="L159" i="1"/>
  <c r="L158" i="1"/>
  <c r="K158" i="1"/>
  <c r="L156" i="1"/>
  <c r="L155" i="1"/>
  <c r="L154" i="1"/>
  <c r="L153" i="1"/>
  <c r="L152" i="1"/>
  <c r="K152" i="1"/>
  <c r="L150" i="1"/>
  <c r="K150" i="1"/>
  <c r="L149" i="1"/>
  <c r="L148" i="1"/>
  <c r="L147" i="1"/>
  <c r="L146" i="1"/>
  <c r="L145" i="1"/>
  <c r="K145" i="1"/>
  <c r="L144" i="1"/>
  <c r="K144" i="1"/>
  <c r="L143" i="1"/>
  <c r="L142" i="1"/>
  <c r="L141" i="1"/>
  <c r="L140" i="1"/>
  <c r="L138" i="1"/>
  <c r="L137" i="1"/>
  <c r="L136" i="1"/>
  <c r="K136" i="1"/>
  <c r="L132" i="1"/>
  <c r="L131" i="1"/>
  <c r="L129" i="1"/>
  <c r="L128" i="1"/>
  <c r="K128" i="1"/>
  <c r="L127" i="1"/>
  <c r="L126" i="1"/>
  <c r="L125" i="1"/>
  <c r="K125" i="1"/>
  <c r="L124" i="1"/>
  <c r="L123" i="1"/>
  <c r="L122" i="1"/>
  <c r="L121" i="1"/>
  <c r="L118" i="1"/>
  <c r="K118" i="1"/>
  <c r="L117" i="1"/>
  <c r="L115" i="1"/>
  <c r="L114" i="1"/>
  <c r="K114" i="1"/>
  <c r="L112" i="1"/>
  <c r="K112" i="1"/>
  <c r="L111" i="1"/>
  <c r="L110" i="1"/>
  <c r="L109" i="1"/>
  <c r="K109" i="1"/>
  <c r="L108" i="1"/>
  <c r="L107" i="1"/>
  <c r="L106" i="1"/>
  <c r="L105" i="1"/>
  <c r="K105" i="1"/>
  <c r="L104" i="1"/>
  <c r="K104" i="1"/>
  <c r="L103" i="1"/>
  <c r="L102" i="1"/>
  <c r="L101" i="1"/>
  <c r="L100" i="1"/>
  <c r="L99" i="1"/>
  <c r="K99" i="1"/>
  <c r="L98" i="1"/>
  <c r="L97" i="1"/>
  <c r="L96" i="1"/>
  <c r="K96" i="1"/>
  <c r="L95" i="1"/>
  <c r="L94" i="1"/>
  <c r="L92" i="1"/>
  <c r="L91" i="1"/>
  <c r="L88" i="1"/>
  <c r="K88" i="1"/>
  <c r="L83" i="1"/>
  <c r="K83" i="1"/>
  <c r="L82" i="1"/>
  <c r="L81" i="1"/>
  <c r="L80" i="1"/>
  <c r="K80" i="1"/>
  <c r="L79" i="1"/>
  <c r="L78" i="1"/>
  <c r="K78" i="1"/>
  <c r="L77" i="1"/>
  <c r="K77" i="1"/>
  <c r="L76" i="1"/>
  <c r="L75" i="1"/>
  <c r="L74" i="1"/>
  <c r="L73" i="1"/>
  <c r="L72" i="1"/>
  <c r="K72" i="1"/>
  <c r="L71" i="1"/>
  <c r="L70" i="1"/>
  <c r="K70" i="1"/>
  <c r="L69" i="1"/>
  <c r="K69" i="1"/>
  <c r="L68" i="1"/>
  <c r="L67" i="1"/>
  <c r="L66" i="1"/>
  <c r="L62" i="1"/>
  <c r="L61" i="1"/>
  <c r="L60" i="1"/>
  <c r="L59" i="1"/>
  <c r="L58" i="1"/>
  <c r="L57" i="1"/>
  <c r="L56" i="1"/>
  <c r="K56" i="1"/>
  <c r="L55" i="1"/>
  <c r="L54" i="1"/>
  <c r="K54" i="1"/>
  <c r="L53" i="1"/>
  <c r="K53" i="1"/>
  <c r="L52" i="1"/>
  <c r="L49" i="1"/>
  <c r="K49" i="1"/>
  <c r="L48" i="1"/>
  <c r="K48" i="1"/>
  <c r="L47" i="1"/>
  <c r="K47" i="1"/>
  <c r="L46" i="1"/>
  <c r="L45" i="1"/>
  <c r="K45" i="1"/>
  <c r="L41" i="1"/>
  <c r="L40" i="1"/>
  <c r="K40" i="1"/>
  <c r="L39" i="1"/>
  <c r="L38" i="1"/>
  <c r="K38" i="1"/>
  <c r="L37" i="1"/>
  <c r="K37" i="1"/>
  <c r="L36" i="1"/>
  <c r="L35" i="1"/>
  <c r="L34" i="1"/>
  <c r="K34" i="1"/>
  <c r="L33" i="1"/>
  <c r="K33" i="1"/>
  <c r="L32" i="1"/>
  <c r="K32" i="1"/>
  <c r="L31" i="1"/>
  <c r="L30" i="1"/>
  <c r="L27" i="1"/>
  <c r="L26" i="1"/>
  <c r="L25" i="1"/>
  <c r="L24" i="1"/>
  <c r="K24" i="1"/>
  <c r="L23" i="1"/>
  <c r="L22" i="1"/>
  <c r="K22" i="1"/>
  <c r="L19" i="1"/>
  <c r="L18" i="1"/>
  <c r="K18" i="1"/>
  <c r="L14" i="1"/>
  <c r="L13" i="1"/>
  <c r="B7" i="1"/>
</calcChain>
</file>

<file path=xl/sharedStrings.xml><?xml version="1.0" encoding="utf-8"?>
<sst xmlns="http://schemas.openxmlformats.org/spreadsheetml/2006/main" count="1426" uniqueCount="238">
  <si>
    <t>Database</t>
  </si>
  <si>
    <t>Example</t>
  </si>
  <si>
    <t>Activity</t>
  </si>
  <si>
    <t>RU1 Power module</t>
  </si>
  <si>
    <t>comment</t>
  </si>
  <si>
    <t>(Unknown)</t>
  </si>
  <si>
    <t>location</t>
  </si>
  <si>
    <t>GLO</t>
  </si>
  <si>
    <t>production amount</t>
  </si>
  <si>
    <t>reference product</t>
  </si>
  <si>
    <t>power module</t>
  </si>
  <si>
    <t>type</t>
  </si>
  <si>
    <t>process</t>
  </si>
  <si>
    <t>unit</t>
  </si>
  <si>
    <t>Exchanges</t>
  </si>
  <si>
    <t>name</t>
  </si>
  <si>
    <t>amount</t>
  </si>
  <si>
    <t>database</t>
  </si>
  <si>
    <t>categories</t>
  </si>
  <si>
    <t>uncertainty type</t>
  </si>
  <si>
    <t>loc</t>
  </si>
  <si>
    <t>scale</t>
  </si>
  <si>
    <t>GSD</t>
  </si>
  <si>
    <t>market for wafer, fabricated, for integrated circuit</t>
  </si>
  <si>
    <t>square meter</t>
  </si>
  <si>
    <t>technosphere</t>
  </si>
  <si>
    <t>market for sodium hydroxide, without water, in 50% solution state</t>
  </si>
  <si>
    <t>kilogram</t>
  </si>
  <si>
    <t>market for sheet rolling, copper</t>
  </si>
  <si>
    <t>market for metal working, average for copper product manufacturing</t>
  </si>
  <si>
    <t>market for wire drawing, copper</t>
  </si>
  <si>
    <t>market for copper, cathode</t>
  </si>
  <si>
    <t>Cyanide</t>
  </si>
  <si>
    <t>biosphere3</t>
  </si>
  <si>
    <t>air</t>
  </si>
  <si>
    <t>biosphere</t>
  </si>
  <si>
    <t>market group for electricity, medium voltage</t>
  </si>
  <si>
    <t>kilowatt hour</t>
  </si>
  <si>
    <t>market for gold</t>
  </si>
  <si>
    <t>market for hydrochloric acid, without water, in 30% solution state</t>
  </si>
  <si>
    <t>RER</t>
  </si>
  <si>
    <t>market for nickel, class 1</t>
  </si>
  <si>
    <t>Nickel II</t>
  </si>
  <si>
    <t>water</t>
  </si>
  <si>
    <t>market for hazardous waste, for incineration</t>
  </si>
  <si>
    <t>Europe without Switzerland</t>
  </si>
  <si>
    <t>market for sulfuric acid</t>
  </si>
  <si>
    <t>market for wastewater, average</t>
  </si>
  <si>
    <t>cubic meter</t>
  </si>
  <si>
    <t>market for water, deionised</t>
  </si>
  <si>
    <t>market for acetone, liquid</t>
  </si>
  <si>
    <t>market for acrylic binder, with water, in 54% solution state</t>
  </si>
  <si>
    <t>market for acrylic dispersion, with water, in 58% solution</t>
  </si>
  <si>
    <t>market for aluminium oxide, metallurgical</t>
  </si>
  <si>
    <t>RoW</t>
  </si>
  <si>
    <t>Ammonia</t>
  </si>
  <si>
    <t>Carbon dioxide, fossil</t>
  </si>
  <si>
    <t>Carbon monoxide, fossil</t>
  </si>
  <si>
    <t>market for chemical, organic</t>
  </si>
  <si>
    <t>market for chlorine, gaseous</t>
  </si>
  <si>
    <t>market for glycerine</t>
  </si>
  <si>
    <t>market for isopropanol</t>
  </si>
  <si>
    <t>market for nitrogen, liquid</t>
  </si>
  <si>
    <t>NMVOC, non-methane volatile organic compounds</t>
  </si>
  <si>
    <t>market for potassium carbonate</t>
  </si>
  <si>
    <t>market for potassium hydroxide</t>
  </si>
  <si>
    <t>market for spent solvent mixture</t>
  </si>
  <si>
    <t>market for water, ultrapure</t>
  </si>
  <si>
    <t>market for zinc</t>
  </si>
  <si>
    <t>Zinc II</t>
  </si>
  <si>
    <t>market for steel, low-alloyed</t>
  </si>
  <si>
    <t>market for metal working, average for steel product manufacturing</t>
  </si>
  <si>
    <t>market for hot rolling, steel</t>
  </si>
  <si>
    <t>market for section bar rolling, steel</t>
  </si>
  <si>
    <t>market for polyphenylene sulfide</t>
  </si>
  <si>
    <t>market for antimony</t>
  </si>
  <si>
    <t>market for glass fibre</t>
  </si>
  <si>
    <t>market for injection moulding</t>
  </si>
  <si>
    <t>market for dipropylene glycol monomethyl ether</t>
  </si>
  <si>
    <t>Ethanol</t>
  </si>
  <si>
    <t>market for monoethanolamine</t>
  </si>
  <si>
    <t>market for silicone product</t>
  </si>
  <si>
    <t>market for solder, paste, Sn95.5Ag3.9Cu0.6, for electronics industry</t>
  </si>
  <si>
    <t>production</t>
  </si>
  <si>
    <t>RU2 DC link capacitor</t>
  </si>
  <si>
    <t>dc link capacitor</t>
  </si>
  <si>
    <t>market for aluminium, primary, ingot</t>
  </si>
  <si>
    <t>market for brass</t>
  </si>
  <si>
    <t>market for polycarbonate</t>
  </si>
  <si>
    <t>market for polyethylene terephthalate, granulate, amorphous</t>
  </si>
  <si>
    <t>market for polypropylene, granulate</t>
  </si>
  <si>
    <t>market for methylene diphenyl diisocyanate</t>
  </si>
  <si>
    <t>market for polyol</t>
  </si>
  <si>
    <t>market for tin</t>
  </si>
  <si>
    <t>market for capacitor, auxilliaries and energy use</t>
  </si>
  <si>
    <t>Energy per hours RU1</t>
  </si>
  <si>
    <t>energy RU1</t>
  </si>
  <si>
    <t>market group for electricity, low voltage</t>
  </si>
  <si>
    <t>Energy per hours RU2</t>
  </si>
  <si>
    <t>energy RU2</t>
  </si>
  <si>
    <t>skip</t>
  </si>
  <si>
    <t>Informations</t>
  </si>
  <si>
    <t>LCA result path</t>
  </si>
  <si>
    <t>The path where the 'Result PELCA' folder is located (without 'Result PELCA' in the path name). If the folder does not exist, the tool will create a 'Results PELCA' folder and perform the LCA.</t>
  </si>
  <si>
    <t>Project name (brightway)</t>
  </si>
  <si>
    <t>inverter_test_02</t>
  </si>
  <si>
    <t>The project name provided in Brightway will be built using the Biosphere database (Brightway) and Ecoinvent. For each new project, the databases will need to be reinstalled. The project can then be viewed and utilized with Activity Browser.</t>
  </si>
  <si>
    <t>Inventory name</t>
  </si>
  <si>
    <t>The inventory name within the project will also be visible and usable in Activity Browser. The inventory consists of activities listed in the 'Inventory - Manufacturing' and 'Inventory - Use' sheets, with the inventory name specified at the beginning of the 'Inventory - Manufacturing' sheet.</t>
  </si>
  <si>
    <t>Database ecoinvent</t>
  </si>
  <si>
    <t>The name of the Ecoinvent database being used. If the database is not yet installed in the Brightway project under the name 'Project name (Brightway)', the tool will install it into the project.</t>
  </si>
  <si>
    <t>Ecoinvent path</t>
  </si>
  <si>
    <t>The path to the 'datasets' of the database if it needs to be installed.</t>
  </si>
  <si>
    <t>Type of simulation (Analysis\Monte Carlo)</t>
  </si>
  <si>
    <t>Analysis</t>
  </si>
  <si>
    <t>The tool allows for environmental quantification through either a traditional LCA (Analysis) or an uncertainty analysis (Monte Carlo). Selecting 'Monte Carlo' also performs a traditional LCA.</t>
  </si>
  <si>
    <t>Number of iterations (Monte Carlo)</t>
  </si>
  <si>
    <t>The number of iterations for the uncertainty analysis, "Monte Carlo" option.</t>
  </si>
  <si>
    <t>Acronym</t>
  </si>
  <si>
    <t>Method name</t>
  </si>
  <si>
    <t>Impact category</t>
  </si>
  <si>
    <t>Specific context</t>
  </si>
  <si>
    <t>Unit</t>
  </si>
  <si>
    <t>The methods selected for LCA.</t>
  </si>
  <si>
    <t>GWP</t>
  </si>
  <si>
    <t>EF v3.0 no LT</t>
  </si>
  <si>
    <t>climate change no LT</t>
  </si>
  <si>
    <t>global warming potential (GWP100) no LT</t>
  </si>
  <si>
    <t>kg CO2 eq</t>
  </si>
  <si>
    <t>OD</t>
  </si>
  <si>
    <t>ozone depletion no LT</t>
  </si>
  <si>
    <t>ozone depletion potential (ODP) no LT</t>
  </si>
  <si>
    <t>kg CFC-11 eq</t>
  </si>
  <si>
    <t>HT</t>
  </si>
  <si>
    <t>human toxicity: carcinogenic no LT</t>
  </si>
  <si>
    <t>comparative toxic unit for human (CTUh) no LT</t>
  </si>
  <si>
    <t>CTUh</t>
  </si>
  <si>
    <t>HTNC</t>
  </si>
  <si>
    <t>human toxicity: non-carcinogenic no LT</t>
  </si>
  <si>
    <t>PMF</t>
  </si>
  <si>
    <t>particulate matter formation no LT</t>
  </si>
  <si>
    <t>impact on human health no LT</t>
  </si>
  <si>
    <t>disease incidence</t>
  </si>
  <si>
    <t>IR</t>
  </si>
  <si>
    <t>ionising radiation: human health no LT</t>
  </si>
  <si>
    <t>human exposure efficiency relative to u235 no LT</t>
  </si>
  <si>
    <t>kBq U-235 eq</t>
  </si>
  <si>
    <t>POF</t>
  </si>
  <si>
    <t>photochemical oxidant formation: human health no LT</t>
  </si>
  <si>
    <t>tropospheric ozone concentration increase no LT</t>
  </si>
  <si>
    <t>kg NMVOC eq</t>
  </si>
  <si>
    <t>TAP</t>
  </si>
  <si>
    <t>acidification no LT</t>
  </si>
  <si>
    <t>accumulated exceedance (AE) no LT</t>
  </si>
  <si>
    <t>mol H+ eq</t>
  </si>
  <si>
    <t>TE</t>
  </si>
  <si>
    <t>eutrophication: terrestrial no LT</t>
  </si>
  <si>
    <t>mol N eq</t>
  </si>
  <si>
    <t>FE</t>
  </si>
  <si>
    <t>eutrophication: freshwater no LT</t>
  </si>
  <si>
    <t>fraction of nutrients reaching freshwater end compartment (P) no LT</t>
  </si>
  <si>
    <t>kg P eq</t>
  </si>
  <si>
    <t>ME</t>
  </si>
  <si>
    <t>eutrophication: marine no LT</t>
  </si>
  <si>
    <t>fraction of nutrients reaching marine end compartment (N) no LT</t>
  </si>
  <si>
    <t>kg N eq</t>
  </si>
  <si>
    <t>FET</t>
  </si>
  <si>
    <t>ecotoxicity: freshwater no LT</t>
  </si>
  <si>
    <t>comparative toxic unit for ecosystems (CTUe) no LT</t>
  </si>
  <si>
    <t>CTUe</t>
  </si>
  <si>
    <t>WD</t>
  </si>
  <si>
    <t>water use no LT</t>
  </si>
  <si>
    <t>user deprivation potential (deprivation-weighted water consumption) no LT</t>
  </si>
  <si>
    <t>m3 world eq</t>
  </si>
  <si>
    <t>MRD</t>
  </si>
  <si>
    <t>material resources: metals/minerals no LT</t>
  </si>
  <si>
    <t>abiotic depletion potential (ADP): elements (ultimate reserves) no LT</t>
  </si>
  <si>
    <t>kg Sb eq</t>
  </si>
  <si>
    <t>FD</t>
  </si>
  <si>
    <t>energy resources: non-renewable no LT</t>
  </si>
  <si>
    <t>abiotic depletion potential (ADP): fossil fuels no LT</t>
  </si>
  <si>
    <t>MJ</t>
  </si>
  <si>
    <t>LU</t>
  </si>
  <si>
    <t>land use no LT</t>
  </si>
  <si>
    <t>soil quality index no LT</t>
  </si>
  <si>
    <t>Dimensionless</t>
  </si>
  <si>
    <t>RU raw cost/price (€)</t>
  </si>
  <si>
    <t xml:space="preserve"> RU assembly cost/price (€)</t>
  </si>
  <si>
    <t>RU disassembly cost/price (€)</t>
  </si>
  <si>
    <t>Power module</t>
  </si>
  <si>
    <t>DC-link capacitor</t>
  </si>
  <si>
    <t>Service life (year)</t>
  </si>
  <si>
    <t>Duration of use of the staircase curve.</t>
  </si>
  <si>
    <t>Annual usage time (hours/year)</t>
  </si>
  <si>
    <t>Operating duration in hours per year for the entire system. This information is linked to the 'Inventory - Use' sheet, where each activity represents the energy consumption per hour of the RUs.</t>
  </si>
  <si>
    <t>Time step (step/year)</t>
  </si>
  <si>
    <t>Time step for the staircase curve; for example, a time step of 1 means that the points on the staircase curve are spaced 1 year apart.</t>
  </si>
  <si>
    <t>Early failure</t>
  </si>
  <si>
    <t>True</t>
  </si>
  <si>
    <t>Modeling of failure: choose 'True' if this type of failure is considered, or 'False' if it is not considered.</t>
  </si>
  <si>
    <t>Random failure</t>
  </si>
  <si>
    <t>Wearout failure</t>
  </si>
  <si>
    <t>Preventive Maintenance</t>
  </si>
  <si>
    <t>Modeling of maintenance of RU: choose 'True' if maintenance is considered, or 'False' if it is not considered.</t>
  </si>
  <si>
    <t>Monte Carlo (number of iteration)</t>
  </si>
  <si>
    <t>Number of iterations for the staircase curve (due to the probabilistic distribution of faults). Note that the staircase curve is calculated deterministically for each iteration, but Monte Carlo iterations allow to determine the distribution of impacts. If you select the number 1, the staircase curve will be presented in a different way.</t>
  </si>
  <si>
    <t>Plot specific env. impact</t>
  </si>
  <si>
    <t>All staircase curves for each impact are displayed on a single plot. However, this number is an option to show the staircase curve for a selected impact on a separate plot. The number corresponds to the impact listed in the 'LCIA' sheet, ranked by the same number.</t>
  </si>
  <si>
    <t>Early failure (beta)</t>
  </si>
  <si>
    <t>Random failure (beta)</t>
  </si>
  <si>
    <t>Wear-out failure (beta)</t>
  </si>
  <si>
    <t>Prev. Maintenance (year)</t>
  </si>
  <si>
    <t>RU1</t>
  </si>
  <si>
    <t>RU2</t>
  </si>
  <si>
    <t>Fault RU1</t>
  </si>
  <si>
    <t>Fault RU2</t>
  </si>
  <si>
    <t>The tool models the failure of a Replacement Unit (RU) across three life stages: the 'Early' phase (associated with design or manufacturing issues that were not adequately controlled), the 'Random' phase (where failures occur randomly), and the 'Wear-out' phase (resulting from wear and tear). This sheet allows you to specify the parameters necessary to create failure functions (probability distributions) for the RUs. The probability distribution used to model failures is Weibull, characterized by two parameters: β (the shape parameter) and σ (the scale parameter - in years). Failures during the early phase have β &lt; 1, random failures have β = 1, and wear-out failures have β &gt; 1.
Maintenance (year) defines the preventive maintenance time for each RU.</t>
  </si>
  <si>
    <t>Early failure (sigma, year)</t>
  </si>
  <si>
    <t>Random failure (sigma, year)</t>
  </si>
  <si>
    <t>Wear-out failure (sigma, year)</t>
  </si>
  <si>
    <t>ecoinvent 3.9.1_cutoff_ecoSpold02</t>
  </si>
  <si>
    <t>quantity</t>
  </si>
  <si>
    <t>scaling factor</t>
  </si>
  <si>
    <t>Electricity cost (€/kWh)</t>
  </si>
  <si>
    <t>/Users/username/Downloads/ecoinvent 3.9.1_cutoff_ecoSpold02/datasets</t>
  </si>
  <si>
    <t>/Users/username/filepath</t>
  </si>
  <si>
    <t>The tool allows to model the economic impact of the maintenance by providing a cost/price staircase curve through the inputs below provided by the user.
Depending on the target, either the cost or price values can be used. 
The manufacturing cost/price of the system is the sum of the RU raw cost/price. During maintenance, for the concerned RU(s), the maintenance cost is the sum of the RU raw cost/price, of the RU assembly cost/price and of the RU disassembly cost/price.</t>
  </si>
  <si>
    <t>The tool allows models the diagnosis associated with the system, specifically detailing the replacement scenarios when a fault occurs. This includes identifying what components are replaced within the system, To achieve this, this sheet constructs the Replacement Matrix (RM). The numbers in the matrix represent the probability to replace each RU when a specific RU fails, with values ranging from 0 to 1. Row indices represent faults in a specific RU (e.g., Fault RU1), while column indices represent the RUs to be replaced (e.g., RU1). To clarify, consider an example with 2 RUs, resulting in a 2x2 matrix. In this example, if the value in the first row, first column (Fault RU1 ; RU1) is 1, and the value in the first row, second column (Fault RU1 ; RU2) is 0.6, this means that when a fault occurs in RU1, there is 100% probability of replacing RU1 and 60% probabilitu of replacing RU2 according to the diagnosis.</t>
  </si>
  <si>
    <r>
      <rPr>
        <b/>
        <sz val="14"/>
        <color theme="1"/>
        <rFont val="Calibri"/>
        <family val="2"/>
      </rPr>
      <t xml:space="preserve">GNU LESSER GENERAL PUBLIC LICENSE
Version 3, 29 June 2007
</t>
    </r>
    <r>
      <rPr>
        <sz val="11"/>
        <color theme="1"/>
        <rFont val="Calibri"/>
        <family val="2"/>
        <charset val="1"/>
      </rPr>
      <t xml:space="preserve">
 Copyright (C) 2007 Free Software Foundation, Inc. &lt;https://fsf.org/&gt;
 Everyone is permitted to copy and distribute verbatim copies
 of this license document, but changing it is not allowed.
 This version of the GNU Lesser General Public License incorporates
the terms and conditions of version 3 of the GNU General Public
License, supplemented by the additional permissions listed below.
</t>
    </r>
    <r>
      <rPr>
        <b/>
        <sz val="11"/>
        <color theme="1"/>
        <rFont val="Calibri"/>
        <family val="2"/>
      </rPr>
      <t xml:space="preserve"> 0. Additional Definitions.</t>
    </r>
    <r>
      <rPr>
        <sz val="11"/>
        <color theme="1"/>
        <rFont val="Calibri"/>
        <family val="2"/>
        <charset val="1"/>
      </rPr>
      <t xml:space="preserve">
As used herein, "this License" refers to version 3 of the GNU Lesser
General Public License, and the "GNU GPL" refers to version 3 of the GNU
</t>
    </r>
    <r>
      <rPr>
        <i/>
        <sz val="11"/>
        <color theme="1"/>
        <rFont val="Calibri"/>
        <family val="2"/>
      </rPr>
      <t>General Public License.</t>
    </r>
    <r>
      <rPr>
        <sz val="11"/>
        <color theme="1"/>
        <rFont val="Calibri"/>
        <family val="2"/>
        <charset val="1"/>
      </rPr>
      <t xml:space="preserve">
"The Library" refers to a covered work governed by this License,
other than an Application or a Combined Work as defined below.
An "Application" is any work that makes use of an interface provided
by the Library, but which is not otherwise based on the Library.
Defining a subclass of a class defined by the Library is deemed a mode
of using an interface provided by the Library.
A "Combined Work" is a work produced by combining or linking an
Application with the Library.  The particular version of the Library
with which the Combined Work was made is also called the "Linked
Version".
The "Minimal Corresponding Source" for a Combined Work means the
Corresponding Source for the Combined Work, excluding any source code
for portions of the Combined Work that, considered in isolation, are
based on the Application, and not on the Linked Version.
The "Corresponding Application Code" for a Combined Work means the
object code and/or source code for the Application, including any data
and utility programs needed for reproducing the Combined Work from the
Application, but excluding the System Libraries of the Combined Work.
</t>
    </r>
    <r>
      <rPr>
        <b/>
        <sz val="11"/>
        <color theme="1"/>
        <rFont val="Calibri"/>
        <family val="2"/>
      </rPr>
      <t>1. Exception to Section 3 of the GNU GPL.</t>
    </r>
    <r>
      <rPr>
        <sz val="11"/>
        <color theme="1"/>
        <rFont val="Calibri"/>
        <family val="2"/>
        <charset val="1"/>
      </rPr>
      <t xml:space="preserve">
You may convey a covered work under sections 3 and 4 of this License
without being bound by section 3 of the GNU GPL.
</t>
    </r>
    <r>
      <rPr>
        <b/>
        <sz val="11"/>
        <color theme="1"/>
        <rFont val="Calibri"/>
        <family val="2"/>
      </rPr>
      <t>2. Conveying Modified Versions.</t>
    </r>
    <r>
      <rPr>
        <sz val="11"/>
        <color theme="1"/>
        <rFont val="Calibri"/>
        <family val="2"/>
        <charset val="1"/>
      </rPr>
      <t xml:space="preserve">
If you modify a copy of the Library, and, in your modifications, a
facility refers to a function or data to be supplied by an Application
that uses the facility (other than as an argument passed when the
facility is invoked), then you may convey a copy of the modified
version:
   a) under this License, provided that you make a good faith effort to
   ensure that, in the event an Application does not supply the
   function or data, the facility still operates, and performs
   whatever part of its purpose remains meaningful, or
   b) under the GNU GPL, with none of the additional permissions of
   this License applicable to that copy.
</t>
    </r>
    <r>
      <rPr>
        <b/>
        <sz val="11"/>
        <color theme="1"/>
        <rFont val="Calibri"/>
        <family val="2"/>
      </rPr>
      <t>3. Object Code Incorporating Material from Library Header Files.</t>
    </r>
    <r>
      <rPr>
        <sz val="11"/>
        <color theme="1"/>
        <rFont val="Calibri"/>
        <family val="2"/>
        <charset val="1"/>
      </rPr>
      <t xml:space="preserve">
The object code form of an Application may incorporate material from
a header file that is part of the Library.  You may convey such object
code under terms of your choice, provided that, if the incorporated
material is not limited to numerical parameters, data structure
layouts and accessors, or small macros, inline functions and templates
(ten or fewer lines in length), you do both of the following:
   a) Give prominent notice with each copy of the object code that the
   Library is used in it and that the Library and its use are
   covered by this License.
   b) Accompany the object code with a copy of the GNU GPL and this license
   document.
</t>
    </r>
    <r>
      <rPr>
        <b/>
        <sz val="11"/>
        <color theme="1"/>
        <rFont val="Calibri"/>
        <family val="2"/>
      </rPr>
      <t>4. Combined Works.</t>
    </r>
    <r>
      <rPr>
        <sz val="11"/>
        <color theme="1"/>
        <rFont val="Calibri"/>
        <family val="2"/>
        <charset val="1"/>
      </rPr>
      <t xml:space="preserve">
You may convey a Combined Work under terms of your choice that,
taken together, effectively do not restrict modification of the
portions of the Library contained in the Combined Work and reverse
engineering for debugging such modifications, if you also do each of
the following:
   a) Give prominent notice with each copy of the Combined Work that
   the Library is used in it and that the Library and its use are
   covered by this License.
   b) Accompany the Combined Work with a copy of the GNU GPL and this license
   document.
   c) For a Combined Work that displays copyright notices during
   execution, include the copyright notice for the Library among
   these notices, as well as a reference directing the user to the
   copies of the GNU GPL and this license document.
   d) Do one of the following:
       0) Convey the Minimal Corresponding Source under the terms of this
       License, and the Corresponding Application Code in a form
       suitable for, and under terms that permit, the user to
       recombine or relink the Application with a modified version of
       the Linked Version to produce a modified Combined Work, in the
       manner specified by section 6 of the GNU GPL for conveying
       Corresponding Source.
       1) Use a suitable shared library mechanism for linking with the
       Library.  A suitable mechanism is one that (a) uses at run time
       a copy of the Library already present on the user's computer
       system, and (b) will operate properly with a modified version
       of the Library that is interface-compatible with the Linked
       Version.
   e) Provide Installation Information, but only if you would otherwise
   be required to provide such information under section 6 of the
   GNU GPL, and only to the extent that such information is
   necessary to install and execute a modified version of the
   Combined Work produced by recombining or relinking the
   Application with a modified version of the Linked Version. (If
   you use option 4d0, the Installation Information must accompany
   the Minimal Corresponding Source and Corresponding Application
   Code. If you use option 4d1, you must provide the Installation
   Information in the manner specified by section 6 of the GNU GPL
   for conveying Corresponding Source.)
  5. Combined Libraries.
  You may place library facilities that are a work based on the
Library side by side in a single library together with other library
facilities that are not Applications and are not covered by this
License, and convey such a combined library under terms of your
choice, if you do both of the following:
   a) Accompany the combined library with a copy of the same work based
   on the Library, uncombined with any other library facilities,
   conveyed under the terms of this License.
   b) Give prominent notice with the combined library that part of it
   is a work based on the Library, and explaining where to find the
   accompanying uncombined form of the same work.
  6. Revised Versions of the GNU Lesser General Public License.
  The Free Software Foundation may publish revised and/or new versions
of the GNU Lesser General Public License from time to time. Such new
versions will be similar in spirit to the present version, but may
differ in detail to address new problems or concerns.
  Each version is given a distinguishing version number. If the
Library as you received it specifies that a certain numbered version
of the GNU Lesser General Public License "or any later version"
applies to it, you have the option of following the terms and
conditions either of that published version or of any later version
published by the Free Software Foundation. If the Library as you
received it does not specify a version number of the GNU Lesser
General Public License, you may choose any version of the GNU Lesser
General Public License ever published by the Free Software Foundation.
If the Library as you received it specifies that a proxy can decide
whether future versions of the GNU Lesser General Public License shall
apply, that proxy's public statement of acceptance of any version is
permanent authorization for you to choose that version for the
Library.</t>
    </r>
  </si>
  <si>
    <t>Data ingested by Brightway to calculate the imapcts</t>
  </si>
  <si>
    <t>TEXT</t>
  </si>
  <si>
    <t>Must be modified by the user before running the simulation</t>
  </si>
  <si>
    <t>User-editable values</t>
  </si>
  <si>
    <t>LEGEND Excel</t>
  </si>
  <si>
    <t>https://github.com/merce-fra/PELCA</t>
  </si>
  <si>
    <t>V1.4.0</t>
  </si>
  <si>
    <t>Version</t>
  </si>
  <si>
    <t>A RU (Reference Unit) can include multiple units. For example:
- RU: 4 NP-type capacitors
- Unit: 1 NP-type capacitor
The exchange flows for each RU are defined based on a single unit.
If the RU consists of N units, this is indicated in the 'scaling factor' column of the last row by N. This cell shows that the flows defined for a single unit (in the column 'quantity') represent 1/N of the flows for the total RU. Therefore, the flows for the total RU correspond to N times the flows of a single unit. Example: the RU is a power switch embedding 4 power dice in parallel --&gt; the listed exchanges corresponds to the flows for the manufacturing of 1 power die ; the cell of column D ('scaling factor'), last row indicates 4 ; the cell of column E ('amount'), last row automatically indicates 1/N = 0,25 ; this means that the amounts of all the listed flows will be divided by 0,25 (i.e. multiplied by 4) when computing the manufacturing impacts of this 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</si>
</sst>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 %"/>
  </numFmts>
  <fonts count="20" x14ac:knownFonts="1">
    <font>
      <sz val="11"/>
      <color theme="1"/>
      <name val="Calibri"/>
      <family val="2"/>
      <charset val="1"/>
    </font>
    <font>
      <b/>
      <sz val="12"/>
      <color theme="1"/>
      <name val="Calibri"/>
      <family val="2"/>
      <charset val="1"/>
    </font>
    <font>
      <sz val="11"/>
      <name val="Calibri"/>
      <family val="2"/>
      <charset val="1"/>
    </font>
    <font>
      <i/>
      <sz val="11"/>
      <color theme="1"/>
      <name val="Calibri"/>
      <family val="2"/>
      <charset val="1"/>
    </font>
    <font>
      <b/>
      <i/>
      <sz val="11"/>
      <color theme="1" tint="0.49977111117893003"/>
      <name val="Calibri"/>
      <family val="2"/>
      <charset val="1"/>
    </font>
    <font>
      <i/>
      <sz val="11"/>
      <color rgb="FF7F7F7F"/>
      <name val="Calibri"/>
      <family val="2"/>
      <charset val="1"/>
    </font>
    <font>
      <sz val="11"/>
      <color theme="1"/>
      <name val="Calibri"/>
      <family val="2"/>
    </font>
    <font>
      <u/>
      <sz val="11"/>
      <color theme="10"/>
      <name val="Calibri"/>
      <family val="2"/>
      <charset val="1"/>
    </font>
    <font>
      <sz val="11"/>
      <color theme="1"/>
      <name val="Calibri"/>
      <family val="2"/>
      <charset val="1"/>
    </font>
    <font>
      <u/>
      <sz val="11"/>
      <color theme="10"/>
      <name val="Calibri"/>
      <family val="2"/>
      <scheme val="minor"/>
    </font>
    <font>
      <sz val="8"/>
      <name val="Calibri"/>
      <family val="2"/>
      <charset val="1"/>
    </font>
    <font>
      <b/>
      <sz val="12"/>
      <color rgb="FF333333"/>
      <name val="Calibri"/>
      <family val="2"/>
    </font>
    <font>
      <sz val="11"/>
      <name val="Calibri"/>
      <family val="2"/>
    </font>
    <font>
      <sz val="11"/>
      <color rgb="FFC00000"/>
      <name val="Calibri"/>
      <family val="2"/>
      <charset val="1"/>
    </font>
    <font>
      <sz val="11"/>
      <color rgb="FFC00000"/>
      <name val="Calibri"/>
      <family val="2"/>
    </font>
    <font>
      <i/>
      <sz val="11"/>
      <color rgb="FF808080"/>
      <name val="Calibri"/>
      <family val="2"/>
    </font>
    <font>
      <b/>
      <sz val="14"/>
      <color theme="1"/>
      <name val="Calibri"/>
      <family val="2"/>
    </font>
    <font>
      <b/>
      <sz val="11"/>
      <color theme="1"/>
      <name val="Calibri"/>
      <family val="2"/>
    </font>
    <font>
      <i/>
      <sz val="11"/>
      <color theme="1"/>
      <name val="Calibri"/>
      <family val="2"/>
    </font>
    <font>
      <i/>
      <sz val="14"/>
      <color theme="1"/>
      <name val="Calibri"/>
      <family val="2"/>
    </font>
  </fonts>
  <fills count="14">
    <fill>
      <patternFill patternType="none"/>
    </fill>
    <fill>
      <patternFill patternType="gray125"/>
    </fill>
    <fill>
      <patternFill patternType="solid">
        <fgColor theme="0"/>
        <bgColor rgb="FFF2F2F2"/>
      </patternFill>
    </fill>
    <fill>
      <patternFill patternType="solid">
        <fgColor theme="0" tint="-0.14999847407452621"/>
        <bgColor rgb="FFD0CECE"/>
      </patternFill>
    </fill>
    <fill>
      <patternFill patternType="solid">
        <fgColor rgb="FFFF0000"/>
        <bgColor rgb="FF993300"/>
      </patternFill>
    </fill>
    <fill>
      <patternFill patternType="solid">
        <fgColor rgb="FFFFC000"/>
        <bgColor rgb="FFFF9900"/>
      </patternFill>
    </fill>
    <fill>
      <patternFill patternType="solid">
        <fgColor theme="2" tint="-0.249977111117893"/>
        <bgColor rgb="FFBFBFBF"/>
      </patternFill>
    </fill>
    <fill>
      <patternFill patternType="solid">
        <fgColor theme="2" tint="-9.9978637043366805E-2"/>
        <bgColor rgb="FFD9D9D9"/>
      </patternFill>
    </fill>
    <fill>
      <patternFill patternType="solid">
        <fgColor rgb="FFC0C0C0"/>
        <bgColor rgb="FFBFBFBF"/>
      </patternFill>
    </fill>
    <fill>
      <patternFill patternType="solid">
        <fgColor theme="7"/>
        <bgColor rgb="FFF2F2F2"/>
      </patternFill>
    </fill>
    <fill>
      <patternFill patternType="solid">
        <fgColor theme="7"/>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s>
  <borders count="1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s>
  <cellStyleXfs count="4">
    <xf numFmtId="0" fontId="0" fillId="0" borderId="0"/>
    <xf numFmtId="165" fontId="8" fillId="0" borderId="0" applyBorder="0" applyProtection="0"/>
    <xf numFmtId="0" fontId="7" fillId="0" borderId="0" applyBorder="0" applyProtection="0"/>
    <xf numFmtId="0" fontId="5" fillId="0" borderId="0" applyBorder="0" applyProtection="0"/>
  </cellStyleXfs>
  <cellXfs count="103">
    <xf numFmtId="0" fontId="0" fillId="0" borderId="0" xfId="0"/>
    <xf numFmtId="0" fontId="1" fillId="0" borderId="0" xfId="0" applyFont="1"/>
    <xf numFmtId="0" fontId="0" fillId="2" borderId="1" xfId="0" applyFill="1" applyBorder="1"/>
    <xf numFmtId="164" fontId="0" fillId="0" borderId="0" xfId="0" applyNumberFormat="1" applyAlignment="1">
      <alignment horizontal="center"/>
    </xf>
    <xf numFmtId="0" fontId="0" fillId="0" borderId="0" xfId="0" applyAlignment="1">
      <alignment horizontal="center"/>
    </xf>
    <xf numFmtId="0" fontId="0" fillId="2" borderId="0" xfId="0" applyFill="1"/>
    <xf numFmtId="0" fontId="3" fillId="0" borderId="0" xfId="0" applyFont="1"/>
    <xf numFmtId="0" fontId="3" fillId="0" borderId="0" xfId="0" applyFont="1" applyAlignment="1">
      <alignment horizontal="left"/>
    </xf>
    <xf numFmtId="11" fontId="0" fillId="0" borderId="0" xfId="0" applyNumberFormat="1" applyAlignment="1">
      <alignment horizontal="center"/>
    </xf>
    <xf numFmtId="0" fontId="4" fillId="0" borderId="2" xfId="3" applyFont="1" applyBorder="1" applyAlignment="1" applyProtection="1">
      <alignment wrapText="1"/>
    </xf>
    <xf numFmtId="0" fontId="0" fillId="3" borderId="3" xfId="0" applyFill="1" applyBorder="1" applyAlignment="1">
      <alignment horizontal="left"/>
    </xf>
    <xf numFmtId="0" fontId="6" fillId="4" borderId="4" xfId="0" applyFont="1" applyFill="1" applyBorder="1" applyAlignment="1">
      <alignment horizontal="left"/>
    </xf>
    <xf numFmtId="0" fontId="5" fillId="0" borderId="5" xfId="3" applyBorder="1" applyAlignment="1" applyProtection="1">
      <alignment wrapText="1"/>
    </xf>
    <xf numFmtId="0" fontId="5" fillId="0" borderId="3" xfId="3" applyBorder="1" applyAlignment="1" applyProtection="1">
      <alignment wrapText="1"/>
    </xf>
    <xf numFmtId="0" fontId="0" fillId="4" borderId="4" xfId="0" applyFill="1" applyBorder="1" applyAlignment="1">
      <alignment horizontal="left"/>
    </xf>
    <xf numFmtId="0" fontId="0" fillId="5" borderId="4" xfId="0" applyFill="1" applyBorder="1" applyAlignment="1">
      <alignment horizontal="left"/>
    </xf>
    <xf numFmtId="0" fontId="0" fillId="6" borderId="3" xfId="0" applyFill="1" applyBorder="1"/>
    <xf numFmtId="0" fontId="0" fillId="5" borderId="3" xfId="0" applyFill="1" applyBorder="1"/>
    <xf numFmtId="0" fontId="0" fillId="5" borderId="3" xfId="0" applyFill="1" applyBorder="1" applyAlignment="1">
      <alignment wrapText="1"/>
    </xf>
    <xf numFmtId="0" fontId="0" fillId="0" borderId="3" xfId="0" applyBorder="1"/>
    <xf numFmtId="0" fontId="0" fillId="7" borderId="3" xfId="0" applyFill="1" applyBorder="1"/>
    <xf numFmtId="0" fontId="4" fillId="0" borderId="0" xfId="3" applyFont="1" applyBorder="1" applyAlignment="1" applyProtection="1">
      <alignment wrapText="1"/>
    </xf>
    <xf numFmtId="0" fontId="0" fillId="3" borderId="3" xfId="0" applyFill="1" applyBorder="1"/>
    <xf numFmtId="0" fontId="0" fillId="5" borderId="4" xfId="0" applyFill="1" applyBorder="1" applyAlignment="1">
      <alignment horizontal="right"/>
    </xf>
    <xf numFmtId="0" fontId="5" fillId="0" borderId="3" xfId="3" applyBorder="1" applyProtection="1"/>
    <xf numFmtId="0" fontId="0" fillId="0" borderId="0" xfId="0" applyAlignment="1">
      <alignment horizontal="right"/>
    </xf>
    <xf numFmtId="0" fontId="0" fillId="5" borderId="3" xfId="0" applyFill="1" applyBorder="1" applyAlignment="1">
      <alignment horizontal="right"/>
    </xf>
    <xf numFmtId="0" fontId="0" fillId="5" borderId="4" xfId="0" applyFill="1" applyBorder="1"/>
    <xf numFmtId="0" fontId="4" fillId="0" borderId="3" xfId="3" applyFont="1" applyBorder="1" applyAlignment="1" applyProtection="1">
      <alignment wrapText="1"/>
    </xf>
    <xf numFmtId="0" fontId="5" fillId="0" borderId="0" xfId="3" applyBorder="1" applyAlignment="1" applyProtection="1">
      <alignment horizontal="left" wrapText="1"/>
    </xf>
    <xf numFmtId="0" fontId="0" fillId="8" borderId="3" xfId="0" applyFill="1" applyBorder="1"/>
    <xf numFmtId="165" fontId="0" fillId="5" borderId="3" xfId="1" applyFont="1" applyFill="1" applyBorder="1" applyProtection="1"/>
    <xf numFmtId="0" fontId="5" fillId="0" borderId="0" xfId="3" applyBorder="1" applyAlignment="1" applyProtection="1">
      <alignment wrapText="1"/>
    </xf>
    <xf numFmtId="0" fontId="4" fillId="0" borderId="3" xfId="3" applyFont="1" applyBorder="1" applyAlignment="1" applyProtection="1">
      <alignment vertical="center" wrapText="1"/>
    </xf>
    <xf numFmtId="0" fontId="9" fillId="4" borderId="4" xfId="2" applyFont="1" applyFill="1" applyBorder="1" applyAlignment="1" applyProtection="1">
      <alignment horizontal="left"/>
    </xf>
    <xf numFmtId="0" fontId="1" fillId="0" borderId="3" xfId="0" applyFont="1" applyBorder="1"/>
    <xf numFmtId="0" fontId="0" fillId="2" borderId="3" xfId="0" applyFill="1" applyBorder="1"/>
    <xf numFmtId="0" fontId="0" fillId="9" borderId="3" xfId="0" applyFill="1" applyBorder="1"/>
    <xf numFmtId="0" fontId="0" fillId="10" borderId="3" xfId="0" applyFill="1" applyBorder="1"/>
    <xf numFmtId="0" fontId="1" fillId="10" borderId="3" xfId="0" applyFont="1" applyFill="1" applyBorder="1"/>
    <xf numFmtId="164" fontId="0" fillId="9" borderId="3" xfId="0" applyNumberFormat="1" applyFill="1" applyBorder="1" applyAlignment="1">
      <alignment horizontal="center"/>
    </xf>
    <xf numFmtId="0" fontId="0" fillId="9" borderId="3" xfId="0" applyFill="1" applyBorder="1" applyAlignment="1">
      <alignment horizontal="center"/>
    </xf>
    <xf numFmtId="164" fontId="2" fillId="9" borderId="3" xfId="0" applyNumberFormat="1" applyFont="1" applyFill="1" applyBorder="1" applyAlignment="1">
      <alignment horizontal="center"/>
    </xf>
    <xf numFmtId="164" fontId="0" fillId="10" borderId="3" xfId="0" applyNumberFormat="1" applyFill="1" applyBorder="1" applyAlignment="1">
      <alignment horizontal="center"/>
    </xf>
    <xf numFmtId="0" fontId="0" fillId="10" borderId="3" xfId="0" applyFill="1" applyBorder="1" applyAlignment="1">
      <alignment horizontal="center"/>
    </xf>
    <xf numFmtId="164" fontId="2" fillId="10" borderId="3" xfId="0" applyNumberFormat="1" applyFont="1" applyFill="1" applyBorder="1" applyAlignment="1">
      <alignment horizontal="center"/>
    </xf>
    <xf numFmtId="164" fontId="0" fillId="10" borderId="3" xfId="0" applyNumberFormat="1" applyFill="1" applyBorder="1" applyAlignment="1">
      <alignment horizontal="center" vertical="center"/>
    </xf>
    <xf numFmtId="0" fontId="0" fillId="2" borderId="3" xfId="0" applyFill="1" applyBorder="1" applyAlignment="1">
      <alignment horizontal="right"/>
    </xf>
    <xf numFmtId="0" fontId="11" fillId="0" borderId="3" xfId="0" applyFont="1" applyBorder="1"/>
    <xf numFmtId="0" fontId="0" fillId="10" borderId="3" xfId="0" applyFill="1" applyBorder="1" applyAlignment="1">
      <alignment horizontal="right"/>
    </xf>
    <xf numFmtId="0" fontId="2" fillId="10" borderId="3" xfId="0" applyFont="1" applyFill="1" applyBorder="1"/>
    <xf numFmtId="0" fontId="2" fillId="0" borderId="3" xfId="0" applyFont="1" applyBorder="1"/>
    <xf numFmtId="0" fontId="12" fillId="10" borderId="3" xfId="0" applyFont="1" applyFill="1" applyBorder="1"/>
    <xf numFmtId="0" fontId="12" fillId="9" borderId="3" xfId="0" applyFont="1" applyFill="1" applyBorder="1"/>
    <xf numFmtId="0" fontId="12" fillId="0" borderId="3" xfId="0" applyFont="1" applyBorder="1"/>
    <xf numFmtId="0" fontId="13" fillId="10" borderId="3" xfId="0" applyFont="1" applyFill="1" applyBorder="1"/>
    <xf numFmtId="0" fontId="13" fillId="9" borderId="3" xfId="0" applyFont="1" applyFill="1" applyBorder="1"/>
    <xf numFmtId="0" fontId="13" fillId="2" borderId="3" xfId="0" applyFont="1" applyFill="1" applyBorder="1"/>
    <xf numFmtId="11" fontId="13" fillId="0" borderId="3" xfId="0" applyNumberFormat="1" applyFont="1" applyBorder="1"/>
    <xf numFmtId="0" fontId="14" fillId="9" borderId="3" xfId="0" applyFont="1" applyFill="1" applyBorder="1"/>
    <xf numFmtId="0" fontId="14" fillId="10" borderId="3" xfId="0" applyFont="1" applyFill="1" applyBorder="1"/>
    <xf numFmtId="0" fontId="14" fillId="2" borderId="3" xfId="0" applyFont="1" applyFill="1" applyBorder="1"/>
    <xf numFmtId="0" fontId="14" fillId="0" borderId="3" xfId="0" applyFont="1" applyBorder="1"/>
    <xf numFmtId="0" fontId="13" fillId="0" borderId="3" xfId="0" applyFont="1" applyBorder="1"/>
    <xf numFmtId="0" fontId="0" fillId="0" borderId="8" xfId="0" applyBorder="1"/>
    <xf numFmtId="0" fontId="0" fillId="0" borderId="9" xfId="0" applyBorder="1"/>
    <xf numFmtId="0" fontId="18" fillId="0" borderId="9" xfId="0" applyFont="1" applyBorder="1"/>
    <xf numFmtId="0" fontId="13" fillId="0" borderId="10" xfId="0" applyFont="1" applyBorder="1" applyAlignment="1">
      <alignment horizontal="center"/>
    </xf>
    <xf numFmtId="0" fontId="0" fillId="0" borderId="11" xfId="0" applyBorder="1"/>
    <xf numFmtId="0" fontId="0" fillId="0" borderId="12" xfId="0" applyBorder="1"/>
    <xf numFmtId="0" fontId="18" fillId="0" borderId="0" xfId="0" applyFont="1"/>
    <xf numFmtId="0" fontId="0" fillId="11" borderId="12" xfId="0" applyFill="1" applyBorder="1"/>
    <xf numFmtId="0" fontId="0" fillId="10" borderId="12" xfId="0" applyFill="1" applyBorder="1"/>
    <xf numFmtId="0" fontId="0" fillId="0" borderId="16" xfId="0" applyBorder="1"/>
    <xf numFmtId="0" fontId="7" fillId="0" borderId="16" xfId="2" applyBorder="1"/>
    <xf numFmtId="0" fontId="19" fillId="13" borderId="8" xfId="0" applyFont="1" applyFill="1" applyBorder="1"/>
    <xf numFmtId="0" fontId="16" fillId="13" borderId="9" xfId="0" applyFont="1" applyFill="1" applyBorder="1"/>
    <xf numFmtId="0" fontId="0" fillId="13" borderId="9" xfId="0" applyFill="1" applyBorder="1"/>
    <xf numFmtId="0" fontId="0" fillId="13" borderId="10" xfId="0" applyFill="1" applyBorder="1"/>
    <xf numFmtId="0" fontId="0" fillId="13" borderId="11" xfId="0" applyFill="1" applyBorder="1"/>
    <xf numFmtId="0" fontId="0" fillId="13" borderId="0" xfId="0" applyFill="1"/>
    <xf numFmtId="0" fontId="0" fillId="13" borderId="12" xfId="0" applyFill="1" applyBorder="1"/>
    <xf numFmtId="0" fontId="0" fillId="13" borderId="13" xfId="0" applyFill="1" applyBorder="1"/>
    <xf numFmtId="0" fontId="0" fillId="13" borderId="14" xfId="0" applyFill="1" applyBorder="1"/>
    <xf numFmtId="0" fontId="0" fillId="13" borderId="15" xfId="0" applyFill="1" applyBorder="1"/>
    <xf numFmtId="0" fontId="17" fillId="12" borderId="15" xfId="0" applyFont="1" applyFill="1" applyBorder="1" applyAlignment="1">
      <alignment horizontal="center"/>
    </xf>
    <xf numFmtId="0" fontId="17" fillId="12" borderId="14" xfId="0" applyFont="1" applyFill="1" applyBorder="1" applyAlignment="1">
      <alignment horizontal="center"/>
    </xf>
    <xf numFmtId="0" fontId="17" fillId="12" borderId="13" xfId="0" applyFont="1" applyFill="1" applyBorder="1" applyAlignment="1">
      <alignment horizontal="center"/>
    </xf>
    <xf numFmtId="0" fontId="6" fillId="0" borderId="15" xfId="0" applyFont="1" applyBorder="1" applyAlignment="1">
      <alignment horizontal="center" vertical="top" wrapText="1"/>
    </xf>
    <xf numFmtId="0" fontId="6" fillId="0" borderId="14" xfId="0" applyFont="1" applyBorder="1" applyAlignment="1">
      <alignment horizontal="center" vertical="top" wrapText="1"/>
    </xf>
    <xf numFmtId="0" fontId="6" fillId="0" borderId="13" xfId="0" applyFont="1" applyBorder="1" applyAlignment="1">
      <alignment horizontal="center" vertical="top" wrapText="1"/>
    </xf>
    <xf numFmtId="0" fontId="6" fillId="0" borderId="12" xfId="0" applyFont="1" applyBorder="1" applyAlignment="1">
      <alignment horizontal="center" vertical="top" wrapText="1"/>
    </xf>
    <xf numFmtId="0" fontId="6" fillId="0" borderId="0" xfId="0" applyFont="1" applyAlignment="1">
      <alignment horizontal="center" vertical="top" wrapText="1"/>
    </xf>
    <xf numFmtId="0" fontId="6" fillId="0" borderId="11" xfId="0" applyFont="1" applyBorder="1" applyAlignment="1">
      <alignment horizontal="center" vertical="top" wrapText="1"/>
    </xf>
    <xf numFmtId="0" fontId="6" fillId="0" borderId="10" xfId="0" applyFont="1" applyBorder="1" applyAlignment="1">
      <alignment horizontal="center" vertical="top" wrapText="1"/>
    </xf>
    <xf numFmtId="0" fontId="6" fillId="0" borderId="9" xfId="0" applyFont="1" applyBorder="1" applyAlignment="1">
      <alignment horizontal="center" vertical="top" wrapText="1"/>
    </xf>
    <xf numFmtId="0" fontId="6" fillId="0" borderId="8" xfId="0" applyFont="1" applyBorder="1" applyAlignment="1">
      <alignment horizontal="center" vertical="top" wrapText="1"/>
    </xf>
    <xf numFmtId="0" fontId="15" fillId="0" borderId="3" xfId="3" applyFont="1" applyBorder="1" applyAlignment="1" applyProtection="1">
      <alignment horizontal="left" vertical="top" wrapText="1"/>
    </xf>
    <xf numFmtId="0" fontId="15" fillId="0" borderId="3" xfId="3" applyFont="1" applyBorder="1" applyAlignment="1" applyProtection="1">
      <alignment horizontal="left" vertical="center" wrapText="1"/>
    </xf>
    <xf numFmtId="0" fontId="5" fillId="0" borderId="3" xfId="3" applyBorder="1" applyAlignment="1" applyProtection="1">
      <alignment horizontal="left" vertical="center" wrapText="1"/>
    </xf>
    <xf numFmtId="0" fontId="15" fillId="0" borderId="4" xfId="3" applyFont="1" applyBorder="1" applyAlignment="1" applyProtection="1">
      <alignment horizontal="left" vertical="top" wrapText="1"/>
    </xf>
    <xf numFmtId="0" fontId="15" fillId="0" borderId="7" xfId="3" applyFont="1" applyBorder="1" applyAlignment="1" applyProtection="1">
      <alignment horizontal="left" vertical="top" wrapText="1"/>
    </xf>
    <xf numFmtId="0" fontId="15" fillId="0" borderId="6" xfId="3" applyFont="1" applyBorder="1" applyAlignment="1" applyProtection="1">
      <alignment horizontal="left" vertical="top" wrapText="1"/>
    </xf>
  </cellXfs>
  <cellStyles count="4">
    <cellStyle name="Excel Built-in Explanatory Text" xfId="3" xr:uid="{00000000-0005-0000-0000-000006000000}"/>
    <cellStyle name="Lien hypertexte" xfId="2" builtinId="8"/>
    <cellStyle name="Normal" xfId="0" builtinId="0"/>
    <cellStyle name="Pourcentage"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F99"/>
      <rgbColor rgb="FFBFBFBF"/>
      <rgbColor rgb="FFFF99CC"/>
      <rgbColor rgb="FFCC99FF"/>
      <rgbColor rgb="FFFFCC99"/>
      <rgbColor rgb="FF3366FF"/>
      <rgbColor rgb="FF33CCCC"/>
      <rgbColor rgb="FF99CC00"/>
      <rgbColor rgb="FFFFC000"/>
      <rgbColor rgb="FFFF9900"/>
      <rgbColor rgb="FFFF6600"/>
      <rgbColor rgb="FF666699"/>
      <rgbColor rgb="FFAFABAB"/>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418352</xdr:colOff>
      <xdr:row>1</xdr:row>
      <xdr:rowOff>18573</xdr:rowOff>
    </xdr:from>
    <xdr:ext cx="5053377" cy="1568790"/>
    <xdr:pic>
      <xdr:nvPicPr>
        <xdr:cNvPr id="2" name="Image 1" descr="Staircase Curve">
          <a:extLst>
            <a:ext uri="{FF2B5EF4-FFF2-40B4-BE49-F238E27FC236}">
              <a16:creationId xmlns:a16="http://schemas.microsoft.com/office/drawing/2014/main" id="{B9D401E0-552C-CC4E-A4BF-997E1E0AD9A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403"/>
        <a:stretch>
          <a:fillRect/>
        </a:stretch>
      </xdr:blipFill>
      <xdr:spPr bwMode="auto">
        <a:xfrm>
          <a:off x="1243852" y="209073"/>
          <a:ext cx="5053377" cy="15687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homaslesaulnier/Downloads/inputExample_v1.3.0_PowerModuleAndCapacitor_N.xlsx" TargetMode="External"/><Relationship Id="rId1" Type="http://schemas.openxmlformats.org/officeDocument/2006/relationships/externalLinkPath" Target="/Users/thomaslesaulnier/Downloads/inputExample_v1.3.0_PowerModuleAndCapacitor_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entory - Manufacturing"/>
    </sheetNames>
    <sheetDataSet>
      <sheetData sheetId="0" refreshError="1"/>
    </sheetDataSet>
  </externalBook>
</externalLink>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merce-fra/PEL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4F3D1-0EB9-8C41-BB7E-1EE1EF91469E}">
  <dimension ref="A1:H187"/>
  <sheetViews>
    <sheetView topLeftCell="A3" zoomScale="162" workbookViewId="0">
      <selection activeCell="D13" sqref="D13"/>
    </sheetView>
  </sheetViews>
  <sheetFormatPr baseColWidth="10" defaultRowHeight="14.4" x14ac:dyDescent="0.3"/>
  <sheetData>
    <row r="1" spans="1:8" ht="15" thickBot="1" x14ac:dyDescent="0.35">
      <c r="A1" t="s">
        <v>100</v>
      </c>
    </row>
    <row r="2" spans="1:8" x14ac:dyDescent="0.3">
      <c r="B2" s="84"/>
      <c r="C2" s="83"/>
      <c r="D2" s="83"/>
      <c r="E2" s="83"/>
      <c r="F2" s="83"/>
      <c r="G2" s="83"/>
      <c r="H2" s="82"/>
    </row>
    <row r="3" spans="1:8" x14ac:dyDescent="0.3">
      <c r="B3" s="81"/>
      <c r="C3" s="80"/>
      <c r="D3" s="80"/>
      <c r="E3" s="80"/>
      <c r="F3" s="80"/>
      <c r="G3" s="80"/>
      <c r="H3" s="79"/>
    </row>
    <row r="4" spans="1:8" x14ac:dyDescent="0.3">
      <c r="B4" s="81"/>
      <c r="C4" s="80"/>
      <c r="D4" s="80"/>
      <c r="E4" s="80"/>
      <c r="F4" s="80"/>
      <c r="G4" s="80"/>
      <c r="H4" s="79"/>
    </row>
    <row r="5" spans="1:8" x14ac:dyDescent="0.3">
      <c r="B5" s="81"/>
      <c r="C5" s="80"/>
      <c r="D5" s="80"/>
      <c r="E5" s="80"/>
      <c r="F5" s="80"/>
      <c r="G5" s="80"/>
      <c r="H5" s="79"/>
    </row>
    <row r="6" spans="1:8" x14ac:dyDescent="0.3">
      <c r="B6" s="81"/>
      <c r="C6" s="80"/>
      <c r="D6" s="80"/>
      <c r="E6" s="80"/>
      <c r="F6" s="80"/>
      <c r="G6" s="80"/>
      <c r="H6" s="79"/>
    </row>
    <row r="7" spans="1:8" x14ac:dyDescent="0.3">
      <c r="B7" s="81"/>
      <c r="C7" s="80"/>
      <c r="D7" s="80"/>
      <c r="E7" s="80"/>
      <c r="F7" s="80"/>
      <c r="G7" s="80"/>
      <c r="H7" s="79"/>
    </row>
    <row r="8" spans="1:8" x14ac:dyDescent="0.3">
      <c r="B8" s="81"/>
      <c r="C8" s="80"/>
      <c r="D8" s="80"/>
      <c r="E8" s="80"/>
      <c r="F8" s="80"/>
      <c r="G8" s="80"/>
      <c r="H8" s="79"/>
    </row>
    <row r="9" spans="1:8" x14ac:dyDescent="0.3">
      <c r="B9" s="81"/>
      <c r="C9" s="80"/>
      <c r="D9" s="80"/>
      <c r="E9" s="80"/>
      <c r="F9" s="80"/>
      <c r="G9" s="80"/>
      <c r="H9" s="79"/>
    </row>
    <row r="10" spans="1:8" ht="18.600000000000001" thickBot="1" x14ac:dyDescent="0.4">
      <c r="B10" s="78"/>
      <c r="C10" s="77"/>
      <c r="D10" s="77"/>
      <c r="E10" s="77"/>
      <c r="F10" s="77"/>
      <c r="G10" s="76" t="s">
        <v>236</v>
      </c>
      <c r="H10" s="75" t="s">
        <v>235</v>
      </c>
    </row>
    <row r="11" spans="1:8" ht="15" thickBot="1" x14ac:dyDescent="0.35">
      <c r="F11" s="74" t="s">
        <v>234</v>
      </c>
      <c r="G11" s="73"/>
      <c r="H11" s="73"/>
    </row>
    <row r="12" spans="1:8" x14ac:dyDescent="0.3">
      <c r="B12" s="85" t="s">
        <v>233</v>
      </c>
      <c r="C12" s="86"/>
      <c r="D12" s="86"/>
      <c r="E12" s="86"/>
      <c r="F12" s="86"/>
      <c r="G12" s="86"/>
      <c r="H12" s="87"/>
    </row>
    <row r="13" spans="1:8" x14ac:dyDescent="0.3">
      <c r="B13" s="69"/>
      <c r="H13" s="68"/>
    </row>
    <row r="14" spans="1:8" x14ac:dyDescent="0.3">
      <c r="B14" s="72"/>
      <c r="C14" s="70" t="s">
        <v>232</v>
      </c>
      <c r="H14" s="68"/>
    </row>
    <row r="15" spans="1:8" x14ac:dyDescent="0.3">
      <c r="B15" s="69"/>
      <c r="H15" s="68"/>
    </row>
    <row r="16" spans="1:8" x14ac:dyDescent="0.3">
      <c r="B16" s="71"/>
      <c r="C16" s="70" t="s">
        <v>231</v>
      </c>
      <c r="H16" s="68"/>
    </row>
    <row r="17" spans="2:8" x14ac:dyDescent="0.3">
      <c r="B17" s="69"/>
      <c r="H17" s="68"/>
    </row>
    <row r="18" spans="2:8" ht="15" thickBot="1" x14ac:dyDescent="0.35">
      <c r="B18" s="67" t="s">
        <v>230</v>
      </c>
      <c r="C18" s="66" t="s">
        <v>229</v>
      </c>
      <c r="D18" s="65"/>
      <c r="E18" s="65"/>
      <c r="F18" s="65"/>
      <c r="G18" s="65"/>
      <c r="H18" s="64"/>
    </row>
    <row r="19" spans="2:8" ht="15" thickBot="1" x14ac:dyDescent="0.35"/>
    <row r="20" spans="2:8" ht="15" customHeight="1" x14ac:dyDescent="0.3">
      <c r="B20" s="88" t="s">
        <v>228</v>
      </c>
      <c r="C20" s="89"/>
      <c r="D20" s="89"/>
      <c r="E20" s="89"/>
      <c r="F20" s="89"/>
      <c r="G20" s="89"/>
      <c r="H20" s="90"/>
    </row>
    <row r="21" spans="2:8" x14ac:dyDescent="0.3">
      <c r="B21" s="91"/>
      <c r="C21" s="92"/>
      <c r="D21" s="92"/>
      <c r="E21" s="92"/>
      <c r="F21" s="92"/>
      <c r="G21" s="92"/>
      <c r="H21" s="93"/>
    </row>
    <row r="22" spans="2:8" x14ac:dyDescent="0.3">
      <c r="B22" s="91"/>
      <c r="C22" s="92"/>
      <c r="D22" s="92"/>
      <c r="E22" s="92"/>
      <c r="F22" s="92"/>
      <c r="G22" s="92"/>
      <c r="H22" s="93"/>
    </row>
    <row r="23" spans="2:8" x14ac:dyDescent="0.3">
      <c r="B23" s="91"/>
      <c r="C23" s="92"/>
      <c r="D23" s="92"/>
      <c r="E23" s="92"/>
      <c r="F23" s="92"/>
      <c r="G23" s="92"/>
      <c r="H23" s="93"/>
    </row>
    <row r="24" spans="2:8" x14ac:dyDescent="0.3">
      <c r="B24" s="91"/>
      <c r="C24" s="92"/>
      <c r="D24" s="92"/>
      <c r="E24" s="92"/>
      <c r="F24" s="92"/>
      <c r="G24" s="92"/>
      <c r="H24" s="93"/>
    </row>
    <row r="25" spans="2:8" x14ac:dyDescent="0.3">
      <c r="B25" s="91"/>
      <c r="C25" s="92"/>
      <c r="D25" s="92"/>
      <c r="E25" s="92"/>
      <c r="F25" s="92"/>
      <c r="G25" s="92"/>
      <c r="H25" s="93"/>
    </row>
    <row r="26" spans="2:8" x14ac:dyDescent="0.3">
      <c r="B26" s="91"/>
      <c r="C26" s="92"/>
      <c r="D26" s="92"/>
      <c r="E26" s="92"/>
      <c r="F26" s="92"/>
      <c r="G26" s="92"/>
      <c r="H26" s="93"/>
    </row>
    <row r="27" spans="2:8" x14ac:dyDescent="0.3">
      <c r="B27" s="91"/>
      <c r="C27" s="92"/>
      <c r="D27" s="92"/>
      <c r="E27" s="92"/>
      <c r="F27" s="92"/>
      <c r="G27" s="92"/>
      <c r="H27" s="93"/>
    </row>
    <row r="28" spans="2:8" x14ac:dyDescent="0.3">
      <c r="B28" s="91"/>
      <c r="C28" s="92"/>
      <c r="D28" s="92"/>
      <c r="E28" s="92"/>
      <c r="F28" s="92"/>
      <c r="G28" s="92"/>
      <c r="H28" s="93"/>
    </row>
    <row r="29" spans="2:8" x14ac:dyDescent="0.3">
      <c r="B29" s="91"/>
      <c r="C29" s="92"/>
      <c r="D29" s="92"/>
      <c r="E29" s="92"/>
      <c r="F29" s="92"/>
      <c r="G29" s="92"/>
      <c r="H29" s="93"/>
    </row>
    <row r="30" spans="2:8" x14ac:dyDescent="0.3">
      <c r="B30" s="91"/>
      <c r="C30" s="92"/>
      <c r="D30" s="92"/>
      <c r="E30" s="92"/>
      <c r="F30" s="92"/>
      <c r="G30" s="92"/>
      <c r="H30" s="93"/>
    </row>
    <row r="31" spans="2:8" x14ac:dyDescent="0.3">
      <c r="B31" s="91"/>
      <c r="C31" s="92"/>
      <c r="D31" s="92"/>
      <c r="E31" s="92"/>
      <c r="F31" s="92"/>
      <c r="G31" s="92"/>
      <c r="H31" s="93"/>
    </row>
    <row r="32" spans="2:8" x14ac:dyDescent="0.3">
      <c r="B32" s="91"/>
      <c r="C32" s="92"/>
      <c r="D32" s="92"/>
      <c r="E32" s="92"/>
      <c r="F32" s="92"/>
      <c r="G32" s="92"/>
      <c r="H32" s="93"/>
    </row>
    <row r="33" spans="2:8" x14ac:dyDescent="0.3">
      <c r="B33" s="91"/>
      <c r="C33" s="92"/>
      <c r="D33" s="92"/>
      <c r="E33" s="92"/>
      <c r="F33" s="92"/>
      <c r="G33" s="92"/>
      <c r="H33" s="93"/>
    </row>
    <row r="34" spans="2:8" x14ac:dyDescent="0.3">
      <c r="B34" s="91"/>
      <c r="C34" s="92"/>
      <c r="D34" s="92"/>
      <c r="E34" s="92"/>
      <c r="F34" s="92"/>
      <c r="G34" s="92"/>
      <c r="H34" s="93"/>
    </row>
    <row r="35" spans="2:8" x14ac:dyDescent="0.3">
      <c r="B35" s="91"/>
      <c r="C35" s="92"/>
      <c r="D35" s="92"/>
      <c r="E35" s="92"/>
      <c r="F35" s="92"/>
      <c r="G35" s="92"/>
      <c r="H35" s="93"/>
    </row>
    <row r="36" spans="2:8" x14ac:dyDescent="0.3">
      <c r="B36" s="91"/>
      <c r="C36" s="92"/>
      <c r="D36" s="92"/>
      <c r="E36" s="92"/>
      <c r="F36" s="92"/>
      <c r="G36" s="92"/>
      <c r="H36" s="93"/>
    </row>
    <row r="37" spans="2:8" x14ac:dyDescent="0.3">
      <c r="B37" s="91"/>
      <c r="C37" s="92"/>
      <c r="D37" s="92"/>
      <c r="E37" s="92"/>
      <c r="F37" s="92"/>
      <c r="G37" s="92"/>
      <c r="H37" s="93"/>
    </row>
    <row r="38" spans="2:8" x14ac:dyDescent="0.3">
      <c r="B38" s="91"/>
      <c r="C38" s="92"/>
      <c r="D38" s="92"/>
      <c r="E38" s="92"/>
      <c r="F38" s="92"/>
      <c r="G38" s="92"/>
      <c r="H38" s="93"/>
    </row>
    <row r="39" spans="2:8" x14ac:dyDescent="0.3">
      <c r="B39" s="91"/>
      <c r="C39" s="92"/>
      <c r="D39" s="92"/>
      <c r="E39" s="92"/>
      <c r="F39" s="92"/>
      <c r="G39" s="92"/>
      <c r="H39" s="93"/>
    </row>
    <row r="40" spans="2:8" x14ac:dyDescent="0.3">
      <c r="B40" s="91"/>
      <c r="C40" s="92"/>
      <c r="D40" s="92"/>
      <c r="E40" s="92"/>
      <c r="F40" s="92"/>
      <c r="G40" s="92"/>
      <c r="H40" s="93"/>
    </row>
    <row r="41" spans="2:8" x14ac:dyDescent="0.3">
      <c r="B41" s="91"/>
      <c r="C41" s="92"/>
      <c r="D41" s="92"/>
      <c r="E41" s="92"/>
      <c r="F41" s="92"/>
      <c r="G41" s="92"/>
      <c r="H41" s="93"/>
    </row>
    <row r="42" spans="2:8" x14ac:dyDescent="0.3">
      <c r="B42" s="91"/>
      <c r="C42" s="92"/>
      <c r="D42" s="92"/>
      <c r="E42" s="92"/>
      <c r="F42" s="92"/>
      <c r="G42" s="92"/>
      <c r="H42" s="93"/>
    </row>
    <row r="43" spans="2:8" x14ac:dyDescent="0.3">
      <c r="B43" s="91"/>
      <c r="C43" s="92"/>
      <c r="D43" s="92"/>
      <c r="E43" s="92"/>
      <c r="F43" s="92"/>
      <c r="G43" s="92"/>
      <c r="H43" s="93"/>
    </row>
    <row r="44" spans="2:8" x14ac:dyDescent="0.3">
      <c r="B44" s="91"/>
      <c r="C44" s="92"/>
      <c r="D44" s="92"/>
      <c r="E44" s="92"/>
      <c r="F44" s="92"/>
      <c r="G44" s="92"/>
      <c r="H44" s="93"/>
    </row>
    <row r="45" spans="2:8" x14ac:dyDescent="0.3">
      <c r="B45" s="91"/>
      <c r="C45" s="92"/>
      <c r="D45" s="92"/>
      <c r="E45" s="92"/>
      <c r="F45" s="92"/>
      <c r="G45" s="92"/>
      <c r="H45" s="93"/>
    </row>
    <row r="46" spans="2:8" x14ac:dyDescent="0.3">
      <c r="B46" s="91"/>
      <c r="C46" s="92"/>
      <c r="D46" s="92"/>
      <c r="E46" s="92"/>
      <c r="F46" s="92"/>
      <c r="G46" s="92"/>
      <c r="H46" s="93"/>
    </row>
    <row r="47" spans="2:8" x14ac:dyDescent="0.3">
      <c r="B47" s="91"/>
      <c r="C47" s="92"/>
      <c r="D47" s="92"/>
      <c r="E47" s="92"/>
      <c r="F47" s="92"/>
      <c r="G47" s="92"/>
      <c r="H47" s="93"/>
    </row>
    <row r="48" spans="2:8" x14ac:dyDescent="0.3">
      <c r="B48" s="91"/>
      <c r="C48" s="92"/>
      <c r="D48" s="92"/>
      <c r="E48" s="92"/>
      <c r="F48" s="92"/>
      <c r="G48" s="92"/>
      <c r="H48" s="93"/>
    </row>
    <row r="49" spans="2:8" x14ac:dyDescent="0.3">
      <c r="B49" s="91"/>
      <c r="C49" s="92"/>
      <c r="D49" s="92"/>
      <c r="E49" s="92"/>
      <c r="F49" s="92"/>
      <c r="G49" s="92"/>
      <c r="H49" s="93"/>
    </row>
    <row r="50" spans="2:8" x14ac:dyDescent="0.3">
      <c r="B50" s="91"/>
      <c r="C50" s="92"/>
      <c r="D50" s="92"/>
      <c r="E50" s="92"/>
      <c r="F50" s="92"/>
      <c r="G50" s="92"/>
      <c r="H50" s="93"/>
    </row>
    <row r="51" spans="2:8" x14ac:dyDescent="0.3">
      <c r="B51" s="91"/>
      <c r="C51" s="92"/>
      <c r="D51" s="92"/>
      <c r="E51" s="92"/>
      <c r="F51" s="92"/>
      <c r="G51" s="92"/>
      <c r="H51" s="93"/>
    </row>
    <row r="52" spans="2:8" x14ac:dyDescent="0.3">
      <c r="B52" s="91"/>
      <c r="C52" s="92"/>
      <c r="D52" s="92"/>
      <c r="E52" s="92"/>
      <c r="F52" s="92"/>
      <c r="G52" s="92"/>
      <c r="H52" s="93"/>
    </row>
    <row r="53" spans="2:8" x14ac:dyDescent="0.3">
      <c r="B53" s="91"/>
      <c r="C53" s="92"/>
      <c r="D53" s="92"/>
      <c r="E53" s="92"/>
      <c r="F53" s="92"/>
      <c r="G53" s="92"/>
      <c r="H53" s="93"/>
    </row>
    <row r="54" spans="2:8" x14ac:dyDescent="0.3">
      <c r="B54" s="91"/>
      <c r="C54" s="92"/>
      <c r="D54" s="92"/>
      <c r="E54" s="92"/>
      <c r="F54" s="92"/>
      <c r="G54" s="92"/>
      <c r="H54" s="93"/>
    </row>
    <row r="55" spans="2:8" x14ac:dyDescent="0.3">
      <c r="B55" s="91"/>
      <c r="C55" s="92"/>
      <c r="D55" s="92"/>
      <c r="E55" s="92"/>
      <c r="F55" s="92"/>
      <c r="G55" s="92"/>
      <c r="H55" s="93"/>
    </row>
    <row r="56" spans="2:8" x14ac:dyDescent="0.3">
      <c r="B56" s="91"/>
      <c r="C56" s="92"/>
      <c r="D56" s="92"/>
      <c r="E56" s="92"/>
      <c r="F56" s="92"/>
      <c r="G56" s="92"/>
      <c r="H56" s="93"/>
    </row>
    <row r="57" spans="2:8" x14ac:dyDescent="0.3">
      <c r="B57" s="91"/>
      <c r="C57" s="92"/>
      <c r="D57" s="92"/>
      <c r="E57" s="92"/>
      <c r="F57" s="92"/>
      <c r="G57" s="92"/>
      <c r="H57" s="93"/>
    </row>
    <row r="58" spans="2:8" x14ac:dyDescent="0.3">
      <c r="B58" s="91"/>
      <c r="C58" s="92"/>
      <c r="D58" s="92"/>
      <c r="E58" s="92"/>
      <c r="F58" s="92"/>
      <c r="G58" s="92"/>
      <c r="H58" s="93"/>
    </row>
    <row r="59" spans="2:8" x14ac:dyDescent="0.3">
      <c r="B59" s="91"/>
      <c r="C59" s="92"/>
      <c r="D59" s="92"/>
      <c r="E59" s="92"/>
      <c r="F59" s="92"/>
      <c r="G59" s="92"/>
      <c r="H59" s="93"/>
    </row>
    <row r="60" spans="2:8" x14ac:dyDescent="0.3">
      <c r="B60" s="91"/>
      <c r="C60" s="92"/>
      <c r="D60" s="92"/>
      <c r="E60" s="92"/>
      <c r="F60" s="92"/>
      <c r="G60" s="92"/>
      <c r="H60" s="93"/>
    </row>
    <row r="61" spans="2:8" x14ac:dyDescent="0.3">
      <c r="B61" s="91"/>
      <c r="C61" s="92"/>
      <c r="D61" s="92"/>
      <c r="E61" s="92"/>
      <c r="F61" s="92"/>
      <c r="G61" s="92"/>
      <c r="H61" s="93"/>
    </row>
    <row r="62" spans="2:8" x14ac:dyDescent="0.3">
      <c r="B62" s="91"/>
      <c r="C62" s="92"/>
      <c r="D62" s="92"/>
      <c r="E62" s="92"/>
      <c r="F62" s="92"/>
      <c r="G62" s="92"/>
      <c r="H62" s="93"/>
    </row>
    <row r="63" spans="2:8" x14ac:dyDescent="0.3">
      <c r="B63" s="91"/>
      <c r="C63" s="92"/>
      <c r="D63" s="92"/>
      <c r="E63" s="92"/>
      <c r="F63" s="92"/>
      <c r="G63" s="92"/>
      <c r="H63" s="93"/>
    </row>
    <row r="64" spans="2:8" x14ac:dyDescent="0.3">
      <c r="B64" s="91"/>
      <c r="C64" s="92"/>
      <c r="D64" s="92"/>
      <c r="E64" s="92"/>
      <c r="F64" s="92"/>
      <c r="G64" s="92"/>
      <c r="H64" s="93"/>
    </row>
    <row r="65" spans="2:8" x14ac:dyDescent="0.3">
      <c r="B65" s="91"/>
      <c r="C65" s="92"/>
      <c r="D65" s="92"/>
      <c r="E65" s="92"/>
      <c r="F65" s="92"/>
      <c r="G65" s="92"/>
      <c r="H65" s="93"/>
    </row>
    <row r="66" spans="2:8" x14ac:dyDescent="0.3">
      <c r="B66" s="91"/>
      <c r="C66" s="92"/>
      <c r="D66" s="92"/>
      <c r="E66" s="92"/>
      <c r="F66" s="92"/>
      <c r="G66" s="92"/>
      <c r="H66" s="93"/>
    </row>
    <row r="67" spans="2:8" x14ac:dyDescent="0.3">
      <c r="B67" s="91"/>
      <c r="C67" s="92"/>
      <c r="D67" s="92"/>
      <c r="E67" s="92"/>
      <c r="F67" s="92"/>
      <c r="G67" s="92"/>
      <c r="H67" s="93"/>
    </row>
    <row r="68" spans="2:8" x14ac:dyDescent="0.3">
      <c r="B68" s="91"/>
      <c r="C68" s="92"/>
      <c r="D68" s="92"/>
      <c r="E68" s="92"/>
      <c r="F68" s="92"/>
      <c r="G68" s="92"/>
      <c r="H68" s="93"/>
    </row>
    <row r="69" spans="2:8" x14ac:dyDescent="0.3">
      <c r="B69" s="91"/>
      <c r="C69" s="92"/>
      <c r="D69" s="92"/>
      <c r="E69" s="92"/>
      <c r="F69" s="92"/>
      <c r="G69" s="92"/>
      <c r="H69" s="93"/>
    </row>
    <row r="70" spans="2:8" x14ac:dyDescent="0.3">
      <c r="B70" s="91"/>
      <c r="C70" s="92"/>
      <c r="D70" s="92"/>
      <c r="E70" s="92"/>
      <c r="F70" s="92"/>
      <c r="G70" s="92"/>
      <c r="H70" s="93"/>
    </row>
    <row r="71" spans="2:8" x14ac:dyDescent="0.3">
      <c r="B71" s="91"/>
      <c r="C71" s="92"/>
      <c r="D71" s="92"/>
      <c r="E71" s="92"/>
      <c r="F71" s="92"/>
      <c r="G71" s="92"/>
      <c r="H71" s="93"/>
    </row>
    <row r="72" spans="2:8" x14ac:dyDescent="0.3">
      <c r="B72" s="91"/>
      <c r="C72" s="92"/>
      <c r="D72" s="92"/>
      <c r="E72" s="92"/>
      <c r="F72" s="92"/>
      <c r="G72" s="92"/>
      <c r="H72" s="93"/>
    </row>
    <row r="73" spans="2:8" x14ac:dyDescent="0.3">
      <c r="B73" s="91"/>
      <c r="C73" s="92"/>
      <c r="D73" s="92"/>
      <c r="E73" s="92"/>
      <c r="F73" s="92"/>
      <c r="G73" s="92"/>
      <c r="H73" s="93"/>
    </row>
    <row r="74" spans="2:8" x14ac:dyDescent="0.3">
      <c r="B74" s="91"/>
      <c r="C74" s="92"/>
      <c r="D74" s="92"/>
      <c r="E74" s="92"/>
      <c r="F74" s="92"/>
      <c r="G74" s="92"/>
      <c r="H74" s="93"/>
    </row>
    <row r="75" spans="2:8" x14ac:dyDescent="0.3">
      <c r="B75" s="91"/>
      <c r="C75" s="92"/>
      <c r="D75" s="92"/>
      <c r="E75" s="92"/>
      <c r="F75" s="92"/>
      <c r="G75" s="92"/>
      <c r="H75" s="93"/>
    </row>
    <row r="76" spans="2:8" x14ac:dyDescent="0.3">
      <c r="B76" s="91"/>
      <c r="C76" s="92"/>
      <c r="D76" s="92"/>
      <c r="E76" s="92"/>
      <c r="F76" s="92"/>
      <c r="G76" s="92"/>
      <c r="H76" s="93"/>
    </row>
    <row r="77" spans="2:8" x14ac:dyDescent="0.3">
      <c r="B77" s="91"/>
      <c r="C77" s="92"/>
      <c r="D77" s="92"/>
      <c r="E77" s="92"/>
      <c r="F77" s="92"/>
      <c r="G77" s="92"/>
      <c r="H77" s="93"/>
    </row>
    <row r="78" spans="2:8" x14ac:dyDescent="0.3">
      <c r="B78" s="91"/>
      <c r="C78" s="92"/>
      <c r="D78" s="92"/>
      <c r="E78" s="92"/>
      <c r="F78" s="92"/>
      <c r="G78" s="92"/>
      <c r="H78" s="93"/>
    </row>
    <row r="79" spans="2:8" x14ac:dyDescent="0.3">
      <c r="B79" s="91"/>
      <c r="C79" s="92"/>
      <c r="D79" s="92"/>
      <c r="E79" s="92"/>
      <c r="F79" s="92"/>
      <c r="G79" s="92"/>
      <c r="H79" s="93"/>
    </row>
    <row r="80" spans="2:8" x14ac:dyDescent="0.3">
      <c r="B80" s="91"/>
      <c r="C80" s="92"/>
      <c r="D80" s="92"/>
      <c r="E80" s="92"/>
      <c r="F80" s="92"/>
      <c r="G80" s="92"/>
      <c r="H80" s="93"/>
    </row>
    <row r="81" spans="2:8" x14ac:dyDescent="0.3">
      <c r="B81" s="91"/>
      <c r="C81" s="92"/>
      <c r="D81" s="92"/>
      <c r="E81" s="92"/>
      <c r="F81" s="92"/>
      <c r="G81" s="92"/>
      <c r="H81" s="93"/>
    </row>
    <row r="82" spans="2:8" x14ac:dyDescent="0.3">
      <c r="B82" s="91"/>
      <c r="C82" s="92"/>
      <c r="D82" s="92"/>
      <c r="E82" s="92"/>
      <c r="F82" s="92"/>
      <c r="G82" s="92"/>
      <c r="H82" s="93"/>
    </row>
    <row r="83" spans="2:8" x14ac:dyDescent="0.3">
      <c r="B83" s="91"/>
      <c r="C83" s="92"/>
      <c r="D83" s="92"/>
      <c r="E83" s="92"/>
      <c r="F83" s="92"/>
      <c r="G83" s="92"/>
      <c r="H83" s="93"/>
    </row>
    <row r="84" spans="2:8" x14ac:dyDescent="0.3">
      <c r="B84" s="91"/>
      <c r="C84" s="92"/>
      <c r="D84" s="92"/>
      <c r="E84" s="92"/>
      <c r="F84" s="92"/>
      <c r="G84" s="92"/>
      <c r="H84" s="93"/>
    </row>
    <row r="85" spans="2:8" x14ac:dyDescent="0.3">
      <c r="B85" s="91"/>
      <c r="C85" s="92"/>
      <c r="D85" s="92"/>
      <c r="E85" s="92"/>
      <c r="F85" s="92"/>
      <c r="G85" s="92"/>
      <c r="H85" s="93"/>
    </row>
    <row r="86" spans="2:8" x14ac:dyDescent="0.3">
      <c r="B86" s="91"/>
      <c r="C86" s="92"/>
      <c r="D86" s="92"/>
      <c r="E86" s="92"/>
      <c r="F86" s="92"/>
      <c r="G86" s="92"/>
      <c r="H86" s="93"/>
    </row>
    <row r="87" spans="2:8" x14ac:dyDescent="0.3">
      <c r="B87" s="91"/>
      <c r="C87" s="92"/>
      <c r="D87" s="92"/>
      <c r="E87" s="92"/>
      <c r="F87" s="92"/>
      <c r="G87" s="92"/>
      <c r="H87" s="93"/>
    </row>
    <row r="88" spans="2:8" x14ac:dyDescent="0.3">
      <c r="B88" s="91"/>
      <c r="C88" s="92"/>
      <c r="D88" s="92"/>
      <c r="E88" s="92"/>
      <c r="F88" s="92"/>
      <c r="G88" s="92"/>
      <c r="H88" s="93"/>
    </row>
    <row r="89" spans="2:8" x14ac:dyDescent="0.3">
      <c r="B89" s="91"/>
      <c r="C89" s="92"/>
      <c r="D89" s="92"/>
      <c r="E89" s="92"/>
      <c r="F89" s="92"/>
      <c r="G89" s="92"/>
      <c r="H89" s="93"/>
    </row>
    <row r="90" spans="2:8" x14ac:dyDescent="0.3">
      <c r="B90" s="91"/>
      <c r="C90" s="92"/>
      <c r="D90" s="92"/>
      <c r="E90" s="92"/>
      <c r="F90" s="92"/>
      <c r="G90" s="92"/>
      <c r="H90" s="93"/>
    </row>
    <row r="91" spans="2:8" x14ac:dyDescent="0.3">
      <c r="B91" s="91"/>
      <c r="C91" s="92"/>
      <c r="D91" s="92"/>
      <c r="E91" s="92"/>
      <c r="F91" s="92"/>
      <c r="G91" s="92"/>
      <c r="H91" s="93"/>
    </row>
    <row r="92" spans="2:8" x14ac:dyDescent="0.3">
      <c r="B92" s="91"/>
      <c r="C92" s="92"/>
      <c r="D92" s="92"/>
      <c r="E92" s="92"/>
      <c r="F92" s="92"/>
      <c r="G92" s="92"/>
      <c r="H92" s="93"/>
    </row>
    <row r="93" spans="2:8" x14ac:dyDescent="0.3">
      <c r="B93" s="91"/>
      <c r="C93" s="92"/>
      <c r="D93" s="92"/>
      <c r="E93" s="92"/>
      <c r="F93" s="92"/>
      <c r="G93" s="92"/>
      <c r="H93" s="93"/>
    </row>
    <row r="94" spans="2:8" x14ac:dyDescent="0.3">
      <c r="B94" s="91"/>
      <c r="C94" s="92"/>
      <c r="D94" s="92"/>
      <c r="E94" s="92"/>
      <c r="F94" s="92"/>
      <c r="G94" s="92"/>
      <c r="H94" s="93"/>
    </row>
    <row r="95" spans="2:8" x14ac:dyDescent="0.3">
      <c r="B95" s="91"/>
      <c r="C95" s="92"/>
      <c r="D95" s="92"/>
      <c r="E95" s="92"/>
      <c r="F95" s="92"/>
      <c r="G95" s="92"/>
      <c r="H95" s="93"/>
    </row>
    <row r="96" spans="2:8" x14ac:dyDescent="0.3">
      <c r="B96" s="91"/>
      <c r="C96" s="92"/>
      <c r="D96" s="92"/>
      <c r="E96" s="92"/>
      <c r="F96" s="92"/>
      <c r="G96" s="92"/>
      <c r="H96" s="93"/>
    </row>
    <row r="97" spans="2:8" x14ac:dyDescent="0.3">
      <c r="B97" s="91"/>
      <c r="C97" s="92"/>
      <c r="D97" s="92"/>
      <c r="E97" s="92"/>
      <c r="F97" s="92"/>
      <c r="G97" s="92"/>
      <c r="H97" s="93"/>
    </row>
    <row r="98" spans="2:8" x14ac:dyDescent="0.3">
      <c r="B98" s="91"/>
      <c r="C98" s="92"/>
      <c r="D98" s="92"/>
      <c r="E98" s="92"/>
      <c r="F98" s="92"/>
      <c r="G98" s="92"/>
      <c r="H98" s="93"/>
    </row>
    <row r="99" spans="2:8" x14ac:dyDescent="0.3">
      <c r="B99" s="91"/>
      <c r="C99" s="92"/>
      <c r="D99" s="92"/>
      <c r="E99" s="92"/>
      <c r="F99" s="92"/>
      <c r="G99" s="92"/>
      <c r="H99" s="93"/>
    </row>
    <row r="100" spans="2:8" x14ac:dyDescent="0.3">
      <c r="B100" s="91"/>
      <c r="C100" s="92"/>
      <c r="D100" s="92"/>
      <c r="E100" s="92"/>
      <c r="F100" s="92"/>
      <c r="G100" s="92"/>
      <c r="H100" s="93"/>
    </row>
    <row r="101" spans="2:8" x14ac:dyDescent="0.3">
      <c r="B101" s="91"/>
      <c r="C101" s="92"/>
      <c r="D101" s="92"/>
      <c r="E101" s="92"/>
      <c r="F101" s="92"/>
      <c r="G101" s="92"/>
      <c r="H101" s="93"/>
    </row>
    <row r="102" spans="2:8" x14ac:dyDescent="0.3">
      <c r="B102" s="91"/>
      <c r="C102" s="92"/>
      <c r="D102" s="92"/>
      <c r="E102" s="92"/>
      <c r="F102" s="92"/>
      <c r="G102" s="92"/>
      <c r="H102" s="93"/>
    </row>
    <row r="103" spans="2:8" x14ac:dyDescent="0.3">
      <c r="B103" s="91"/>
      <c r="C103" s="92"/>
      <c r="D103" s="92"/>
      <c r="E103" s="92"/>
      <c r="F103" s="92"/>
      <c r="G103" s="92"/>
      <c r="H103" s="93"/>
    </row>
    <row r="104" spans="2:8" x14ac:dyDescent="0.3">
      <c r="B104" s="91"/>
      <c r="C104" s="92"/>
      <c r="D104" s="92"/>
      <c r="E104" s="92"/>
      <c r="F104" s="92"/>
      <c r="G104" s="92"/>
      <c r="H104" s="93"/>
    </row>
    <row r="105" spans="2:8" x14ac:dyDescent="0.3">
      <c r="B105" s="91"/>
      <c r="C105" s="92"/>
      <c r="D105" s="92"/>
      <c r="E105" s="92"/>
      <c r="F105" s="92"/>
      <c r="G105" s="92"/>
      <c r="H105" s="93"/>
    </row>
    <row r="106" spans="2:8" x14ac:dyDescent="0.3">
      <c r="B106" s="91"/>
      <c r="C106" s="92"/>
      <c r="D106" s="92"/>
      <c r="E106" s="92"/>
      <c r="F106" s="92"/>
      <c r="G106" s="92"/>
      <c r="H106" s="93"/>
    </row>
    <row r="107" spans="2:8" x14ac:dyDescent="0.3">
      <c r="B107" s="91"/>
      <c r="C107" s="92"/>
      <c r="D107" s="92"/>
      <c r="E107" s="92"/>
      <c r="F107" s="92"/>
      <c r="G107" s="92"/>
      <c r="H107" s="93"/>
    </row>
    <row r="108" spans="2:8" x14ac:dyDescent="0.3">
      <c r="B108" s="91"/>
      <c r="C108" s="92"/>
      <c r="D108" s="92"/>
      <c r="E108" s="92"/>
      <c r="F108" s="92"/>
      <c r="G108" s="92"/>
      <c r="H108" s="93"/>
    </row>
    <row r="109" spans="2:8" x14ac:dyDescent="0.3">
      <c r="B109" s="91"/>
      <c r="C109" s="92"/>
      <c r="D109" s="92"/>
      <c r="E109" s="92"/>
      <c r="F109" s="92"/>
      <c r="G109" s="92"/>
      <c r="H109" s="93"/>
    </row>
    <row r="110" spans="2:8" x14ac:dyDescent="0.3">
      <c r="B110" s="91"/>
      <c r="C110" s="92"/>
      <c r="D110" s="92"/>
      <c r="E110" s="92"/>
      <c r="F110" s="92"/>
      <c r="G110" s="92"/>
      <c r="H110" s="93"/>
    </row>
    <row r="111" spans="2:8" x14ac:dyDescent="0.3">
      <c r="B111" s="91"/>
      <c r="C111" s="92"/>
      <c r="D111" s="92"/>
      <c r="E111" s="92"/>
      <c r="F111" s="92"/>
      <c r="G111" s="92"/>
      <c r="H111" s="93"/>
    </row>
    <row r="112" spans="2:8" x14ac:dyDescent="0.3">
      <c r="B112" s="91"/>
      <c r="C112" s="92"/>
      <c r="D112" s="92"/>
      <c r="E112" s="92"/>
      <c r="F112" s="92"/>
      <c r="G112" s="92"/>
      <c r="H112" s="93"/>
    </row>
    <row r="113" spans="2:8" x14ac:dyDescent="0.3">
      <c r="B113" s="91"/>
      <c r="C113" s="92"/>
      <c r="D113" s="92"/>
      <c r="E113" s="92"/>
      <c r="F113" s="92"/>
      <c r="G113" s="92"/>
      <c r="H113" s="93"/>
    </row>
    <row r="114" spans="2:8" x14ac:dyDescent="0.3">
      <c r="B114" s="91"/>
      <c r="C114" s="92"/>
      <c r="D114" s="92"/>
      <c r="E114" s="92"/>
      <c r="F114" s="92"/>
      <c r="G114" s="92"/>
      <c r="H114" s="93"/>
    </row>
    <row r="115" spans="2:8" x14ac:dyDescent="0.3">
      <c r="B115" s="91"/>
      <c r="C115" s="92"/>
      <c r="D115" s="92"/>
      <c r="E115" s="92"/>
      <c r="F115" s="92"/>
      <c r="G115" s="92"/>
      <c r="H115" s="93"/>
    </row>
    <row r="116" spans="2:8" x14ac:dyDescent="0.3">
      <c r="B116" s="91"/>
      <c r="C116" s="92"/>
      <c r="D116" s="92"/>
      <c r="E116" s="92"/>
      <c r="F116" s="92"/>
      <c r="G116" s="92"/>
      <c r="H116" s="93"/>
    </row>
    <row r="117" spans="2:8" x14ac:dyDescent="0.3">
      <c r="B117" s="91"/>
      <c r="C117" s="92"/>
      <c r="D117" s="92"/>
      <c r="E117" s="92"/>
      <c r="F117" s="92"/>
      <c r="G117" s="92"/>
      <c r="H117" s="93"/>
    </row>
    <row r="118" spans="2:8" x14ac:dyDescent="0.3">
      <c r="B118" s="91"/>
      <c r="C118" s="92"/>
      <c r="D118" s="92"/>
      <c r="E118" s="92"/>
      <c r="F118" s="92"/>
      <c r="G118" s="92"/>
      <c r="H118" s="93"/>
    </row>
    <row r="119" spans="2:8" x14ac:dyDescent="0.3">
      <c r="B119" s="91"/>
      <c r="C119" s="92"/>
      <c r="D119" s="92"/>
      <c r="E119" s="92"/>
      <c r="F119" s="92"/>
      <c r="G119" s="92"/>
      <c r="H119" s="93"/>
    </row>
    <row r="120" spans="2:8" x14ac:dyDescent="0.3">
      <c r="B120" s="91"/>
      <c r="C120" s="92"/>
      <c r="D120" s="92"/>
      <c r="E120" s="92"/>
      <c r="F120" s="92"/>
      <c r="G120" s="92"/>
      <c r="H120" s="93"/>
    </row>
    <row r="121" spans="2:8" x14ac:dyDescent="0.3">
      <c r="B121" s="91"/>
      <c r="C121" s="92"/>
      <c r="D121" s="92"/>
      <c r="E121" s="92"/>
      <c r="F121" s="92"/>
      <c r="G121" s="92"/>
      <c r="H121" s="93"/>
    </row>
    <row r="122" spans="2:8" x14ac:dyDescent="0.3">
      <c r="B122" s="91"/>
      <c r="C122" s="92"/>
      <c r="D122" s="92"/>
      <c r="E122" s="92"/>
      <c r="F122" s="92"/>
      <c r="G122" s="92"/>
      <c r="H122" s="93"/>
    </row>
    <row r="123" spans="2:8" x14ac:dyDescent="0.3">
      <c r="B123" s="91"/>
      <c r="C123" s="92"/>
      <c r="D123" s="92"/>
      <c r="E123" s="92"/>
      <c r="F123" s="92"/>
      <c r="G123" s="92"/>
      <c r="H123" s="93"/>
    </row>
    <row r="124" spans="2:8" x14ac:dyDescent="0.3">
      <c r="B124" s="91"/>
      <c r="C124" s="92"/>
      <c r="D124" s="92"/>
      <c r="E124" s="92"/>
      <c r="F124" s="92"/>
      <c r="G124" s="92"/>
      <c r="H124" s="93"/>
    </row>
    <row r="125" spans="2:8" x14ac:dyDescent="0.3">
      <c r="B125" s="91"/>
      <c r="C125" s="92"/>
      <c r="D125" s="92"/>
      <c r="E125" s="92"/>
      <c r="F125" s="92"/>
      <c r="G125" s="92"/>
      <c r="H125" s="93"/>
    </row>
    <row r="126" spans="2:8" x14ac:dyDescent="0.3">
      <c r="B126" s="91"/>
      <c r="C126" s="92"/>
      <c r="D126" s="92"/>
      <c r="E126" s="92"/>
      <c r="F126" s="92"/>
      <c r="G126" s="92"/>
      <c r="H126" s="93"/>
    </row>
    <row r="127" spans="2:8" x14ac:dyDescent="0.3">
      <c r="B127" s="91"/>
      <c r="C127" s="92"/>
      <c r="D127" s="92"/>
      <c r="E127" s="92"/>
      <c r="F127" s="92"/>
      <c r="G127" s="92"/>
      <c r="H127" s="93"/>
    </row>
    <row r="128" spans="2:8" x14ac:dyDescent="0.3">
      <c r="B128" s="91"/>
      <c r="C128" s="92"/>
      <c r="D128" s="92"/>
      <c r="E128" s="92"/>
      <c r="F128" s="92"/>
      <c r="G128" s="92"/>
      <c r="H128" s="93"/>
    </row>
    <row r="129" spans="2:8" x14ac:dyDescent="0.3">
      <c r="B129" s="91"/>
      <c r="C129" s="92"/>
      <c r="D129" s="92"/>
      <c r="E129" s="92"/>
      <c r="F129" s="92"/>
      <c r="G129" s="92"/>
      <c r="H129" s="93"/>
    </row>
    <row r="130" spans="2:8" x14ac:dyDescent="0.3">
      <c r="B130" s="91"/>
      <c r="C130" s="92"/>
      <c r="D130" s="92"/>
      <c r="E130" s="92"/>
      <c r="F130" s="92"/>
      <c r="G130" s="92"/>
      <c r="H130" s="93"/>
    </row>
    <row r="131" spans="2:8" x14ac:dyDescent="0.3">
      <c r="B131" s="91"/>
      <c r="C131" s="92"/>
      <c r="D131" s="92"/>
      <c r="E131" s="92"/>
      <c r="F131" s="92"/>
      <c r="G131" s="92"/>
      <c r="H131" s="93"/>
    </row>
    <row r="132" spans="2:8" x14ac:dyDescent="0.3">
      <c r="B132" s="91"/>
      <c r="C132" s="92"/>
      <c r="D132" s="92"/>
      <c r="E132" s="92"/>
      <c r="F132" s="92"/>
      <c r="G132" s="92"/>
      <c r="H132" s="93"/>
    </row>
    <row r="133" spans="2:8" x14ac:dyDescent="0.3">
      <c r="B133" s="91"/>
      <c r="C133" s="92"/>
      <c r="D133" s="92"/>
      <c r="E133" s="92"/>
      <c r="F133" s="92"/>
      <c r="G133" s="92"/>
      <c r="H133" s="93"/>
    </row>
    <row r="134" spans="2:8" x14ac:dyDescent="0.3">
      <c r="B134" s="91"/>
      <c r="C134" s="92"/>
      <c r="D134" s="92"/>
      <c r="E134" s="92"/>
      <c r="F134" s="92"/>
      <c r="G134" s="92"/>
      <c r="H134" s="93"/>
    </row>
    <row r="135" spans="2:8" x14ac:dyDescent="0.3">
      <c r="B135" s="91"/>
      <c r="C135" s="92"/>
      <c r="D135" s="92"/>
      <c r="E135" s="92"/>
      <c r="F135" s="92"/>
      <c r="G135" s="92"/>
      <c r="H135" s="93"/>
    </row>
    <row r="136" spans="2:8" x14ac:dyDescent="0.3">
      <c r="B136" s="91"/>
      <c r="C136" s="92"/>
      <c r="D136" s="92"/>
      <c r="E136" s="92"/>
      <c r="F136" s="92"/>
      <c r="G136" s="92"/>
      <c r="H136" s="93"/>
    </row>
    <row r="137" spans="2:8" x14ac:dyDescent="0.3">
      <c r="B137" s="91"/>
      <c r="C137" s="92"/>
      <c r="D137" s="92"/>
      <c r="E137" s="92"/>
      <c r="F137" s="92"/>
      <c r="G137" s="92"/>
      <c r="H137" s="93"/>
    </row>
    <row r="138" spans="2:8" x14ac:dyDescent="0.3">
      <c r="B138" s="91"/>
      <c r="C138" s="92"/>
      <c r="D138" s="92"/>
      <c r="E138" s="92"/>
      <c r="F138" s="92"/>
      <c r="G138" s="92"/>
      <c r="H138" s="93"/>
    </row>
    <row r="139" spans="2:8" x14ac:dyDescent="0.3">
      <c r="B139" s="91"/>
      <c r="C139" s="92"/>
      <c r="D139" s="92"/>
      <c r="E139" s="92"/>
      <c r="F139" s="92"/>
      <c r="G139" s="92"/>
      <c r="H139" s="93"/>
    </row>
    <row r="140" spans="2:8" x14ac:dyDescent="0.3">
      <c r="B140" s="91"/>
      <c r="C140" s="92"/>
      <c r="D140" s="92"/>
      <c r="E140" s="92"/>
      <c r="F140" s="92"/>
      <c r="G140" s="92"/>
      <c r="H140" s="93"/>
    </row>
    <row r="141" spans="2:8" x14ac:dyDescent="0.3">
      <c r="B141" s="91"/>
      <c r="C141" s="92"/>
      <c r="D141" s="92"/>
      <c r="E141" s="92"/>
      <c r="F141" s="92"/>
      <c r="G141" s="92"/>
      <c r="H141" s="93"/>
    </row>
    <row r="142" spans="2:8" x14ac:dyDescent="0.3">
      <c r="B142" s="91"/>
      <c r="C142" s="92"/>
      <c r="D142" s="92"/>
      <c r="E142" s="92"/>
      <c r="F142" s="92"/>
      <c r="G142" s="92"/>
      <c r="H142" s="93"/>
    </row>
    <row r="143" spans="2:8" x14ac:dyDescent="0.3">
      <c r="B143" s="91"/>
      <c r="C143" s="92"/>
      <c r="D143" s="92"/>
      <c r="E143" s="92"/>
      <c r="F143" s="92"/>
      <c r="G143" s="92"/>
      <c r="H143" s="93"/>
    </row>
    <row r="144" spans="2:8" x14ac:dyDescent="0.3">
      <c r="B144" s="91"/>
      <c r="C144" s="92"/>
      <c r="D144" s="92"/>
      <c r="E144" s="92"/>
      <c r="F144" s="92"/>
      <c r="G144" s="92"/>
      <c r="H144" s="93"/>
    </row>
    <row r="145" spans="2:8" x14ac:dyDescent="0.3">
      <c r="B145" s="91"/>
      <c r="C145" s="92"/>
      <c r="D145" s="92"/>
      <c r="E145" s="92"/>
      <c r="F145" s="92"/>
      <c r="G145" s="92"/>
      <c r="H145" s="93"/>
    </row>
    <row r="146" spans="2:8" x14ac:dyDescent="0.3">
      <c r="B146" s="91"/>
      <c r="C146" s="92"/>
      <c r="D146" s="92"/>
      <c r="E146" s="92"/>
      <c r="F146" s="92"/>
      <c r="G146" s="92"/>
      <c r="H146" s="93"/>
    </row>
    <row r="147" spans="2:8" x14ac:dyDescent="0.3">
      <c r="B147" s="91"/>
      <c r="C147" s="92"/>
      <c r="D147" s="92"/>
      <c r="E147" s="92"/>
      <c r="F147" s="92"/>
      <c r="G147" s="92"/>
      <c r="H147" s="93"/>
    </row>
    <row r="148" spans="2:8" x14ac:dyDescent="0.3">
      <c r="B148" s="91"/>
      <c r="C148" s="92"/>
      <c r="D148" s="92"/>
      <c r="E148" s="92"/>
      <c r="F148" s="92"/>
      <c r="G148" s="92"/>
      <c r="H148" s="93"/>
    </row>
    <row r="149" spans="2:8" x14ac:dyDescent="0.3">
      <c r="B149" s="91"/>
      <c r="C149" s="92"/>
      <c r="D149" s="92"/>
      <c r="E149" s="92"/>
      <c r="F149" s="92"/>
      <c r="G149" s="92"/>
      <c r="H149" s="93"/>
    </row>
    <row r="150" spans="2:8" x14ac:dyDescent="0.3">
      <c r="B150" s="91"/>
      <c r="C150" s="92"/>
      <c r="D150" s="92"/>
      <c r="E150" s="92"/>
      <c r="F150" s="92"/>
      <c r="G150" s="92"/>
      <c r="H150" s="93"/>
    </row>
    <row r="151" spans="2:8" x14ac:dyDescent="0.3">
      <c r="B151" s="91"/>
      <c r="C151" s="92"/>
      <c r="D151" s="92"/>
      <c r="E151" s="92"/>
      <c r="F151" s="92"/>
      <c r="G151" s="92"/>
      <c r="H151" s="93"/>
    </row>
    <row r="152" spans="2:8" x14ac:dyDescent="0.3">
      <c r="B152" s="91"/>
      <c r="C152" s="92"/>
      <c r="D152" s="92"/>
      <c r="E152" s="92"/>
      <c r="F152" s="92"/>
      <c r="G152" s="92"/>
      <c r="H152" s="93"/>
    </row>
    <row r="153" spans="2:8" x14ac:dyDescent="0.3">
      <c r="B153" s="91"/>
      <c r="C153" s="92"/>
      <c r="D153" s="92"/>
      <c r="E153" s="92"/>
      <c r="F153" s="92"/>
      <c r="G153" s="92"/>
      <c r="H153" s="93"/>
    </row>
    <row r="154" spans="2:8" x14ac:dyDescent="0.3">
      <c r="B154" s="91"/>
      <c r="C154" s="92"/>
      <c r="D154" s="92"/>
      <c r="E154" s="92"/>
      <c r="F154" s="92"/>
      <c r="G154" s="92"/>
      <c r="H154" s="93"/>
    </row>
    <row r="155" spans="2:8" x14ac:dyDescent="0.3">
      <c r="B155" s="91"/>
      <c r="C155" s="92"/>
      <c r="D155" s="92"/>
      <c r="E155" s="92"/>
      <c r="F155" s="92"/>
      <c r="G155" s="92"/>
      <c r="H155" s="93"/>
    </row>
    <row r="156" spans="2:8" x14ac:dyDescent="0.3">
      <c r="B156" s="91"/>
      <c r="C156" s="92"/>
      <c r="D156" s="92"/>
      <c r="E156" s="92"/>
      <c r="F156" s="92"/>
      <c r="G156" s="92"/>
      <c r="H156" s="93"/>
    </row>
    <row r="157" spans="2:8" x14ac:dyDescent="0.3">
      <c r="B157" s="91"/>
      <c r="C157" s="92"/>
      <c r="D157" s="92"/>
      <c r="E157" s="92"/>
      <c r="F157" s="92"/>
      <c r="G157" s="92"/>
      <c r="H157" s="93"/>
    </row>
    <row r="158" spans="2:8" x14ac:dyDescent="0.3">
      <c r="B158" s="91"/>
      <c r="C158" s="92"/>
      <c r="D158" s="92"/>
      <c r="E158" s="92"/>
      <c r="F158" s="92"/>
      <c r="G158" s="92"/>
      <c r="H158" s="93"/>
    </row>
    <row r="159" spans="2:8" x14ac:dyDescent="0.3">
      <c r="B159" s="91"/>
      <c r="C159" s="92"/>
      <c r="D159" s="92"/>
      <c r="E159" s="92"/>
      <c r="F159" s="92"/>
      <c r="G159" s="92"/>
      <c r="H159" s="93"/>
    </row>
    <row r="160" spans="2:8" x14ac:dyDescent="0.3">
      <c r="B160" s="91"/>
      <c r="C160" s="92"/>
      <c r="D160" s="92"/>
      <c r="E160" s="92"/>
      <c r="F160" s="92"/>
      <c r="G160" s="92"/>
      <c r="H160" s="93"/>
    </row>
    <row r="161" spans="2:8" x14ac:dyDescent="0.3">
      <c r="B161" s="91"/>
      <c r="C161" s="92"/>
      <c r="D161" s="92"/>
      <c r="E161" s="92"/>
      <c r="F161" s="92"/>
      <c r="G161" s="92"/>
      <c r="H161" s="93"/>
    </row>
    <row r="162" spans="2:8" x14ac:dyDescent="0.3">
      <c r="B162" s="91"/>
      <c r="C162" s="92"/>
      <c r="D162" s="92"/>
      <c r="E162" s="92"/>
      <c r="F162" s="92"/>
      <c r="G162" s="92"/>
      <c r="H162" s="93"/>
    </row>
    <row r="163" spans="2:8" x14ac:dyDescent="0.3">
      <c r="B163" s="91"/>
      <c r="C163" s="92"/>
      <c r="D163" s="92"/>
      <c r="E163" s="92"/>
      <c r="F163" s="92"/>
      <c r="G163" s="92"/>
      <c r="H163" s="93"/>
    </row>
    <row r="164" spans="2:8" x14ac:dyDescent="0.3">
      <c r="B164" s="91"/>
      <c r="C164" s="92"/>
      <c r="D164" s="92"/>
      <c r="E164" s="92"/>
      <c r="F164" s="92"/>
      <c r="G164" s="92"/>
      <c r="H164" s="93"/>
    </row>
    <row r="165" spans="2:8" x14ac:dyDescent="0.3">
      <c r="B165" s="91"/>
      <c r="C165" s="92"/>
      <c r="D165" s="92"/>
      <c r="E165" s="92"/>
      <c r="F165" s="92"/>
      <c r="G165" s="92"/>
      <c r="H165" s="93"/>
    </row>
    <row r="166" spans="2:8" x14ac:dyDescent="0.3">
      <c r="B166" s="91"/>
      <c r="C166" s="92"/>
      <c r="D166" s="92"/>
      <c r="E166" s="92"/>
      <c r="F166" s="92"/>
      <c r="G166" s="92"/>
      <c r="H166" s="93"/>
    </row>
    <row r="167" spans="2:8" x14ac:dyDescent="0.3">
      <c r="B167" s="91"/>
      <c r="C167" s="92"/>
      <c r="D167" s="92"/>
      <c r="E167" s="92"/>
      <c r="F167" s="92"/>
      <c r="G167" s="92"/>
      <c r="H167" s="93"/>
    </row>
    <row r="168" spans="2:8" x14ac:dyDescent="0.3">
      <c r="B168" s="91"/>
      <c r="C168" s="92"/>
      <c r="D168" s="92"/>
      <c r="E168" s="92"/>
      <c r="F168" s="92"/>
      <c r="G168" s="92"/>
      <c r="H168" s="93"/>
    </row>
    <row r="169" spans="2:8" x14ac:dyDescent="0.3">
      <c r="B169" s="91"/>
      <c r="C169" s="92"/>
      <c r="D169" s="92"/>
      <c r="E169" s="92"/>
      <c r="F169" s="92"/>
      <c r="G169" s="92"/>
      <c r="H169" s="93"/>
    </row>
    <row r="170" spans="2:8" x14ac:dyDescent="0.3">
      <c r="B170" s="91"/>
      <c r="C170" s="92"/>
      <c r="D170" s="92"/>
      <c r="E170" s="92"/>
      <c r="F170" s="92"/>
      <c r="G170" s="92"/>
      <c r="H170" s="93"/>
    </row>
    <row r="171" spans="2:8" x14ac:dyDescent="0.3">
      <c r="B171" s="91"/>
      <c r="C171" s="92"/>
      <c r="D171" s="92"/>
      <c r="E171" s="92"/>
      <c r="F171" s="92"/>
      <c r="G171" s="92"/>
      <c r="H171" s="93"/>
    </row>
    <row r="172" spans="2:8" x14ac:dyDescent="0.3">
      <c r="B172" s="91"/>
      <c r="C172" s="92"/>
      <c r="D172" s="92"/>
      <c r="E172" s="92"/>
      <c r="F172" s="92"/>
      <c r="G172" s="92"/>
      <c r="H172" s="93"/>
    </row>
    <row r="173" spans="2:8" x14ac:dyDescent="0.3">
      <c r="B173" s="91"/>
      <c r="C173" s="92"/>
      <c r="D173" s="92"/>
      <c r="E173" s="92"/>
      <c r="F173" s="92"/>
      <c r="G173" s="92"/>
      <c r="H173" s="93"/>
    </row>
    <row r="174" spans="2:8" x14ac:dyDescent="0.3">
      <c r="B174" s="91"/>
      <c r="C174" s="92"/>
      <c r="D174" s="92"/>
      <c r="E174" s="92"/>
      <c r="F174" s="92"/>
      <c r="G174" s="92"/>
      <c r="H174" s="93"/>
    </row>
    <row r="175" spans="2:8" x14ac:dyDescent="0.3">
      <c r="B175" s="91"/>
      <c r="C175" s="92"/>
      <c r="D175" s="92"/>
      <c r="E175" s="92"/>
      <c r="F175" s="92"/>
      <c r="G175" s="92"/>
      <c r="H175" s="93"/>
    </row>
    <row r="176" spans="2:8" x14ac:dyDescent="0.3">
      <c r="B176" s="91"/>
      <c r="C176" s="92"/>
      <c r="D176" s="92"/>
      <c r="E176" s="92"/>
      <c r="F176" s="92"/>
      <c r="G176" s="92"/>
      <c r="H176" s="93"/>
    </row>
    <row r="177" spans="2:8" x14ac:dyDescent="0.3">
      <c r="B177" s="91"/>
      <c r="C177" s="92"/>
      <c r="D177" s="92"/>
      <c r="E177" s="92"/>
      <c r="F177" s="92"/>
      <c r="G177" s="92"/>
      <c r="H177" s="93"/>
    </row>
    <row r="178" spans="2:8" x14ac:dyDescent="0.3">
      <c r="B178" s="91"/>
      <c r="C178" s="92"/>
      <c r="D178" s="92"/>
      <c r="E178" s="92"/>
      <c r="F178" s="92"/>
      <c r="G178" s="92"/>
      <c r="H178" s="93"/>
    </row>
    <row r="179" spans="2:8" x14ac:dyDescent="0.3">
      <c r="B179" s="91"/>
      <c r="C179" s="92"/>
      <c r="D179" s="92"/>
      <c r="E179" s="92"/>
      <c r="F179" s="92"/>
      <c r="G179" s="92"/>
      <c r="H179" s="93"/>
    </row>
    <row r="180" spans="2:8" x14ac:dyDescent="0.3">
      <c r="B180" s="91"/>
      <c r="C180" s="92"/>
      <c r="D180" s="92"/>
      <c r="E180" s="92"/>
      <c r="F180" s="92"/>
      <c r="G180" s="92"/>
      <c r="H180" s="93"/>
    </row>
    <row r="181" spans="2:8" x14ac:dyDescent="0.3">
      <c r="B181" s="91"/>
      <c r="C181" s="92"/>
      <c r="D181" s="92"/>
      <c r="E181" s="92"/>
      <c r="F181" s="92"/>
      <c r="G181" s="92"/>
      <c r="H181" s="93"/>
    </row>
    <row r="182" spans="2:8" x14ac:dyDescent="0.3">
      <c r="B182" s="91"/>
      <c r="C182" s="92"/>
      <c r="D182" s="92"/>
      <c r="E182" s="92"/>
      <c r="F182" s="92"/>
      <c r="G182" s="92"/>
      <c r="H182" s="93"/>
    </row>
    <row r="183" spans="2:8" x14ac:dyDescent="0.3">
      <c r="B183" s="91"/>
      <c r="C183" s="92"/>
      <c r="D183" s="92"/>
      <c r="E183" s="92"/>
      <c r="F183" s="92"/>
      <c r="G183" s="92"/>
      <c r="H183" s="93"/>
    </row>
    <row r="184" spans="2:8" x14ac:dyDescent="0.3">
      <c r="B184" s="91"/>
      <c r="C184" s="92"/>
      <c r="D184" s="92"/>
      <c r="E184" s="92"/>
      <c r="F184" s="92"/>
      <c r="G184" s="92"/>
      <c r="H184" s="93"/>
    </row>
    <row r="185" spans="2:8" x14ac:dyDescent="0.3">
      <c r="B185" s="91"/>
      <c r="C185" s="92"/>
      <c r="D185" s="92"/>
      <c r="E185" s="92"/>
      <c r="F185" s="92"/>
      <c r="G185" s="92"/>
      <c r="H185" s="93"/>
    </row>
    <row r="186" spans="2:8" x14ac:dyDescent="0.3">
      <c r="B186" s="91"/>
      <c r="C186" s="92"/>
      <c r="D186" s="92"/>
      <c r="E186" s="92"/>
      <c r="F186" s="92"/>
      <c r="G186" s="92"/>
      <c r="H186" s="93"/>
    </row>
    <row r="187" spans="2:8" ht="15" thickBot="1" x14ac:dyDescent="0.35">
      <c r="B187" s="94"/>
      <c r="C187" s="95"/>
      <c r="D187" s="95"/>
      <c r="E187" s="95"/>
      <c r="F187" s="95"/>
      <c r="G187" s="95"/>
      <c r="H187" s="96"/>
    </row>
  </sheetData>
  <mergeCells count="2">
    <mergeCell ref="B12:H12"/>
    <mergeCell ref="B20:H187"/>
  </mergeCells>
  <hyperlinks>
    <hyperlink ref="F11" r:id="rId1" xr:uid="{C6B3FDBB-1878-3740-8CFC-3D4E05743E6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1"/>
  <sheetViews>
    <sheetView tabSelected="1" workbookViewId="0">
      <selection activeCell="G5" sqref="G5"/>
    </sheetView>
  </sheetViews>
  <sheetFormatPr baseColWidth="10" defaultColWidth="10.6640625" defaultRowHeight="15.6" x14ac:dyDescent="0.3"/>
  <cols>
    <col min="1" max="1" width="61.21875" bestFit="1" customWidth="1"/>
    <col min="2" max="2" width="21.44140625" bestFit="1" customWidth="1"/>
    <col min="3" max="3" width="12.44140625" bestFit="1" customWidth="1"/>
    <col min="4" max="4" width="13.44140625" bestFit="1" customWidth="1"/>
    <col min="5" max="5" width="11.44140625" customWidth="1"/>
    <col min="6" max="6" width="31.44140625" bestFit="1" customWidth="1"/>
    <col min="7" max="7" width="16.33203125" style="1" customWidth="1"/>
    <col min="8" max="8" width="24.6640625" customWidth="1"/>
    <col min="9" max="9" width="12.77734375" bestFit="1" customWidth="1"/>
    <col min="10" max="13" width="11.44140625" customWidth="1"/>
  </cols>
  <sheetData>
    <row r="1" spans="1:13" ht="135.6" customHeight="1" x14ac:dyDescent="0.3">
      <c r="A1" s="28" t="s">
        <v>101</v>
      </c>
      <c r="B1" s="97" t="s">
        <v>237</v>
      </c>
      <c r="C1" s="97"/>
      <c r="D1" s="97"/>
      <c r="E1" s="97"/>
      <c r="F1" s="97"/>
      <c r="G1" s="97"/>
      <c r="H1" s="97"/>
    </row>
    <row r="2" spans="1:13" x14ac:dyDescent="0.3">
      <c r="A2" s="1" t="s">
        <v>0</v>
      </c>
      <c r="B2" t="s">
        <v>1</v>
      </c>
    </row>
    <row r="4" spans="1:13" x14ac:dyDescent="0.3">
      <c r="A4" s="1" t="s">
        <v>2</v>
      </c>
      <c r="B4" s="1" t="s">
        <v>3</v>
      </c>
    </row>
    <row r="5" spans="1:13" x14ac:dyDescent="0.3">
      <c r="A5" t="s">
        <v>4</v>
      </c>
      <c r="B5" s="2" t="s">
        <v>5</v>
      </c>
    </row>
    <row r="6" spans="1:13" x14ac:dyDescent="0.3">
      <c r="A6" t="s">
        <v>6</v>
      </c>
      <c r="B6" t="s">
        <v>7</v>
      </c>
    </row>
    <row r="7" spans="1:13" x14ac:dyDescent="0.3">
      <c r="A7" t="s">
        <v>8</v>
      </c>
      <c r="B7">
        <f>1</f>
        <v>1</v>
      </c>
    </row>
    <row r="8" spans="1:13" x14ac:dyDescent="0.3">
      <c r="A8" t="s">
        <v>9</v>
      </c>
      <c r="B8" t="s">
        <v>10</v>
      </c>
    </row>
    <row r="9" spans="1:13" x14ac:dyDescent="0.3">
      <c r="A9" t="s">
        <v>11</v>
      </c>
      <c r="B9" t="s">
        <v>12</v>
      </c>
    </row>
    <row r="10" spans="1:13" x14ac:dyDescent="0.3">
      <c r="A10" t="s">
        <v>13</v>
      </c>
      <c r="B10" t="s">
        <v>13</v>
      </c>
    </row>
    <row r="11" spans="1:13" x14ac:dyDescent="0.3">
      <c r="A11" s="1" t="s">
        <v>14</v>
      </c>
    </row>
    <row r="12" spans="1:13" x14ac:dyDescent="0.3">
      <c r="A12" s="35" t="s">
        <v>15</v>
      </c>
      <c r="B12" s="35" t="s">
        <v>221</v>
      </c>
      <c r="C12" s="35" t="s">
        <v>13</v>
      </c>
      <c r="D12" s="48" t="s">
        <v>222</v>
      </c>
      <c r="E12" s="35" t="s">
        <v>16</v>
      </c>
      <c r="F12" s="35" t="s">
        <v>17</v>
      </c>
      <c r="G12" s="35" t="s">
        <v>18</v>
      </c>
      <c r="H12" s="35" t="s">
        <v>6</v>
      </c>
      <c r="I12" s="35" t="s">
        <v>11</v>
      </c>
      <c r="J12" s="35" t="s">
        <v>19</v>
      </c>
      <c r="K12" s="35" t="s">
        <v>20</v>
      </c>
      <c r="L12" s="35" t="s">
        <v>21</v>
      </c>
      <c r="M12" s="35" t="s">
        <v>22</v>
      </c>
    </row>
    <row r="13" spans="1:13" x14ac:dyDescent="0.3">
      <c r="A13" s="59" t="s">
        <v>23</v>
      </c>
      <c r="B13" s="52">
        <v>8.9999999999999998E-4</v>
      </c>
      <c r="C13" s="59" t="s">
        <v>24</v>
      </c>
      <c r="D13" s="37">
        <v>1</v>
      </c>
      <c r="E13" s="62">
        <f>B13*D13</f>
        <v>8.9999999999999998E-4</v>
      </c>
      <c r="F13" s="59" t="s">
        <v>220</v>
      </c>
      <c r="G13" s="39" t="s">
        <v>5</v>
      </c>
      <c r="H13" s="59" t="s">
        <v>7</v>
      </c>
      <c r="I13" s="59" t="s">
        <v>25</v>
      </c>
      <c r="J13" s="37">
        <v>2</v>
      </c>
      <c r="K13" s="37">
        <f>LN(E13)</f>
        <v>-7.0131157946399636</v>
      </c>
      <c r="L13" s="38">
        <f>SQRT(LN(M13))</f>
        <v>0.21213203435597125</v>
      </c>
      <c r="M13" s="37">
        <v>1.04602785990872</v>
      </c>
    </row>
    <row r="14" spans="1:13" x14ac:dyDescent="0.3">
      <c r="A14" s="59" t="s">
        <v>26</v>
      </c>
      <c r="B14" s="52">
        <v>2.27415730337079E-4</v>
      </c>
      <c r="C14" s="59" t="s">
        <v>27</v>
      </c>
      <c r="D14" s="37">
        <v>1</v>
      </c>
      <c r="E14" s="62">
        <f t="shared" ref="E14:E77" si="0">B14*D14</f>
        <v>2.27415730337079E-4</v>
      </c>
      <c r="F14" s="59" t="s">
        <v>220</v>
      </c>
      <c r="G14" s="39" t="s">
        <v>5</v>
      </c>
      <c r="H14" s="59" t="s">
        <v>7</v>
      </c>
      <c r="I14" s="59" t="s">
        <v>25</v>
      </c>
      <c r="J14" s="37">
        <v>2</v>
      </c>
      <c r="K14" s="37">
        <f>LN(E14)</f>
        <v>-8.3887308042950099</v>
      </c>
      <c r="L14" s="40">
        <f>SQRT(LN(M14))</f>
        <v>0.2762638007636416</v>
      </c>
      <c r="M14" s="40">
        <v>1.0793097188846901</v>
      </c>
    </row>
    <row r="15" spans="1:13" x14ac:dyDescent="0.3">
      <c r="A15" s="59" t="s">
        <v>28</v>
      </c>
      <c r="B15" s="52">
        <v>8.5449999999999998E-2</v>
      </c>
      <c r="C15" s="59" t="s">
        <v>27</v>
      </c>
      <c r="D15" s="37">
        <v>1</v>
      </c>
      <c r="E15" s="62">
        <f t="shared" si="0"/>
        <v>8.5449999999999998E-2</v>
      </c>
      <c r="F15" s="59" t="s">
        <v>220</v>
      </c>
      <c r="G15" s="39" t="s">
        <v>5</v>
      </c>
      <c r="H15" s="59" t="s">
        <v>7</v>
      </c>
      <c r="I15" s="59" t="s">
        <v>25</v>
      </c>
      <c r="J15" s="37">
        <v>0</v>
      </c>
      <c r="K15" s="37" t="s">
        <v>5</v>
      </c>
      <c r="L15" s="37" t="s">
        <v>5</v>
      </c>
      <c r="M15" s="37" t="s">
        <v>5</v>
      </c>
    </row>
    <row r="16" spans="1:13" x14ac:dyDescent="0.3">
      <c r="A16" s="59" t="s">
        <v>29</v>
      </c>
      <c r="B16" s="52">
        <v>0.25635000000000002</v>
      </c>
      <c r="C16" s="59" t="s">
        <v>27</v>
      </c>
      <c r="D16" s="37">
        <v>1</v>
      </c>
      <c r="E16" s="62">
        <f t="shared" si="0"/>
        <v>0.25635000000000002</v>
      </c>
      <c r="F16" s="59" t="s">
        <v>220</v>
      </c>
      <c r="G16" s="39" t="s">
        <v>5</v>
      </c>
      <c r="H16" s="59" t="s">
        <v>7</v>
      </c>
      <c r="I16" s="59" t="s">
        <v>25</v>
      </c>
      <c r="J16" s="37">
        <v>0</v>
      </c>
      <c r="K16" s="37" t="s">
        <v>5</v>
      </c>
      <c r="L16" s="37" t="s">
        <v>5</v>
      </c>
      <c r="M16" s="37" t="s">
        <v>5</v>
      </c>
    </row>
    <row r="17" spans="1:15" x14ac:dyDescent="0.3">
      <c r="A17" s="59" t="s">
        <v>30</v>
      </c>
      <c r="B17" s="52">
        <v>0.25635000000000002</v>
      </c>
      <c r="C17" s="59" t="s">
        <v>27</v>
      </c>
      <c r="D17" s="37">
        <v>1</v>
      </c>
      <c r="E17" s="62">
        <f t="shared" si="0"/>
        <v>0.25635000000000002</v>
      </c>
      <c r="F17" s="59" t="s">
        <v>220</v>
      </c>
      <c r="G17" s="39" t="s">
        <v>5</v>
      </c>
      <c r="H17" s="59" t="s">
        <v>7</v>
      </c>
      <c r="I17" s="59" t="s">
        <v>25</v>
      </c>
      <c r="J17" s="37">
        <v>0</v>
      </c>
      <c r="K17" s="37" t="s">
        <v>5</v>
      </c>
      <c r="L17" s="37" t="s">
        <v>5</v>
      </c>
      <c r="M17" s="37" t="s">
        <v>5</v>
      </c>
    </row>
    <row r="18" spans="1:15" x14ac:dyDescent="0.3">
      <c r="A18" s="59" t="s">
        <v>31</v>
      </c>
      <c r="B18" s="52">
        <v>8.5449999999999998E-2</v>
      </c>
      <c r="C18" s="59" t="s">
        <v>27</v>
      </c>
      <c r="D18" s="37">
        <v>1</v>
      </c>
      <c r="E18" s="62">
        <f t="shared" si="0"/>
        <v>8.5449999999999998E-2</v>
      </c>
      <c r="F18" s="59" t="s">
        <v>220</v>
      </c>
      <c r="G18" s="39" t="s">
        <v>5</v>
      </c>
      <c r="H18" s="59" t="s">
        <v>7</v>
      </c>
      <c r="I18" s="59" t="s">
        <v>25</v>
      </c>
      <c r="J18" s="37">
        <v>2</v>
      </c>
      <c r="K18" s="37">
        <f>LN(E18)</f>
        <v>-2.459823869420537</v>
      </c>
      <c r="L18" s="40">
        <f>SQRT(LN(M18))</f>
        <v>0.24868973518072948</v>
      </c>
      <c r="M18" s="41">
        <v>1.0637991288100499</v>
      </c>
    </row>
    <row r="19" spans="1:15" x14ac:dyDescent="0.3">
      <c r="A19" s="59" t="s">
        <v>31</v>
      </c>
      <c r="B19" s="52">
        <v>0.25635000000000002</v>
      </c>
      <c r="C19" s="59" t="s">
        <v>27</v>
      </c>
      <c r="D19" s="37">
        <v>1</v>
      </c>
      <c r="E19" s="62">
        <f t="shared" si="0"/>
        <v>0.25635000000000002</v>
      </c>
      <c r="F19" s="59" t="s">
        <v>220</v>
      </c>
      <c r="G19" s="39" t="s">
        <v>5</v>
      </c>
      <c r="H19" s="59" t="s">
        <v>7</v>
      </c>
      <c r="I19" s="59" t="s">
        <v>25</v>
      </c>
      <c r="J19" s="37">
        <v>2</v>
      </c>
      <c r="K19" s="37">
        <f>LN(E19)</f>
        <v>-1.3612115807524274</v>
      </c>
      <c r="L19" s="40">
        <f>SQRT(LN(M19))</f>
        <v>0.24868973518072948</v>
      </c>
      <c r="M19" s="41">
        <v>1.0637991288100499</v>
      </c>
    </row>
    <row r="20" spans="1:15" x14ac:dyDescent="0.3">
      <c r="A20" s="59" t="s">
        <v>32</v>
      </c>
      <c r="B20" s="52">
        <v>1.2207999999999999E-8</v>
      </c>
      <c r="C20" s="59" t="s">
        <v>27</v>
      </c>
      <c r="D20" s="37">
        <v>1</v>
      </c>
      <c r="E20" s="62">
        <f t="shared" si="0"/>
        <v>1.2207999999999999E-8</v>
      </c>
      <c r="F20" s="60" t="s">
        <v>33</v>
      </c>
      <c r="G20" s="39" t="s">
        <v>34</v>
      </c>
      <c r="H20" s="60" t="s">
        <v>5</v>
      </c>
      <c r="I20" s="60" t="s">
        <v>35</v>
      </c>
      <c r="J20" s="37">
        <v>0</v>
      </c>
      <c r="K20" s="37" t="s">
        <v>5</v>
      </c>
      <c r="L20" s="37" t="s">
        <v>5</v>
      </c>
      <c r="M20" s="37" t="s">
        <v>5</v>
      </c>
    </row>
    <row r="21" spans="1:15" x14ac:dyDescent="0.3">
      <c r="A21" s="59" t="s">
        <v>32</v>
      </c>
      <c r="B21" s="52">
        <v>5.0031460674157305E-7</v>
      </c>
      <c r="C21" s="59" t="s">
        <v>27</v>
      </c>
      <c r="D21" s="37">
        <v>1</v>
      </c>
      <c r="E21" s="62">
        <f t="shared" si="0"/>
        <v>5.0031460674157305E-7</v>
      </c>
      <c r="F21" s="60" t="s">
        <v>33</v>
      </c>
      <c r="G21" s="39" t="s">
        <v>34</v>
      </c>
      <c r="H21" s="60" t="s">
        <v>5</v>
      </c>
      <c r="I21" s="60" t="s">
        <v>35</v>
      </c>
      <c r="J21" s="37">
        <v>0</v>
      </c>
      <c r="K21" s="37" t="s">
        <v>5</v>
      </c>
      <c r="L21" s="37" t="s">
        <v>5</v>
      </c>
      <c r="M21" s="37" t="s">
        <v>5</v>
      </c>
    </row>
    <row r="22" spans="1:15" x14ac:dyDescent="0.3">
      <c r="A22" s="59" t="s">
        <v>36</v>
      </c>
      <c r="B22" s="52">
        <v>9.5514606741573093E-3</v>
      </c>
      <c r="C22" s="59" t="s">
        <v>37</v>
      </c>
      <c r="D22" s="37">
        <v>1</v>
      </c>
      <c r="E22" s="62">
        <f t="shared" si="0"/>
        <v>9.5514606741573093E-3</v>
      </c>
      <c r="F22" s="59" t="s">
        <v>220</v>
      </c>
      <c r="G22" s="39" t="s">
        <v>5</v>
      </c>
      <c r="H22" s="59" t="s">
        <v>7</v>
      </c>
      <c r="I22" s="59" t="s">
        <v>25</v>
      </c>
      <c r="J22" s="37">
        <v>2</v>
      </c>
      <c r="K22" s="37">
        <f t="shared" ref="K22:K27" si="1">LN(E22)</f>
        <v>-4.6510611860116429</v>
      </c>
      <c r="L22" s="40">
        <f t="shared" ref="L22:L27" si="2">SQRT(LN(M22))</f>
        <v>0.2762638007636416</v>
      </c>
      <c r="M22" s="40">
        <v>1.0793097188846901</v>
      </c>
    </row>
    <row r="23" spans="1:15" x14ac:dyDescent="0.3">
      <c r="A23" s="59" t="s">
        <v>36</v>
      </c>
      <c r="B23" s="52">
        <v>1.3247999999999999E-2</v>
      </c>
      <c r="C23" s="59" t="s">
        <v>37</v>
      </c>
      <c r="D23" s="37">
        <v>1</v>
      </c>
      <c r="E23" s="62">
        <f t="shared" si="0"/>
        <v>1.3247999999999999E-2</v>
      </c>
      <c r="F23" s="59" t="s">
        <v>220</v>
      </c>
      <c r="G23" s="39" t="s">
        <v>5</v>
      </c>
      <c r="H23" s="59" t="s">
        <v>7</v>
      </c>
      <c r="I23" s="59" t="s">
        <v>25</v>
      </c>
      <c r="J23" s="37">
        <v>2</v>
      </c>
      <c r="K23" s="37">
        <f t="shared" si="1"/>
        <v>-4.3239086813392333</v>
      </c>
      <c r="L23" s="40">
        <f t="shared" si="2"/>
        <v>0.2762638007636416</v>
      </c>
      <c r="M23" s="40">
        <v>1.0793097188846901</v>
      </c>
    </row>
    <row r="24" spans="1:15" x14ac:dyDescent="0.3">
      <c r="A24" s="59" t="s">
        <v>36</v>
      </c>
      <c r="B24" s="52">
        <v>1.526E-4</v>
      </c>
      <c r="C24" s="59" t="s">
        <v>37</v>
      </c>
      <c r="D24" s="37">
        <v>1</v>
      </c>
      <c r="E24" s="62">
        <f t="shared" si="0"/>
        <v>1.526E-4</v>
      </c>
      <c r="F24" s="59" t="s">
        <v>220</v>
      </c>
      <c r="G24" s="39" t="s">
        <v>5</v>
      </c>
      <c r="H24" s="59" t="s">
        <v>7</v>
      </c>
      <c r="I24" s="59" t="s">
        <v>25</v>
      </c>
      <c r="J24" s="37">
        <v>2</v>
      </c>
      <c r="K24" s="37">
        <f t="shared" si="1"/>
        <v>-8.7876904391139181</v>
      </c>
      <c r="L24" s="40">
        <f t="shared" si="2"/>
        <v>0.33911649915626546</v>
      </c>
      <c r="M24" s="40">
        <v>1.1218734375719399</v>
      </c>
    </row>
    <row r="25" spans="1:15" x14ac:dyDescent="0.3">
      <c r="A25" s="59" t="s">
        <v>38</v>
      </c>
      <c r="B25" s="52">
        <v>2.2018E-4</v>
      </c>
      <c r="C25" s="59" t="s">
        <v>27</v>
      </c>
      <c r="D25" s="37">
        <v>1</v>
      </c>
      <c r="E25" s="62">
        <f t="shared" si="0"/>
        <v>2.2018E-4</v>
      </c>
      <c r="F25" s="59" t="s">
        <v>220</v>
      </c>
      <c r="G25" s="39" t="s">
        <v>5</v>
      </c>
      <c r="H25" s="59" t="s">
        <v>7</v>
      </c>
      <c r="I25" s="59" t="s">
        <v>25</v>
      </c>
      <c r="J25" s="37">
        <v>2</v>
      </c>
      <c r="K25" s="37">
        <f t="shared" si="1"/>
        <v>-8.4210651643220178</v>
      </c>
      <c r="L25" s="40">
        <f t="shared" si="2"/>
        <v>0.33911649915626546</v>
      </c>
      <c r="M25" s="40">
        <v>1.1218734375719399</v>
      </c>
    </row>
    <row r="26" spans="1:15" x14ac:dyDescent="0.3">
      <c r="A26" s="59" t="s">
        <v>39</v>
      </c>
      <c r="B26" s="52">
        <v>5.0031460674157297E-4</v>
      </c>
      <c r="C26" s="59" t="s">
        <v>27</v>
      </c>
      <c r="D26" s="37">
        <v>1</v>
      </c>
      <c r="E26" s="62">
        <f t="shared" si="0"/>
        <v>5.0031460674157297E-4</v>
      </c>
      <c r="F26" s="59" t="s">
        <v>220</v>
      </c>
      <c r="G26" s="39" t="s">
        <v>5</v>
      </c>
      <c r="H26" s="59" t="s">
        <v>40</v>
      </c>
      <c r="I26" s="59" t="s">
        <v>25</v>
      </c>
      <c r="J26" s="37">
        <v>2</v>
      </c>
      <c r="K26" s="37">
        <f t="shared" si="1"/>
        <v>-7.6002734439307424</v>
      </c>
      <c r="L26" s="40">
        <f t="shared" si="2"/>
        <v>0.33911649915626546</v>
      </c>
      <c r="M26" s="40">
        <v>1.1218734375719399</v>
      </c>
    </row>
    <row r="27" spans="1:15" x14ac:dyDescent="0.3">
      <c r="A27" s="59" t="s">
        <v>41</v>
      </c>
      <c r="B27" s="52">
        <v>2.9062799999999998E-3</v>
      </c>
      <c r="C27" s="59" t="s">
        <v>27</v>
      </c>
      <c r="D27" s="37">
        <v>1</v>
      </c>
      <c r="E27" s="62">
        <f t="shared" si="0"/>
        <v>2.9062799999999998E-3</v>
      </c>
      <c r="F27" s="59" t="s">
        <v>220</v>
      </c>
      <c r="G27" s="39" t="s">
        <v>5</v>
      </c>
      <c r="H27" s="59" t="s">
        <v>7</v>
      </c>
      <c r="I27" s="59" t="s">
        <v>25</v>
      </c>
      <c r="J27" s="37">
        <v>2</v>
      </c>
      <c r="K27" s="37">
        <f t="shared" si="1"/>
        <v>-5.8408813661012404</v>
      </c>
      <c r="L27" s="40">
        <f t="shared" si="2"/>
        <v>0.2762638007636416</v>
      </c>
      <c r="M27" s="40">
        <v>1.0793097188846901</v>
      </c>
    </row>
    <row r="28" spans="1:15" x14ac:dyDescent="0.3">
      <c r="A28" s="59" t="s">
        <v>42</v>
      </c>
      <c r="B28" s="52">
        <v>1.1592E-7</v>
      </c>
      <c r="C28" s="59" t="s">
        <v>27</v>
      </c>
      <c r="D28" s="37">
        <v>1</v>
      </c>
      <c r="E28" s="62">
        <f t="shared" si="0"/>
        <v>1.1592E-7</v>
      </c>
      <c r="F28" s="60" t="s">
        <v>33</v>
      </c>
      <c r="G28" s="39" t="s">
        <v>34</v>
      </c>
      <c r="H28" s="60" t="s">
        <v>5</v>
      </c>
      <c r="I28" s="60" t="s">
        <v>35</v>
      </c>
      <c r="J28" s="37">
        <v>0</v>
      </c>
      <c r="K28" s="37" t="s">
        <v>5</v>
      </c>
      <c r="L28" s="37" t="s">
        <v>5</v>
      </c>
      <c r="M28" s="37" t="s">
        <v>5</v>
      </c>
      <c r="O28" s="2"/>
    </row>
    <row r="29" spans="1:15" x14ac:dyDescent="0.3">
      <c r="A29" s="59" t="s">
        <v>42</v>
      </c>
      <c r="B29" s="52">
        <v>9.0966292134831495E-9</v>
      </c>
      <c r="C29" s="59" t="s">
        <v>27</v>
      </c>
      <c r="D29" s="37">
        <v>1</v>
      </c>
      <c r="E29" s="62">
        <f t="shared" si="0"/>
        <v>9.0966292134831495E-9</v>
      </c>
      <c r="F29" s="60" t="s">
        <v>33</v>
      </c>
      <c r="G29" s="39" t="s">
        <v>43</v>
      </c>
      <c r="H29" s="60" t="s">
        <v>5</v>
      </c>
      <c r="I29" s="60" t="s">
        <v>35</v>
      </c>
      <c r="J29" s="37">
        <v>0</v>
      </c>
      <c r="K29" s="37" t="s">
        <v>5</v>
      </c>
      <c r="L29" s="37" t="s">
        <v>5</v>
      </c>
      <c r="M29" s="37" t="s">
        <v>5</v>
      </c>
      <c r="O29" s="2"/>
    </row>
    <row r="30" spans="1:15" x14ac:dyDescent="0.3">
      <c r="A30" s="59" t="s">
        <v>44</v>
      </c>
      <c r="B30" s="52">
        <v>1.4627999999999999E-4</v>
      </c>
      <c r="C30" s="59" t="s">
        <v>27</v>
      </c>
      <c r="D30" s="37">
        <v>1</v>
      </c>
      <c r="E30" s="62">
        <f t="shared" si="0"/>
        <v>1.4627999999999999E-4</v>
      </c>
      <c r="F30" s="59" t="s">
        <v>220</v>
      </c>
      <c r="G30" s="39" t="s">
        <v>5</v>
      </c>
      <c r="H30" s="59" t="s">
        <v>45</v>
      </c>
      <c r="I30" s="59" t="s">
        <v>25</v>
      </c>
      <c r="J30" s="37">
        <v>2</v>
      </c>
      <c r="K30" s="37">
        <f t="shared" ref="K30:K41" si="3">LN(E30)</f>
        <v>-8.8299879646830934</v>
      </c>
      <c r="L30" s="40">
        <f t="shared" ref="L30:L41" si="4">SQRT(LN(M30))</f>
        <v>0.2762638007636416</v>
      </c>
      <c r="M30" s="42">
        <v>1.0793097188846901</v>
      </c>
    </row>
    <row r="31" spans="1:15" x14ac:dyDescent="0.3">
      <c r="A31" s="59" t="s">
        <v>44</v>
      </c>
      <c r="B31" s="52">
        <v>2.1799999999999999E-6</v>
      </c>
      <c r="C31" s="59" t="s">
        <v>27</v>
      </c>
      <c r="D31" s="37">
        <v>1</v>
      </c>
      <c r="E31" s="62">
        <f t="shared" si="0"/>
        <v>2.1799999999999999E-6</v>
      </c>
      <c r="F31" s="59" t="s">
        <v>220</v>
      </c>
      <c r="G31" s="39" t="s">
        <v>5</v>
      </c>
      <c r="H31" s="59" t="s">
        <v>45</v>
      </c>
      <c r="I31" s="59" t="s">
        <v>25</v>
      </c>
      <c r="J31" s="37">
        <v>2</v>
      </c>
      <c r="K31" s="37">
        <f t="shared" si="3"/>
        <v>-13.036185681163277</v>
      </c>
      <c r="L31" s="40">
        <f t="shared" si="4"/>
        <v>0.33911649915626546</v>
      </c>
      <c r="M31" s="42">
        <v>1.1218734375719399</v>
      </c>
    </row>
    <row r="32" spans="1:15" x14ac:dyDescent="0.3">
      <c r="A32" s="59" t="s">
        <v>46</v>
      </c>
      <c r="B32" s="52">
        <v>4.09348314606742E-4</v>
      </c>
      <c r="C32" s="59" t="s">
        <v>27</v>
      </c>
      <c r="D32" s="37">
        <v>1</v>
      </c>
      <c r="E32" s="62">
        <f t="shared" si="0"/>
        <v>4.09348314606742E-4</v>
      </c>
      <c r="F32" s="59" t="s">
        <v>220</v>
      </c>
      <c r="G32" s="39" t="s">
        <v>5</v>
      </c>
      <c r="H32" s="59" t="s">
        <v>40</v>
      </c>
      <c r="I32" s="59" t="s">
        <v>25</v>
      </c>
      <c r="J32" s="37">
        <v>2</v>
      </c>
      <c r="K32" s="37">
        <f t="shared" si="3"/>
        <v>-7.8009441393928922</v>
      </c>
      <c r="L32" s="40">
        <f t="shared" si="4"/>
        <v>0.2762638007636416</v>
      </c>
      <c r="M32" s="40">
        <v>1.0793097188846901</v>
      </c>
    </row>
    <row r="33" spans="1:13" x14ac:dyDescent="0.3">
      <c r="A33" s="59" t="s">
        <v>47</v>
      </c>
      <c r="B33" s="52">
        <v>3.63865168539326E-4</v>
      </c>
      <c r="C33" s="59" t="s">
        <v>48</v>
      </c>
      <c r="D33" s="37">
        <v>1</v>
      </c>
      <c r="E33" s="62">
        <f t="shared" si="0"/>
        <v>3.63865168539326E-4</v>
      </c>
      <c r="F33" s="59" t="s">
        <v>220</v>
      </c>
      <c r="G33" s="39" t="s">
        <v>5</v>
      </c>
      <c r="H33" s="59" t="s">
        <v>45</v>
      </c>
      <c r="I33" s="59" t="s">
        <v>25</v>
      </c>
      <c r="J33" s="37">
        <v>2</v>
      </c>
      <c r="K33" s="37">
        <f t="shared" si="3"/>
        <v>-7.918727175049276</v>
      </c>
      <c r="L33" s="40">
        <f t="shared" si="4"/>
        <v>0.2762638007636416</v>
      </c>
      <c r="M33" s="42">
        <v>1.0793097188846901</v>
      </c>
    </row>
    <row r="34" spans="1:13" x14ac:dyDescent="0.3">
      <c r="A34" s="59" t="s">
        <v>47</v>
      </c>
      <c r="B34" s="52">
        <v>1.81932584269663E-4</v>
      </c>
      <c r="C34" s="59" t="s">
        <v>48</v>
      </c>
      <c r="D34" s="37">
        <v>1</v>
      </c>
      <c r="E34" s="62">
        <f t="shared" si="0"/>
        <v>1.81932584269663E-4</v>
      </c>
      <c r="F34" s="59" t="s">
        <v>220</v>
      </c>
      <c r="G34" s="39" t="s">
        <v>5</v>
      </c>
      <c r="H34" s="59" t="s">
        <v>45</v>
      </c>
      <c r="I34" s="59" t="s">
        <v>25</v>
      </c>
      <c r="J34" s="37">
        <v>2</v>
      </c>
      <c r="K34" s="37">
        <f t="shared" si="3"/>
        <v>-8.6118743556092205</v>
      </c>
      <c r="L34" s="40">
        <f t="shared" si="4"/>
        <v>0.33911649915626546</v>
      </c>
      <c r="M34" s="42">
        <v>1.1218734375719399</v>
      </c>
    </row>
    <row r="35" spans="1:13" x14ac:dyDescent="0.3">
      <c r="A35" s="59" t="s">
        <v>47</v>
      </c>
      <c r="B35" s="52">
        <v>1.81932584269663E-4</v>
      </c>
      <c r="C35" s="59" t="s">
        <v>48</v>
      </c>
      <c r="D35" s="37">
        <v>1</v>
      </c>
      <c r="E35" s="62">
        <f t="shared" si="0"/>
        <v>1.81932584269663E-4</v>
      </c>
      <c r="F35" s="59" t="s">
        <v>220</v>
      </c>
      <c r="G35" s="39" t="s">
        <v>5</v>
      </c>
      <c r="H35" s="59" t="s">
        <v>45</v>
      </c>
      <c r="I35" s="59" t="s">
        <v>25</v>
      </c>
      <c r="J35" s="37">
        <v>2</v>
      </c>
      <c r="K35" s="37">
        <f t="shared" si="3"/>
        <v>-8.6118743556092205</v>
      </c>
      <c r="L35" s="40">
        <f t="shared" si="4"/>
        <v>0.33911649915626546</v>
      </c>
      <c r="M35" s="42">
        <v>1.1218734375719399</v>
      </c>
    </row>
    <row r="36" spans="1:13" x14ac:dyDescent="0.3">
      <c r="A36" s="59" t="s">
        <v>47</v>
      </c>
      <c r="B36" s="52">
        <v>1.81932584269663E-4</v>
      </c>
      <c r="C36" s="59" t="s">
        <v>48</v>
      </c>
      <c r="D36" s="37">
        <v>1</v>
      </c>
      <c r="E36" s="62">
        <f t="shared" si="0"/>
        <v>1.81932584269663E-4</v>
      </c>
      <c r="F36" s="59" t="s">
        <v>220</v>
      </c>
      <c r="G36" s="39" t="s">
        <v>5</v>
      </c>
      <c r="H36" s="59" t="s">
        <v>45</v>
      </c>
      <c r="I36" s="59" t="s">
        <v>25</v>
      </c>
      <c r="J36" s="37">
        <v>2</v>
      </c>
      <c r="K36" s="37">
        <f t="shared" si="3"/>
        <v>-8.6118743556092205</v>
      </c>
      <c r="L36" s="40">
        <f t="shared" si="4"/>
        <v>0.2762638007636416</v>
      </c>
      <c r="M36" s="42">
        <v>1.0793097188846901</v>
      </c>
    </row>
    <row r="37" spans="1:13" x14ac:dyDescent="0.3">
      <c r="A37" s="59" t="s">
        <v>49</v>
      </c>
      <c r="B37" s="52">
        <v>0.36386516853932599</v>
      </c>
      <c r="C37" s="59" t="s">
        <v>27</v>
      </c>
      <c r="D37" s="37">
        <v>1</v>
      </c>
      <c r="E37" s="62">
        <f t="shared" si="0"/>
        <v>0.36386516853932599</v>
      </c>
      <c r="F37" s="59" t="s">
        <v>220</v>
      </c>
      <c r="G37" s="39" t="s">
        <v>5</v>
      </c>
      <c r="H37" s="59" t="s">
        <v>45</v>
      </c>
      <c r="I37" s="59" t="s">
        <v>25</v>
      </c>
      <c r="J37" s="37">
        <v>2</v>
      </c>
      <c r="K37" s="37">
        <f t="shared" si="3"/>
        <v>-1.010971896067139</v>
      </c>
      <c r="L37" s="40">
        <f t="shared" si="4"/>
        <v>0.2762638007636416</v>
      </c>
      <c r="M37" s="40">
        <v>1.0793097188846901</v>
      </c>
    </row>
    <row r="38" spans="1:13" x14ac:dyDescent="0.3">
      <c r="A38" s="59" t="s">
        <v>49</v>
      </c>
      <c r="B38" s="52">
        <v>0.18193258426966299</v>
      </c>
      <c r="C38" s="59" t="s">
        <v>27</v>
      </c>
      <c r="D38" s="37">
        <v>1</v>
      </c>
      <c r="E38" s="62">
        <f t="shared" si="0"/>
        <v>0.18193258426966299</v>
      </c>
      <c r="F38" s="59" t="s">
        <v>220</v>
      </c>
      <c r="G38" s="39" t="s">
        <v>5</v>
      </c>
      <c r="H38" s="59" t="s">
        <v>45</v>
      </c>
      <c r="I38" s="59" t="s">
        <v>25</v>
      </c>
      <c r="J38" s="37">
        <v>2</v>
      </c>
      <c r="K38" s="37">
        <f t="shared" si="3"/>
        <v>-1.7041190766270844</v>
      </c>
      <c r="L38" s="40">
        <f t="shared" si="4"/>
        <v>0.2762638007636416</v>
      </c>
      <c r="M38" s="40">
        <v>1.0793097188846901</v>
      </c>
    </row>
    <row r="39" spans="1:13" x14ac:dyDescent="0.3">
      <c r="A39" s="59" t="s">
        <v>49</v>
      </c>
      <c r="B39" s="52">
        <v>0.18193258426966299</v>
      </c>
      <c r="C39" s="59" t="s">
        <v>27</v>
      </c>
      <c r="D39" s="37">
        <v>1</v>
      </c>
      <c r="E39" s="62">
        <f t="shared" si="0"/>
        <v>0.18193258426966299</v>
      </c>
      <c r="F39" s="59" t="s">
        <v>220</v>
      </c>
      <c r="G39" s="39" t="s">
        <v>5</v>
      </c>
      <c r="H39" s="59" t="s">
        <v>45</v>
      </c>
      <c r="I39" s="59" t="s">
        <v>25</v>
      </c>
      <c r="J39" s="37">
        <v>2</v>
      </c>
      <c r="K39" s="37">
        <f t="shared" si="3"/>
        <v>-1.7041190766270844</v>
      </c>
      <c r="L39" s="40">
        <f t="shared" si="4"/>
        <v>0.33911649915626546</v>
      </c>
      <c r="M39" s="40">
        <v>1.1218734375719399</v>
      </c>
    </row>
    <row r="40" spans="1:13" x14ac:dyDescent="0.3">
      <c r="A40" s="59" t="s">
        <v>49</v>
      </c>
      <c r="B40" s="52">
        <v>0.18193258426966299</v>
      </c>
      <c r="C40" s="59" t="s">
        <v>27</v>
      </c>
      <c r="D40" s="37">
        <v>1</v>
      </c>
      <c r="E40" s="62">
        <f t="shared" si="0"/>
        <v>0.18193258426966299</v>
      </c>
      <c r="F40" s="59" t="s">
        <v>220</v>
      </c>
      <c r="G40" s="39" t="s">
        <v>5</v>
      </c>
      <c r="H40" s="59" t="s">
        <v>45</v>
      </c>
      <c r="I40" s="59" t="s">
        <v>25</v>
      </c>
      <c r="J40" s="37">
        <v>2</v>
      </c>
      <c r="K40" s="37">
        <f t="shared" si="3"/>
        <v>-1.7041190766270844</v>
      </c>
      <c r="L40" s="40">
        <f t="shared" si="4"/>
        <v>0.33911649915626546</v>
      </c>
      <c r="M40" s="40">
        <v>1.1218734375719399</v>
      </c>
    </row>
    <row r="41" spans="1:13" x14ac:dyDescent="0.3">
      <c r="A41" s="59" t="s">
        <v>26</v>
      </c>
      <c r="B41" s="52">
        <v>2.27415730337079E-4</v>
      </c>
      <c r="C41" s="59" t="s">
        <v>27</v>
      </c>
      <c r="D41" s="37">
        <v>1</v>
      </c>
      <c r="E41" s="62">
        <f t="shared" si="0"/>
        <v>2.27415730337079E-4</v>
      </c>
      <c r="F41" s="59" t="s">
        <v>220</v>
      </c>
      <c r="G41" s="39" t="s">
        <v>5</v>
      </c>
      <c r="H41" s="59" t="s">
        <v>7</v>
      </c>
      <c r="I41" s="59" t="s">
        <v>25</v>
      </c>
      <c r="J41" s="37">
        <v>2</v>
      </c>
      <c r="K41" s="37">
        <f t="shared" si="3"/>
        <v>-8.3887308042950099</v>
      </c>
      <c r="L41" s="40">
        <f t="shared" si="4"/>
        <v>0.2762638007636416</v>
      </c>
      <c r="M41" s="40">
        <v>1.0793097188846901</v>
      </c>
    </row>
    <row r="42" spans="1:13" x14ac:dyDescent="0.3">
      <c r="A42" s="59" t="s">
        <v>28</v>
      </c>
      <c r="B42" s="52">
        <v>8.5449999999999998E-2</v>
      </c>
      <c r="C42" s="59" t="s">
        <v>27</v>
      </c>
      <c r="D42" s="37">
        <v>1</v>
      </c>
      <c r="E42" s="62">
        <f t="shared" si="0"/>
        <v>8.5449999999999998E-2</v>
      </c>
      <c r="F42" s="59" t="s">
        <v>220</v>
      </c>
      <c r="G42" s="39" t="s">
        <v>5</v>
      </c>
      <c r="H42" s="59" t="s">
        <v>7</v>
      </c>
      <c r="I42" s="59" t="s">
        <v>25</v>
      </c>
      <c r="J42" s="37">
        <v>0</v>
      </c>
      <c r="K42" s="37" t="s">
        <v>5</v>
      </c>
      <c r="L42" s="37" t="s">
        <v>5</v>
      </c>
      <c r="M42" s="37" t="s">
        <v>5</v>
      </c>
    </row>
    <row r="43" spans="1:13" x14ac:dyDescent="0.3">
      <c r="A43" s="59" t="s">
        <v>29</v>
      </c>
      <c r="B43" s="52">
        <v>0.25635000000000002</v>
      </c>
      <c r="C43" s="59" t="s">
        <v>27</v>
      </c>
      <c r="D43" s="37">
        <v>1</v>
      </c>
      <c r="E43" s="62">
        <f t="shared" si="0"/>
        <v>0.25635000000000002</v>
      </c>
      <c r="F43" s="59" t="s">
        <v>220</v>
      </c>
      <c r="G43" s="39" t="s">
        <v>5</v>
      </c>
      <c r="H43" s="59" t="s">
        <v>7</v>
      </c>
      <c r="I43" s="59" t="s">
        <v>25</v>
      </c>
      <c r="J43" s="37">
        <v>0</v>
      </c>
      <c r="K43" s="37" t="s">
        <v>5</v>
      </c>
      <c r="L43" s="37" t="s">
        <v>5</v>
      </c>
      <c r="M43" s="37" t="s">
        <v>5</v>
      </c>
    </row>
    <row r="44" spans="1:13" x14ac:dyDescent="0.3">
      <c r="A44" s="59" t="s">
        <v>30</v>
      </c>
      <c r="B44" s="52">
        <v>0.25635000000000002</v>
      </c>
      <c r="C44" s="59" t="s">
        <v>27</v>
      </c>
      <c r="D44" s="37">
        <v>1</v>
      </c>
      <c r="E44" s="62">
        <f t="shared" si="0"/>
        <v>0.25635000000000002</v>
      </c>
      <c r="F44" s="59" t="s">
        <v>220</v>
      </c>
      <c r="G44" s="39" t="s">
        <v>5</v>
      </c>
      <c r="H44" s="59" t="s">
        <v>7</v>
      </c>
      <c r="I44" s="59" t="s">
        <v>25</v>
      </c>
      <c r="J44" s="37">
        <v>0</v>
      </c>
      <c r="K44" s="37" t="s">
        <v>5</v>
      </c>
      <c r="L44" s="37" t="s">
        <v>5</v>
      </c>
      <c r="M44" s="37" t="s">
        <v>5</v>
      </c>
    </row>
    <row r="45" spans="1:13" x14ac:dyDescent="0.3">
      <c r="A45" s="59" t="s">
        <v>31</v>
      </c>
      <c r="B45" s="52">
        <v>8.5449999999999998E-2</v>
      </c>
      <c r="C45" s="59" t="s">
        <v>27</v>
      </c>
      <c r="D45" s="37">
        <v>1</v>
      </c>
      <c r="E45" s="62">
        <f t="shared" si="0"/>
        <v>8.5449999999999998E-2</v>
      </c>
      <c r="F45" s="59" t="s">
        <v>220</v>
      </c>
      <c r="G45" s="39" t="s">
        <v>5</v>
      </c>
      <c r="H45" s="59" t="s">
        <v>7</v>
      </c>
      <c r="I45" s="59" t="s">
        <v>25</v>
      </c>
      <c r="J45" s="37">
        <v>2</v>
      </c>
      <c r="K45" s="37">
        <f>LN(E45)</f>
        <v>-2.459823869420537</v>
      </c>
      <c r="L45" s="40">
        <f>SQRT(LN(M45))</f>
        <v>0.24868973518072948</v>
      </c>
      <c r="M45" s="41">
        <v>1.0637991288100499</v>
      </c>
    </row>
    <row r="46" spans="1:13" x14ac:dyDescent="0.3">
      <c r="A46" s="59" t="s">
        <v>31</v>
      </c>
      <c r="B46" s="52">
        <v>0.25635000000000002</v>
      </c>
      <c r="C46" s="59" t="s">
        <v>27</v>
      </c>
      <c r="D46" s="37">
        <v>1</v>
      </c>
      <c r="E46" s="62">
        <f t="shared" si="0"/>
        <v>0.25635000000000002</v>
      </c>
      <c r="F46" s="59" t="s">
        <v>220</v>
      </c>
      <c r="G46" s="39" t="s">
        <v>5</v>
      </c>
      <c r="H46" s="59" t="s">
        <v>7</v>
      </c>
      <c r="I46" s="59" t="s">
        <v>25</v>
      </c>
      <c r="J46" s="37">
        <v>2</v>
      </c>
      <c r="K46" s="37">
        <f>LN(E46)</f>
        <v>-1.3612115807524274</v>
      </c>
      <c r="L46" s="40">
        <f>SQRT(LN(M46))</f>
        <v>0.24868973518072948</v>
      </c>
      <c r="M46" s="41">
        <v>1.0637991288100499</v>
      </c>
    </row>
    <row r="47" spans="1:13" x14ac:dyDescent="0.3">
      <c r="A47" s="59" t="s">
        <v>36</v>
      </c>
      <c r="B47" s="52">
        <v>9.5514606741573093E-3</v>
      </c>
      <c r="C47" s="59" t="s">
        <v>37</v>
      </c>
      <c r="D47" s="37">
        <v>1</v>
      </c>
      <c r="E47" s="62">
        <f t="shared" si="0"/>
        <v>9.5514606741573093E-3</v>
      </c>
      <c r="F47" s="59" t="s">
        <v>220</v>
      </c>
      <c r="G47" s="39" t="s">
        <v>5</v>
      </c>
      <c r="H47" s="59" t="s">
        <v>7</v>
      </c>
      <c r="I47" s="59" t="s">
        <v>25</v>
      </c>
      <c r="J47" s="37">
        <v>2</v>
      </c>
      <c r="K47" s="37">
        <f>LN(E47)</f>
        <v>-4.6510611860116429</v>
      </c>
      <c r="L47" s="40">
        <f>SQRT(LN(M47))</f>
        <v>0.2762638007636416</v>
      </c>
      <c r="M47" s="40">
        <v>1.0793097188846901</v>
      </c>
    </row>
    <row r="48" spans="1:13" x14ac:dyDescent="0.3">
      <c r="A48" s="59" t="s">
        <v>36</v>
      </c>
      <c r="B48" s="52">
        <v>1.3247999999999999E-2</v>
      </c>
      <c r="C48" s="59" t="s">
        <v>37</v>
      </c>
      <c r="D48" s="37">
        <v>1</v>
      </c>
      <c r="E48" s="62">
        <f t="shared" si="0"/>
        <v>1.3247999999999999E-2</v>
      </c>
      <c r="F48" s="59" t="s">
        <v>220</v>
      </c>
      <c r="G48" s="39" t="s">
        <v>5</v>
      </c>
      <c r="H48" s="59" t="s">
        <v>7</v>
      </c>
      <c r="I48" s="59" t="s">
        <v>25</v>
      </c>
      <c r="J48" s="37">
        <v>2</v>
      </c>
      <c r="K48" s="37">
        <f>LN(E48)</f>
        <v>-4.3239086813392333</v>
      </c>
      <c r="L48" s="40">
        <f>SQRT(LN(M48))</f>
        <v>0.2762638007636416</v>
      </c>
      <c r="M48" s="40">
        <v>1.0793097188846901</v>
      </c>
    </row>
    <row r="49" spans="1:15" x14ac:dyDescent="0.3">
      <c r="A49" s="59" t="s">
        <v>41</v>
      </c>
      <c r="B49" s="52">
        <v>2.9062799999999998E-3</v>
      </c>
      <c r="C49" s="59" t="s">
        <v>27</v>
      </c>
      <c r="D49" s="37">
        <v>1</v>
      </c>
      <c r="E49" s="62">
        <f t="shared" si="0"/>
        <v>2.9062799999999998E-3</v>
      </c>
      <c r="F49" s="59" t="s">
        <v>220</v>
      </c>
      <c r="G49" s="39" t="s">
        <v>5</v>
      </c>
      <c r="H49" s="59" t="s">
        <v>7</v>
      </c>
      <c r="I49" s="59" t="s">
        <v>25</v>
      </c>
      <c r="J49" s="37">
        <v>2</v>
      </c>
      <c r="K49" s="37">
        <f>LN(E49)</f>
        <v>-5.8408813661012404</v>
      </c>
      <c r="L49" s="40">
        <f>SQRT(LN(M49))</f>
        <v>0.2762638007636416</v>
      </c>
      <c r="M49" s="40">
        <v>1.0793097188846901</v>
      </c>
    </row>
    <row r="50" spans="1:15" x14ac:dyDescent="0.3">
      <c r="A50" s="59" t="s">
        <v>42</v>
      </c>
      <c r="B50" s="52">
        <v>1.1592E-7</v>
      </c>
      <c r="C50" s="59" t="s">
        <v>27</v>
      </c>
      <c r="D50" s="37">
        <v>1</v>
      </c>
      <c r="E50" s="62">
        <f t="shared" si="0"/>
        <v>1.1592E-7</v>
      </c>
      <c r="F50" s="60" t="s">
        <v>33</v>
      </c>
      <c r="G50" s="39" t="s">
        <v>34</v>
      </c>
      <c r="H50" s="60" t="s">
        <v>5</v>
      </c>
      <c r="I50" s="60" t="s">
        <v>35</v>
      </c>
      <c r="J50" s="37">
        <v>0</v>
      </c>
      <c r="K50" s="37" t="s">
        <v>5</v>
      </c>
      <c r="L50" s="37" t="s">
        <v>5</v>
      </c>
      <c r="M50" s="37" t="s">
        <v>5</v>
      </c>
      <c r="O50" s="2"/>
    </row>
    <row r="51" spans="1:15" x14ac:dyDescent="0.3">
      <c r="A51" s="59" t="s">
        <v>42</v>
      </c>
      <c r="B51" s="52">
        <v>9.0966292134831495E-9</v>
      </c>
      <c r="C51" s="59" t="s">
        <v>27</v>
      </c>
      <c r="D51" s="37">
        <v>1</v>
      </c>
      <c r="E51" s="62">
        <f t="shared" si="0"/>
        <v>9.0966292134831495E-9</v>
      </c>
      <c r="F51" s="60" t="s">
        <v>33</v>
      </c>
      <c r="G51" s="39" t="s">
        <v>43</v>
      </c>
      <c r="H51" s="60" t="s">
        <v>5</v>
      </c>
      <c r="I51" s="60" t="s">
        <v>35</v>
      </c>
      <c r="J51" s="37">
        <v>0</v>
      </c>
      <c r="K51" s="37" t="s">
        <v>5</v>
      </c>
      <c r="L51" s="37" t="s">
        <v>5</v>
      </c>
      <c r="M51" s="37" t="s">
        <v>5</v>
      </c>
      <c r="O51" s="2"/>
    </row>
    <row r="52" spans="1:15" x14ac:dyDescent="0.3">
      <c r="A52" s="59" t="s">
        <v>44</v>
      </c>
      <c r="B52" s="52">
        <v>1.4627999999999999E-4</v>
      </c>
      <c r="C52" s="59" t="s">
        <v>27</v>
      </c>
      <c r="D52" s="37">
        <v>1</v>
      </c>
      <c r="E52" s="62">
        <f t="shared" si="0"/>
        <v>1.4627999999999999E-4</v>
      </c>
      <c r="F52" s="59" t="s">
        <v>220</v>
      </c>
      <c r="G52" s="39" t="s">
        <v>5</v>
      </c>
      <c r="H52" s="59" t="s">
        <v>45</v>
      </c>
      <c r="I52" s="59" t="s">
        <v>25</v>
      </c>
      <c r="J52" s="37">
        <v>2</v>
      </c>
      <c r="K52" s="37">
        <f t="shared" ref="K52:K62" si="5">LN(E52)</f>
        <v>-8.8299879646830934</v>
      </c>
      <c r="L52" s="40">
        <f t="shared" ref="L52:L62" si="6">SQRT(LN(M52))</f>
        <v>0.2762638007636416</v>
      </c>
      <c r="M52" s="42">
        <v>1.0793097188846901</v>
      </c>
    </row>
    <row r="53" spans="1:15" x14ac:dyDescent="0.3">
      <c r="A53" s="59" t="s">
        <v>46</v>
      </c>
      <c r="B53" s="52">
        <v>4.09348314606742E-4</v>
      </c>
      <c r="C53" s="59" t="s">
        <v>27</v>
      </c>
      <c r="D53" s="37">
        <v>1</v>
      </c>
      <c r="E53" s="62">
        <f t="shared" si="0"/>
        <v>4.09348314606742E-4</v>
      </c>
      <c r="F53" s="59" t="s">
        <v>220</v>
      </c>
      <c r="G53" s="39" t="s">
        <v>5</v>
      </c>
      <c r="H53" s="59" t="s">
        <v>40</v>
      </c>
      <c r="I53" s="59" t="s">
        <v>25</v>
      </c>
      <c r="J53" s="37">
        <v>2</v>
      </c>
      <c r="K53" s="37">
        <f t="shared" si="5"/>
        <v>-7.8009441393928922</v>
      </c>
      <c r="L53" s="40">
        <f t="shared" si="6"/>
        <v>0.2762638007636416</v>
      </c>
      <c r="M53" s="40">
        <v>1.0793097188846901</v>
      </c>
    </row>
    <row r="54" spans="1:15" x14ac:dyDescent="0.3">
      <c r="A54" s="59" t="s">
        <v>47</v>
      </c>
      <c r="B54" s="52">
        <v>3.63865168539326E-4</v>
      </c>
      <c r="C54" s="59" t="s">
        <v>48</v>
      </c>
      <c r="D54" s="37">
        <v>1</v>
      </c>
      <c r="E54" s="62">
        <f t="shared" si="0"/>
        <v>3.63865168539326E-4</v>
      </c>
      <c r="F54" s="59" t="s">
        <v>220</v>
      </c>
      <c r="G54" s="39" t="s">
        <v>5</v>
      </c>
      <c r="H54" s="59" t="s">
        <v>45</v>
      </c>
      <c r="I54" s="59" t="s">
        <v>25</v>
      </c>
      <c r="J54" s="37">
        <v>2</v>
      </c>
      <c r="K54" s="37">
        <f t="shared" si="5"/>
        <v>-7.918727175049276</v>
      </c>
      <c r="L54" s="40">
        <f t="shared" si="6"/>
        <v>0.2762638007636416</v>
      </c>
      <c r="M54" s="42">
        <v>1.0793097188846901</v>
      </c>
    </row>
    <row r="55" spans="1:15" x14ac:dyDescent="0.3">
      <c r="A55" s="59" t="s">
        <v>47</v>
      </c>
      <c r="B55" s="52">
        <v>1.81932584269663E-4</v>
      </c>
      <c r="C55" s="59" t="s">
        <v>48</v>
      </c>
      <c r="D55" s="37">
        <v>1</v>
      </c>
      <c r="E55" s="62">
        <f t="shared" si="0"/>
        <v>1.81932584269663E-4</v>
      </c>
      <c r="F55" s="59" t="s">
        <v>220</v>
      </c>
      <c r="G55" s="39" t="s">
        <v>5</v>
      </c>
      <c r="H55" s="59" t="s">
        <v>45</v>
      </c>
      <c r="I55" s="59" t="s">
        <v>25</v>
      </c>
      <c r="J55" s="37">
        <v>2</v>
      </c>
      <c r="K55" s="37">
        <f t="shared" si="5"/>
        <v>-8.6118743556092205</v>
      </c>
      <c r="L55" s="40">
        <f t="shared" si="6"/>
        <v>0.33911649915626546</v>
      </c>
      <c r="M55" s="42">
        <v>1.1218734375719399</v>
      </c>
    </row>
    <row r="56" spans="1:15" x14ac:dyDescent="0.3">
      <c r="A56" s="59" t="s">
        <v>49</v>
      </c>
      <c r="B56" s="52">
        <v>0.36386516853932599</v>
      </c>
      <c r="C56" s="59" t="s">
        <v>27</v>
      </c>
      <c r="D56" s="37">
        <v>1</v>
      </c>
      <c r="E56" s="62">
        <f t="shared" si="0"/>
        <v>0.36386516853932599</v>
      </c>
      <c r="F56" s="59" t="s">
        <v>220</v>
      </c>
      <c r="G56" s="39" t="s">
        <v>5</v>
      </c>
      <c r="H56" s="59" t="s">
        <v>45</v>
      </c>
      <c r="I56" s="59" t="s">
        <v>25</v>
      </c>
      <c r="J56" s="37">
        <v>2</v>
      </c>
      <c r="K56" s="37">
        <f t="shared" si="5"/>
        <v>-1.010971896067139</v>
      </c>
      <c r="L56" s="40">
        <f t="shared" si="6"/>
        <v>0.2762638007636416</v>
      </c>
      <c r="M56" s="40">
        <v>1.0793097188846901</v>
      </c>
    </row>
    <row r="57" spans="1:15" x14ac:dyDescent="0.3">
      <c r="A57" s="59" t="s">
        <v>49</v>
      </c>
      <c r="B57" s="52">
        <v>0.18193258426966299</v>
      </c>
      <c r="C57" s="59" t="s">
        <v>27</v>
      </c>
      <c r="D57" s="37">
        <v>1</v>
      </c>
      <c r="E57" s="62">
        <f t="shared" si="0"/>
        <v>0.18193258426966299</v>
      </c>
      <c r="F57" s="59" t="s">
        <v>220</v>
      </c>
      <c r="G57" s="39" t="s">
        <v>5</v>
      </c>
      <c r="H57" s="59" t="s">
        <v>45</v>
      </c>
      <c r="I57" s="59" t="s">
        <v>25</v>
      </c>
      <c r="J57" s="37">
        <v>2</v>
      </c>
      <c r="K57" s="37">
        <f t="shared" si="5"/>
        <v>-1.7041190766270844</v>
      </c>
      <c r="L57" s="40">
        <f t="shared" si="6"/>
        <v>0.2762638007636416</v>
      </c>
      <c r="M57" s="40">
        <v>1.0793097188846901</v>
      </c>
    </row>
    <row r="58" spans="1:15" x14ac:dyDescent="0.3">
      <c r="A58" s="60" t="s">
        <v>50</v>
      </c>
      <c r="B58" s="52">
        <v>1.09894736842105E-3</v>
      </c>
      <c r="C58" s="59" t="s">
        <v>27</v>
      </c>
      <c r="D58" s="37">
        <v>1</v>
      </c>
      <c r="E58" s="62">
        <f t="shared" si="0"/>
        <v>1.09894736842105E-3</v>
      </c>
      <c r="F58" s="59" t="s">
        <v>220</v>
      </c>
      <c r="G58" s="39" t="s">
        <v>5</v>
      </c>
      <c r="H58" s="59" t="s">
        <v>40</v>
      </c>
      <c r="I58" s="59" t="s">
        <v>25</v>
      </c>
      <c r="J58" s="38">
        <v>2</v>
      </c>
      <c r="K58" s="37">
        <f t="shared" si="5"/>
        <v>-6.8134024951341416</v>
      </c>
      <c r="L58" s="40">
        <f t="shared" si="6"/>
        <v>0.45903493881953172</v>
      </c>
      <c r="M58" s="43">
        <v>1.2345580787321599</v>
      </c>
    </row>
    <row r="59" spans="1:15" x14ac:dyDescent="0.3">
      <c r="A59" s="60" t="s">
        <v>50</v>
      </c>
      <c r="B59" s="52">
        <v>7.3263157894736799E-3</v>
      </c>
      <c r="C59" s="59" t="s">
        <v>27</v>
      </c>
      <c r="D59" s="37">
        <v>1</v>
      </c>
      <c r="E59" s="62">
        <f t="shared" si="0"/>
        <v>7.3263157894736799E-3</v>
      </c>
      <c r="F59" s="59" t="s">
        <v>220</v>
      </c>
      <c r="G59" s="39" t="s">
        <v>5</v>
      </c>
      <c r="H59" s="59" t="s">
        <v>40</v>
      </c>
      <c r="I59" s="59" t="s">
        <v>25</v>
      </c>
      <c r="J59" s="38">
        <v>2</v>
      </c>
      <c r="K59" s="37">
        <f t="shared" si="5"/>
        <v>-4.9162825102482586</v>
      </c>
      <c r="L59" s="40">
        <f t="shared" si="6"/>
        <v>0.47574090212543774</v>
      </c>
      <c r="M59" s="43">
        <v>1.2539886685866699</v>
      </c>
    </row>
    <row r="60" spans="1:15" x14ac:dyDescent="0.3">
      <c r="A60" s="60" t="s">
        <v>51</v>
      </c>
      <c r="B60" s="52">
        <v>1.70947368421053E-3</v>
      </c>
      <c r="C60" s="59" t="s">
        <v>27</v>
      </c>
      <c r="D60" s="37">
        <v>1</v>
      </c>
      <c r="E60" s="62">
        <f t="shared" si="0"/>
        <v>1.70947368421053E-3</v>
      </c>
      <c r="F60" s="59" t="s">
        <v>220</v>
      </c>
      <c r="G60" s="39" t="s">
        <v>5</v>
      </c>
      <c r="H60" s="59" t="s">
        <v>40</v>
      </c>
      <c r="I60" s="59" t="s">
        <v>25</v>
      </c>
      <c r="J60" s="38">
        <v>2</v>
      </c>
      <c r="K60" s="37">
        <f t="shared" si="5"/>
        <v>-6.3715697428550984</v>
      </c>
      <c r="L60" s="40">
        <f t="shared" si="6"/>
        <v>0.47591494309185478</v>
      </c>
      <c r="M60" s="43">
        <v>1.2541963802979099</v>
      </c>
    </row>
    <row r="61" spans="1:15" x14ac:dyDescent="0.3">
      <c r="A61" s="60" t="s">
        <v>52</v>
      </c>
      <c r="B61" s="52">
        <v>4.2736842105263202E-4</v>
      </c>
      <c r="C61" s="59" t="s">
        <v>27</v>
      </c>
      <c r="D61" s="37">
        <v>1</v>
      </c>
      <c r="E61" s="62">
        <f t="shared" si="0"/>
        <v>4.2736842105263202E-4</v>
      </c>
      <c r="F61" s="59" t="s">
        <v>220</v>
      </c>
      <c r="G61" s="39" t="s">
        <v>5</v>
      </c>
      <c r="H61" s="59" t="s">
        <v>40</v>
      </c>
      <c r="I61" s="59" t="s">
        <v>25</v>
      </c>
      <c r="J61" s="38">
        <v>2</v>
      </c>
      <c r="K61" s="37">
        <f t="shared" si="5"/>
        <v>-7.75786410397499</v>
      </c>
      <c r="L61" s="40">
        <f t="shared" si="6"/>
        <v>0.47591494309185478</v>
      </c>
      <c r="M61" s="43">
        <v>1.2541963802979099</v>
      </c>
    </row>
    <row r="62" spans="1:15" x14ac:dyDescent="0.3">
      <c r="A62" s="60" t="s">
        <v>53</v>
      </c>
      <c r="B62" s="52">
        <v>2.34442105263158E-2</v>
      </c>
      <c r="C62" s="59" t="s">
        <v>27</v>
      </c>
      <c r="D62" s="37">
        <v>1</v>
      </c>
      <c r="E62" s="62">
        <f t="shared" si="0"/>
        <v>2.34442105263158E-2</v>
      </c>
      <c r="F62" s="59" t="s">
        <v>220</v>
      </c>
      <c r="G62" s="39" t="s">
        <v>5</v>
      </c>
      <c r="H62" s="59" t="s">
        <v>54</v>
      </c>
      <c r="I62" s="59" t="s">
        <v>25</v>
      </c>
      <c r="J62" s="38">
        <v>2</v>
      </c>
      <c r="K62" s="37">
        <f t="shared" si="5"/>
        <v>-3.753131700442577</v>
      </c>
      <c r="L62" s="40">
        <f t="shared" si="6"/>
        <v>0.47591494309185478</v>
      </c>
      <c r="M62" s="43">
        <v>1.2541963802979099</v>
      </c>
    </row>
    <row r="63" spans="1:15" x14ac:dyDescent="0.3">
      <c r="A63" s="60" t="s">
        <v>55</v>
      </c>
      <c r="B63" s="52">
        <v>8.5473684210526303E-5</v>
      </c>
      <c r="C63" s="59" t="s">
        <v>27</v>
      </c>
      <c r="D63" s="37">
        <v>1</v>
      </c>
      <c r="E63" s="62">
        <f t="shared" si="0"/>
        <v>8.5473684210526303E-5</v>
      </c>
      <c r="F63" s="60" t="s">
        <v>33</v>
      </c>
      <c r="G63" s="39" t="s">
        <v>34</v>
      </c>
      <c r="H63" s="60" t="s">
        <v>5</v>
      </c>
      <c r="I63" s="60" t="s">
        <v>35</v>
      </c>
      <c r="J63" s="37">
        <v>0</v>
      </c>
      <c r="K63" s="37" t="s">
        <v>5</v>
      </c>
      <c r="L63" s="37" t="s">
        <v>5</v>
      </c>
      <c r="M63" s="37" t="s">
        <v>5</v>
      </c>
      <c r="O63" s="2"/>
    </row>
    <row r="64" spans="1:15" x14ac:dyDescent="0.3">
      <c r="A64" s="60" t="s">
        <v>56</v>
      </c>
      <c r="B64" s="52">
        <v>9.4021052631579002E-4</v>
      </c>
      <c r="C64" s="59" t="s">
        <v>27</v>
      </c>
      <c r="D64" s="37">
        <v>1</v>
      </c>
      <c r="E64" s="62">
        <f t="shared" si="0"/>
        <v>9.4021052631579002E-4</v>
      </c>
      <c r="F64" s="60" t="s">
        <v>33</v>
      </c>
      <c r="G64" s="39" t="s">
        <v>34</v>
      </c>
      <c r="H64" s="60" t="s">
        <v>5</v>
      </c>
      <c r="I64" s="60" t="s">
        <v>35</v>
      </c>
      <c r="J64" s="37">
        <v>0</v>
      </c>
      <c r="K64" s="37" t="s">
        <v>5</v>
      </c>
      <c r="L64" s="37" t="s">
        <v>5</v>
      </c>
      <c r="M64" s="37" t="s">
        <v>5</v>
      </c>
      <c r="O64" s="2"/>
    </row>
    <row r="65" spans="1:15" x14ac:dyDescent="0.3">
      <c r="A65" s="60" t="s">
        <v>57</v>
      </c>
      <c r="B65" s="52">
        <v>5.98315789473684E-4</v>
      </c>
      <c r="C65" s="59" t="s">
        <v>27</v>
      </c>
      <c r="D65" s="37">
        <v>1</v>
      </c>
      <c r="E65" s="62">
        <f t="shared" si="0"/>
        <v>5.98315789473684E-4</v>
      </c>
      <c r="F65" s="60" t="s">
        <v>33</v>
      </c>
      <c r="G65" s="39" t="s">
        <v>34</v>
      </c>
      <c r="H65" s="60" t="s">
        <v>5</v>
      </c>
      <c r="I65" s="60" t="s">
        <v>35</v>
      </c>
      <c r="J65" s="37">
        <v>0</v>
      </c>
      <c r="K65" s="37" t="s">
        <v>5</v>
      </c>
      <c r="L65" s="37" t="s">
        <v>5</v>
      </c>
      <c r="M65" s="37" t="s">
        <v>5</v>
      </c>
      <c r="O65" s="2"/>
    </row>
    <row r="66" spans="1:15" x14ac:dyDescent="0.3">
      <c r="A66" s="60" t="s">
        <v>58</v>
      </c>
      <c r="B66" s="52">
        <v>5.4947368421052597E-3</v>
      </c>
      <c r="C66" s="59" t="s">
        <v>27</v>
      </c>
      <c r="D66" s="37">
        <v>1</v>
      </c>
      <c r="E66" s="62">
        <f t="shared" si="0"/>
        <v>5.4947368421052597E-3</v>
      </c>
      <c r="F66" s="59" t="s">
        <v>220</v>
      </c>
      <c r="G66" s="39" t="s">
        <v>5</v>
      </c>
      <c r="H66" s="59" t="s">
        <v>7</v>
      </c>
      <c r="I66" s="59" t="s">
        <v>25</v>
      </c>
      <c r="J66" s="38">
        <v>2</v>
      </c>
      <c r="K66" s="37">
        <f t="shared" ref="K66:K83" si="7">LN(E66)</f>
        <v>-5.2039645827000394</v>
      </c>
      <c r="L66" s="40">
        <f t="shared" ref="L66:L83" si="8">SQRT(LN(M66))</f>
        <v>0.47574090212543774</v>
      </c>
      <c r="M66" s="43">
        <v>1.2539886685866699</v>
      </c>
    </row>
    <row r="67" spans="1:15" x14ac:dyDescent="0.3">
      <c r="A67" s="60" t="s">
        <v>59</v>
      </c>
      <c r="B67" s="52">
        <v>6.0173473684210499E-3</v>
      </c>
      <c r="C67" s="59" t="s">
        <v>27</v>
      </c>
      <c r="D67" s="37">
        <v>1</v>
      </c>
      <c r="E67" s="62">
        <f t="shared" si="0"/>
        <v>6.0173473684210499E-3</v>
      </c>
      <c r="F67" s="59" t="s">
        <v>220</v>
      </c>
      <c r="G67" s="39" t="s">
        <v>5</v>
      </c>
      <c r="H67" s="59" t="s">
        <v>40</v>
      </c>
      <c r="I67" s="59" t="s">
        <v>25</v>
      </c>
      <c r="J67" s="38">
        <v>2</v>
      </c>
      <c r="K67" s="37">
        <f t="shared" si="7"/>
        <v>-5.1131087532450952</v>
      </c>
      <c r="L67" s="40">
        <f t="shared" si="8"/>
        <v>0.47574090212543774</v>
      </c>
      <c r="M67" s="43">
        <v>1.2539886685866699</v>
      </c>
    </row>
    <row r="68" spans="1:15" x14ac:dyDescent="0.3">
      <c r="A68" s="59" t="s">
        <v>31</v>
      </c>
      <c r="B68" s="52">
        <v>0.103936</v>
      </c>
      <c r="C68" s="59" t="s">
        <v>27</v>
      </c>
      <c r="D68" s="37">
        <v>1</v>
      </c>
      <c r="E68" s="62">
        <f t="shared" si="0"/>
        <v>0.103936</v>
      </c>
      <c r="F68" s="59" t="s">
        <v>220</v>
      </c>
      <c r="G68" s="39" t="s">
        <v>5</v>
      </c>
      <c r="H68" s="59" t="s">
        <v>7</v>
      </c>
      <c r="I68" s="59" t="s">
        <v>25</v>
      </c>
      <c r="J68" s="38">
        <v>2</v>
      </c>
      <c r="K68" s="37">
        <f t="shared" si="7"/>
        <v>-2.2639799538829788</v>
      </c>
      <c r="L68" s="40">
        <f t="shared" si="8"/>
        <v>0.24868973518072948</v>
      </c>
      <c r="M68" s="44">
        <v>1.0637991288100499</v>
      </c>
    </row>
    <row r="69" spans="1:15" x14ac:dyDescent="0.3">
      <c r="A69" s="59" t="s">
        <v>36</v>
      </c>
      <c r="B69" s="52">
        <v>9.3234694736842108E-3</v>
      </c>
      <c r="C69" s="59" t="s">
        <v>37</v>
      </c>
      <c r="D69" s="37">
        <v>1</v>
      </c>
      <c r="E69" s="62">
        <f t="shared" si="0"/>
        <v>9.3234694736842108E-3</v>
      </c>
      <c r="F69" s="59" t="s">
        <v>220</v>
      </c>
      <c r="G69" s="39" t="s">
        <v>5</v>
      </c>
      <c r="H69" s="59" t="s">
        <v>7</v>
      </c>
      <c r="I69" s="59" t="s">
        <v>25</v>
      </c>
      <c r="J69" s="38">
        <v>2</v>
      </c>
      <c r="K69" s="37">
        <f t="shared" si="7"/>
        <v>-4.6752204584317036</v>
      </c>
      <c r="L69" s="40">
        <f t="shared" si="8"/>
        <v>0.2762638007636416</v>
      </c>
      <c r="M69" s="43">
        <v>1.0793097188846901</v>
      </c>
    </row>
    <row r="70" spans="1:15" x14ac:dyDescent="0.3">
      <c r="A70" s="59" t="s">
        <v>36</v>
      </c>
      <c r="B70" s="52">
        <v>1.3247999999999999E-2</v>
      </c>
      <c r="C70" s="59" t="s">
        <v>37</v>
      </c>
      <c r="D70" s="37">
        <v>1</v>
      </c>
      <c r="E70" s="62">
        <f t="shared" si="0"/>
        <v>1.3247999999999999E-2</v>
      </c>
      <c r="F70" s="59" t="s">
        <v>220</v>
      </c>
      <c r="G70" s="39" t="s">
        <v>5</v>
      </c>
      <c r="H70" s="59" t="s">
        <v>7</v>
      </c>
      <c r="I70" s="59" t="s">
        <v>25</v>
      </c>
      <c r="J70" s="38">
        <v>2</v>
      </c>
      <c r="K70" s="37">
        <f t="shared" si="7"/>
        <v>-4.3239086813392333</v>
      </c>
      <c r="L70" s="40">
        <f t="shared" si="8"/>
        <v>0.2762638007636416</v>
      </c>
      <c r="M70" s="43">
        <v>1.0793097188846901</v>
      </c>
    </row>
    <row r="71" spans="1:15" x14ac:dyDescent="0.3">
      <c r="A71" s="59" t="s">
        <v>36</v>
      </c>
      <c r="B71" s="52">
        <v>0.25642105263157899</v>
      </c>
      <c r="C71" s="59" t="s">
        <v>37</v>
      </c>
      <c r="D71" s="37">
        <v>1</v>
      </c>
      <c r="E71" s="62">
        <f t="shared" si="0"/>
        <v>0.25642105263157899</v>
      </c>
      <c r="F71" s="59" t="s">
        <v>220</v>
      </c>
      <c r="G71" s="39" t="s">
        <v>5</v>
      </c>
      <c r="H71" s="59" t="s">
        <v>7</v>
      </c>
      <c r="I71" s="59" t="s">
        <v>25</v>
      </c>
      <c r="J71" s="38">
        <v>2</v>
      </c>
      <c r="K71" s="37">
        <f t="shared" si="7"/>
        <v>-1.3609344487588444</v>
      </c>
      <c r="L71" s="40">
        <f t="shared" si="8"/>
        <v>0.47591494309185478</v>
      </c>
      <c r="M71" s="43">
        <v>1.2541963802979099</v>
      </c>
    </row>
    <row r="72" spans="1:15" x14ac:dyDescent="0.3">
      <c r="A72" s="59" t="s">
        <v>36</v>
      </c>
      <c r="B72" s="52">
        <v>1.22105263157895E-2</v>
      </c>
      <c r="C72" s="59" t="s">
        <v>37</v>
      </c>
      <c r="D72" s="37">
        <v>1</v>
      </c>
      <c r="E72" s="62">
        <f t="shared" si="0"/>
        <v>1.22105263157895E-2</v>
      </c>
      <c r="F72" s="59" t="s">
        <v>220</v>
      </c>
      <c r="G72" s="39" t="s">
        <v>5</v>
      </c>
      <c r="H72" s="59" t="s">
        <v>7</v>
      </c>
      <c r="I72" s="59" t="s">
        <v>25</v>
      </c>
      <c r="J72" s="38">
        <v>2</v>
      </c>
      <c r="K72" s="37">
        <f t="shared" si="7"/>
        <v>-4.4054568864822654</v>
      </c>
      <c r="L72" s="40">
        <f t="shared" si="8"/>
        <v>0.45903493881953172</v>
      </c>
      <c r="M72" s="43">
        <v>1.2345580787321599</v>
      </c>
    </row>
    <row r="73" spans="1:15" x14ac:dyDescent="0.3">
      <c r="A73" s="59" t="s">
        <v>36</v>
      </c>
      <c r="B73" s="52">
        <v>0.72042105263157896</v>
      </c>
      <c r="C73" s="59" t="s">
        <v>37</v>
      </c>
      <c r="D73" s="37">
        <v>1</v>
      </c>
      <c r="E73" s="62">
        <f t="shared" si="0"/>
        <v>0.72042105263157896</v>
      </c>
      <c r="F73" s="59" t="s">
        <v>220</v>
      </c>
      <c r="G73" s="39" t="s">
        <v>5</v>
      </c>
      <c r="H73" s="59" t="s">
        <v>7</v>
      </c>
      <c r="I73" s="59" t="s">
        <v>25</v>
      </c>
      <c r="J73" s="38">
        <v>2</v>
      </c>
      <c r="K73" s="37">
        <f t="shared" si="7"/>
        <v>-0.32791944257654809</v>
      </c>
      <c r="L73" s="40">
        <f t="shared" si="8"/>
        <v>0.45903493881953172</v>
      </c>
      <c r="M73" s="43">
        <v>1.2345580787321599</v>
      </c>
    </row>
    <row r="74" spans="1:15" x14ac:dyDescent="0.3">
      <c r="A74" s="59" t="s">
        <v>36</v>
      </c>
      <c r="B74" s="52">
        <v>0.18315789473684199</v>
      </c>
      <c r="C74" s="59" t="s">
        <v>37</v>
      </c>
      <c r="D74" s="37">
        <v>1</v>
      </c>
      <c r="E74" s="62">
        <f t="shared" si="0"/>
        <v>0.18315789473684199</v>
      </c>
      <c r="F74" s="59" t="s">
        <v>220</v>
      </c>
      <c r="G74" s="39" t="s">
        <v>5</v>
      </c>
      <c r="H74" s="59" t="s">
        <v>7</v>
      </c>
      <c r="I74" s="59" t="s">
        <v>25</v>
      </c>
      <c r="J74" s="38">
        <v>2</v>
      </c>
      <c r="K74" s="37">
        <f t="shared" si="7"/>
        <v>-1.697406685380058</v>
      </c>
      <c r="L74" s="40">
        <f t="shared" si="8"/>
        <v>0.31543421455299425</v>
      </c>
      <c r="M74" s="43">
        <v>1.1046170830204201</v>
      </c>
    </row>
    <row r="75" spans="1:15" x14ac:dyDescent="0.3">
      <c r="A75" s="59" t="s">
        <v>36</v>
      </c>
      <c r="B75" s="52">
        <v>1.09406315789474E-3</v>
      </c>
      <c r="C75" s="59" t="s">
        <v>37</v>
      </c>
      <c r="D75" s="37">
        <v>1</v>
      </c>
      <c r="E75" s="62">
        <f t="shared" si="0"/>
        <v>1.09406315789474E-3</v>
      </c>
      <c r="F75" s="59" t="s">
        <v>220</v>
      </c>
      <c r="G75" s="39" t="s">
        <v>5</v>
      </c>
      <c r="H75" s="59" t="s">
        <v>7</v>
      </c>
      <c r="I75" s="59" t="s">
        <v>25</v>
      </c>
      <c r="J75" s="38">
        <v>2</v>
      </c>
      <c r="K75" s="37">
        <f t="shared" si="7"/>
        <v>-6.8178568454835169</v>
      </c>
      <c r="L75" s="40">
        <f t="shared" si="8"/>
        <v>0.31642522335064432</v>
      </c>
      <c r="M75" s="43">
        <v>1.10530898683042</v>
      </c>
    </row>
    <row r="76" spans="1:15" x14ac:dyDescent="0.3">
      <c r="A76" s="59" t="s">
        <v>36</v>
      </c>
      <c r="B76" s="52">
        <v>0.15873684210526301</v>
      </c>
      <c r="C76" s="59" t="s">
        <v>37</v>
      </c>
      <c r="D76" s="37">
        <v>1</v>
      </c>
      <c r="E76" s="62">
        <f t="shared" si="0"/>
        <v>0.15873684210526301</v>
      </c>
      <c r="F76" s="59" t="s">
        <v>220</v>
      </c>
      <c r="G76" s="39" t="s">
        <v>5</v>
      </c>
      <c r="H76" s="59" t="s">
        <v>7</v>
      </c>
      <c r="I76" s="59" t="s">
        <v>25</v>
      </c>
      <c r="J76" s="38">
        <v>2</v>
      </c>
      <c r="K76" s="37">
        <f t="shared" si="7"/>
        <v>-1.8405075290207318</v>
      </c>
      <c r="L76" s="40">
        <f t="shared" si="8"/>
        <v>0.47574090212543774</v>
      </c>
      <c r="M76" s="43">
        <v>1.2539886685866699</v>
      </c>
    </row>
    <row r="77" spans="1:15" x14ac:dyDescent="0.3">
      <c r="A77" s="60" t="s">
        <v>60</v>
      </c>
      <c r="B77" s="52">
        <v>2.0757894736842101E-3</v>
      </c>
      <c r="C77" s="59" t="s">
        <v>27</v>
      </c>
      <c r="D77" s="37">
        <v>1</v>
      </c>
      <c r="E77" s="62">
        <f t="shared" si="0"/>
        <v>2.0757894736842101E-3</v>
      </c>
      <c r="F77" s="59" t="s">
        <v>220</v>
      </c>
      <c r="G77" s="39" t="s">
        <v>5</v>
      </c>
      <c r="H77" s="59" t="s">
        <v>40</v>
      </c>
      <c r="I77" s="59" t="s">
        <v>25</v>
      </c>
      <c r="J77" s="38">
        <v>2</v>
      </c>
      <c r="K77" s="37">
        <f t="shared" si="7"/>
        <v>-6.1774137284141428</v>
      </c>
      <c r="L77" s="40">
        <f t="shared" si="8"/>
        <v>0.47591494309185478</v>
      </c>
      <c r="M77" s="43">
        <v>1.2541963802979099</v>
      </c>
    </row>
    <row r="78" spans="1:15" x14ac:dyDescent="0.3">
      <c r="A78" s="60" t="s">
        <v>44</v>
      </c>
      <c r="B78" s="52">
        <v>1.4627999999999999E-4</v>
      </c>
      <c r="C78" s="59" t="s">
        <v>27</v>
      </c>
      <c r="D78" s="37">
        <v>1</v>
      </c>
      <c r="E78" s="62">
        <f t="shared" ref="E78:E141" si="9">B78*D78</f>
        <v>1.4627999999999999E-4</v>
      </c>
      <c r="F78" s="59" t="s">
        <v>220</v>
      </c>
      <c r="G78" s="39" t="s">
        <v>5</v>
      </c>
      <c r="H78" s="59" t="s">
        <v>45</v>
      </c>
      <c r="I78" s="59" t="s">
        <v>25</v>
      </c>
      <c r="J78" s="38">
        <v>2</v>
      </c>
      <c r="K78" s="37">
        <f t="shared" si="7"/>
        <v>-8.8299879646830934</v>
      </c>
      <c r="L78" s="40">
        <f t="shared" si="8"/>
        <v>0.2762638007636416</v>
      </c>
      <c r="M78" s="45">
        <v>1.0793097188846901</v>
      </c>
    </row>
    <row r="79" spans="1:15" x14ac:dyDescent="0.3">
      <c r="A79" s="60" t="s">
        <v>44</v>
      </c>
      <c r="B79" s="53">
        <v>4.64E-3</v>
      </c>
      <c r="C79" s="59" t="s">
        <v>27</v>
      </c>
      <c r="D79" s="37">
        <v>1</v>
      </c>
      <c r="E79" s="62">
        <f t="shared" si="9"/>
        <v>4.64E-3</v>
      </c>
      <c r="F79" s="59" t="s">
        <v>220</v>
      </c>
      <c r="G79" s="39" t="s">
        <v>5</v>
      </c>
      <c r="H79" s="59" t="s">
        <v>45</v>
      </c>
      <c r="I79" s="59" t="s">
        <v>25</v>
      </c>
      <c r="J79" s="38">
        <v>2</v>
      </c>
      <c r="K79" s="37">
        <f t="shared" si="7"/>
        <v>-5.3730409127439733</v>
      </c>
      <c r="L79" s="40">
        <f t="shared" si="8"/>
        <v>0.3395962690412111</v>
      </c>
      <c r="M79" s="45">
        <v>1.12223880815598</v>
      </c>
      <c r="O79" s="2"/>
    </row>
    <row r="80" spans="1:15" x14ac:dyDescent="0.3">
      <c r="A80" s="60" t="s">
        <v>39</v>
      </c>
      <c r="B80" s="53">
        <v>1.83157894736842E-3</v>
      </c>
      <c r="C80" s="59" t="s">
        <v>27</v>
      </c>
      <c r="D80" s="37">
        <v>1</v>
      </c>
      <c r="E80" s="62">
        <f t="shared" si="9"/>
        <v>1.83157894736842E-3</v>
      </c>
      <c r="F80" s="59" t="s">
        <v>220</v>
      </c>
      <c r="G80" s="39" t="s">
        <v>5</v>
      </c>
      <c r="H80" s="59" t="s">
        <v>40</v>
      </c>
      <c r="I80" s="59" t="s">
        <v>25</v>
      </c>
      <c r="J80" s="38">
        <v>2</v>
      </c>
      <c r="K80" s="37">
        <f t="shared" si="7"/>
        <v>-6.3025768713681494</v>
      </c>
      <c r="L80" s="40">
        <f t="shared" si="8"/>
        <v>0.45903493881953172</v>
      </c>
      <c r="M80" s="43">
        <v>1.2345580787321599</v>
      </c>
      <c r="O80" s="2"/>
    </row>
    <row r="81" spans="1:15" x14ac:dyDescent="0.3">
      <c r="A81" s="60" t="s">
        <v>39</v>
      </c>
      <c r="B81" s="53">
        <v>4.9232842105263099E-3</v>
      </c>
      <c r="C81" s="59" t="s">
        <v>27</v>
      </c>
      <c r="D81" s="37">
        <v>1</v>
      </c>
      <c r="E81" s="62">
        <f t="shared" si="9"/>
        <v>4.9232842105263099E-3</v>
      </c>
      <c r="F81" s="59" t="s">
        <v>220</v>
      </c>
      <c r="G81" s="39" t="s">
        <v>5</v>
      </c>
      <c r="H81" s="59" t="s">
        <v>40</v>
      </c>
      <c r="I81" s="59" t="s">
        <v>25</v>
      </c>
      <c r="J81" s="38">
        <v>2</v>
      </c>
      <c r="K81" s="37">
        <f t="shared" si="7"/>
        <v>-5.3137794487072467</v>
      </c>
      <c r="L81" s="40">
        <f t="shared" si="8"/>
        <v>0.47574090212543774</v>
      </c>
      <c r="M81" s="43">
        <v>1.2539886685866699</v>
      </c>
      <c r="O81" s="2"/>
    </row>
    <row r="82" spans="1:15" x14ac:dyDescent="0.3">
      <c r="A82" s="60" t="s">
        <v>61</v>
      </c>
      <c r="B82" s="53">
        <v>3.1747368421052601E-3</v>
      </c>
      <c r="C82" s="59" t="s">
        <v>27</v>
      </c>
      <c r="D82" s="37">
        <v>1</v>
      </c>
      <c r="E82" s="62">
        <f t="shared" si="9"/>
        <v>3.1747368421052601E-3</v>
      </c>
      <c r="F82" s="59" t="s">
        <v>220</v>
      </c>
      <c r="G82" s="39" t="s">
        <v>5</v>
      </c>
      <c r="H82" s="59" t="s">
        <v>40</v>
      </c>
      <c r="I82" s="59" t="s">
        <v>25</v>
      </c>
      <c r="J82" s="38">
        <v>2</v>
      </c>
      <c r="K82" s="37">
        <f t="shared" si="7"/>
        <v>-5.7525305344488782</v>
      </c>
      <c r="L82" s="40">
        <f t="shared" si="8"/>
        <v>0.45903493881953172</v>
      </c>
      <c r="M82" s="43">
        <v>1.2345580787321599</v>
      </c>
      <c r="O82" s="2"/>
    </row>
    <row r="83" spans="1:15" x14ac:dyDescent="0.3">
      <c r="A83" s="60" t="s">
        <v>61</v>
      </c>
      <c r="B83" s="53">
        <v>7.3263157894736799E-3</v>
      </c>
      <c r="C83" s="59" t="s">
        <v>27</v>
      </c>
      <c r="D83" s="37">
        <v>1</v>
      </c>
      <c r="E83" s="62">
        <f t="shared" si="9"/>
        <v>7.3263157894736799E-3</v>
      </c>
      <c r="F83" s="59" t="s">
        <v>220</v>
      </c>
      <c r="G83" s="39" t="s">
        <v>5</v>
      </c>
      <c r="H83" s="59" t="s">
        <v>40</v>
      </c>
      <c r="I83" s="59" t="s">
        <v>25</v>
      </c>
      <c r="J83" s="38">
        <v>2</v>
      </c>
      <c r="K83" s="37">
        <f t="shared" si="7"/>
        <v>-4.9162825102482586</v>
      </c>
      <c r="L83" s="40">
        <f t="shared" si="8"/>
        <v>0.47574090212543774</v>
      </c>
      <c r="M83" s="43">
        <v>1.2539886685866699</v>
      </c>
      <c r="O83" s="2"/>
    </row>
    <row r="84" spans="1:15" x14ac:dyDescent="0.3">
      <c r="A84" s="60" t="s">
        <v>29</v>
      </c>
      <c r="B84" s="53">
        <v>0.103936</v>
      </c>
      <c r="C84" s="59" t="s">
        <v>27</v>
      </c>
      <c r="D84" s="37">
        <v>1</v>
      </c>
      <c r="E84" s="62">
        <f t="shared" si="9"/>
        <v>0.103936</v>
      </c>
      <c r="F84" s="59" t="s">
        <v>220</v>
      </c>
      <c r="G84" s="39" t="s">
        <v>5</v>
      </c>
      <c r="H84" s="59" t="s">
        <v>7</v>
      </c>
      <c r="I84" s="59" t="s">
        <v>25</v>
      </c>
      <c r="J84" s="37">
        <v>0</v>
      </c>
      <c r="K84" s="37" t="s">
        <v>5</v>
      </c>
      <c r="L84" s="37" t="s">
        <v>5</v>
      </c>
      <c r="M84" s="37" t="s">
        <v>5</v>
      </c>
    </row>
    <row r="85" spans="1:15" x14ac:dyDescent="0.3">
      <c r="A85" s="59" t="s">
        <v>41</v>
      </c>
      <c r="B85" s="52">
        <v>2.9062799999999998E-3</v>
      </c>
      <c r="C85" s="59" t="s">
        <v>27</v>
      </c>
      <c r="D85" s="37">
        <v>1</v>
      </c>
      <c r="E85" s="62">
        <f t="shared" si="9"/>
        <v>2.9062799999999998E-3</v>
      </c>
      <c r="F85" s="59" t="s">
        <v>220</v>
      </c>
      <c r="G85" s="39" t="s">
        <v>5</v>
      </c>
      <c r="H85" s="59" t="s">
        <v>7</v>
      </c>
      <c r="I85" s="59" t="s">
        <v>25</v>
      </c>
      <c r="J85" s="37">
        <v>0</v>
      </c>
      <c r="K85" s="37" t="s">
        <v>5</v>
      </c>
      <c r="L85" s="37" t="s">
        <v>5</v>
      </c>
      <c r="M85" s="37" t="s">
        <v>5</v>
      </c>
    </row>
    <row r="86" spans="1:15" x14ac:dyDescent="0.3">
      <c r="A86" s="59" t="s">
        <v>42</v>
      </c>
      <c r="B86" s="52">
        <v>1.1592E-7</v>
      </c>
      <c r="C86" s="59" t="s">
        <v>27</v>
      </c>
      <c r="D86" s="37">
        <v>1</v>
      </c>
      <c r="E86" s="62">
        <f t="shared" si="9"/>
        <v>1.1592E-7</v>
      </c>
      <c r="F86" s="60" t="s">
        <v>33</v>
      </c>
      <c r="G86" s="39" t="s">
        <v>34</v>
      </c>
      <c r="H86" s="60" t="s">
        <v>5</v>
      </c>
      <c r="I86" s="60" t="s">
        <v>35</v>
      </c>
      <c r="J86" s="37">
        <v>0</v>
      </c>
      <c r="K86" s="37" t="s">
        <v>5</v>
      </c>
      <c r="L86" s="37" t="s">
        <v>5</v>
      </c>
      <c r="M86" s="37" t="s">
        <v>5</v>
      </c>
      <c r="O86" s="2"/>
    </row>
    <row r="87" spans="1:15" x14ac:dyDescent="0.3">
      <c r="A87" s="59" t="s">
        <v>42</v>
      </c>
      <c r="B87" s="53">
        <v>8.8794947368421002E-9</v>
      </c>
      <c r="C87" s="59" t="s">
        <v>27</v>
      </c>
      <c r="D87" s="37">
        <v>1</v>
      </c>
      <c r="E87" s="62">
        <f t="shared" si="9"/>
        <v>8.8794947368421002E-9</v>
      </c>
      <c r="F87" s="60" t="s">
        <v>33</v>
      </c>
      <c r="G87" s="39" t="s">
        <v>43</v>
      </c>
      <c r="H87" s="60" t="s">
        <v>5</v>
      </c>
      <c r="I87" s="60" t="s">
        <v>35</v>
      </c>
      <c r="J87" s="37">
        <v>0</v>
      </c>
      <c r="K87" s="37" t="s">
        <v>5</v>
      </c>
      <c r="L87" s="37" t="s">
        <v>5</v>
      </c>
      <c r="M87" s="37" t="s">
        <v>5</v>
      </c>
      <c r="O87" s="2"/>
    </row>
    <row r="88" spans="1:15" x14ac:dyDescent="0.3">
      <c r="A88" s="60" t="s">
        <v>62</v>
      </c>
      <c r="B88" s="53">
        <v>2.1368421052631601</v>
      </c>
      <c r="C88" s="59" t="s">
        <v>27</v>
      </c>
      <c r="D88" s="37">
        <v>1</v>
      </c>
      <c r="E88" s="62">
        <f t="shared" si="9"/>
        <v>2.1368421052631601</v>
      </c>
      <c r="F88" s="59" t="s">
        <v>220</v>
      </c>
      <c r="G88" s="39" t="s">
        <v>5</v>
      </c>
      <c r="H88" s="59" t="s">
        <v>40</v>
      </c>
      <c r="I88" s="59" t="s">
        <v>25</v>
      </c>
      <c r="J88" s="38">
        <v>2</v>
      </c>
      <c r="K88" s="37">
        <f>LN(E88)</f>
        <v>0.7593290874412475</v>
      </c>
      <c r="L88" s="40">
        <f>SQRT(LN(M88))</f>
        <v>0.45903493881953172</v>
      </c>
      <c r="M88" s="43">
        <v>1.2345580787321599</v>
      </c>
      <c r="O88" s="2"/>
    </row>
    <row r="89" spans="1:15" x14ac:dyDescent="0.3">
      <c r="A89" s="60" t="s">
        <v>63</v>
      </c>
      <c r="B89" s="53">
        <v>3.4189473684210499E-4</v>
      </c>
      <c r="C89" s="59" t="s">
        <v>27</v>
      </c>
      <c r="D89" s="37">
        <v>1</v>
      </c>
      <c r="E89" s="62">
        <f t="shared" si="9"/>
        <v>3.4189473684210499E-4</v>
      </c>
      <c r="F89" s="60" t="s">
        <v>33</v>
      </c>
      <c r="G89" s="39" t="s">
        <v>34</v>
      </c>
      <c r="H89" s="60" t="s">
        <v>5</v>
      </c>
      <c r="I89" s="60" t="s">
        <v>35</v>
      </c>
      <c r="J89" s="37">
        <v>0</v>
      </c>
      <c r="K89" s="37" t="s">
        <v>5</v>
      </c>
      <c r="L89" s="37" t="s">
        <v>5</v>
      </c>
      <c r="M89" s="37" t="s">
        <v>5</v>
      </c>
      <c r="O89" s="2"/>
    </row>
    <row r="90" spans="1:15" x14ac:dyDescent="0.3">
      <c r="A90" s="60" t="s">
        <v>63</v>
      </c>
      <c r="B90" s="53">
        <v>2.8084210526315798E-3</v>
      </c>
      <c r="C90" s="59" t="s">
        <v>27</v>
      </c>
      <c r="D90" s="37">
        <v>1</v>
      </c>
      <c r="E90" s="62">
        <f t="shared" si="9"/>
        <v>2.8084210526315798E-3</v>
      </c>
      <c r="F90" s="60" t="s">
        <v>33</v>
      </c>
      <c r="G90" s="39" t="s">
        <v>34</v>
      </c>
      <c r="H90" s="60" t="s">
        <v>5</v>
      </c>
      <c r="I90" s="60" t="s">
        <v>35</v>
      </c>
      <c r="J90" s="37">
        <v>0</v>
      </c>
      <c r="K90" s="37" t="s">
        <v>5</v>
      </c>
      <c r="L90" s="37" t="s">
        <v>5</v>
      </c>
      <c r="M90" s="37" t="s">
        <v>5</v>
      </c>
      <c r="O90" s="2"/>
    </row>
    <row r="91" spans="1:15" x14ac:dyDescent="0.3">
      <c r="A91" s="60" t="s">
        <v>64</v>
      </c>
      <c r="B91" s="53">
        <v>1.58736842105263E-2</v>
      </c>
      <c r="C91" s="59" t="s">
        <v>27</v>
      </c>
      <c r="D91" s="37">
        <v>1</v>
      </c>
      <c r="E91" s="62">
        <f t="shared" si="9"/>
        <v>1.58736842105263E-2</v>
      </c>
      <c r="F91" s="59" t="s">
        <v>220</v>
      </c>
      <c r="G91" s="39" t="s">
        <v>5</v>
      </c>
      <c r="H91" s="59" t="s">
        <v>7</v>
      </c>
      <c r="I91" s="59" t="s">
        <v>25</v>
      </c>
      <c r="J91" s="38">
        <v>2</v>
      </c>
      <c r="K91" s="37">
        <f>LN(E91)</f>
        <v>-4.1430926220147777</v>
      </c>
      <c r="L91" s="40">
        <f>SQRT(LN(M91))</f>
        <v>0.47574090212543774</v>
      </c>
      <c r="M91" s="43">
        <v>1.2539886685866699</v>
      </c>
      <c r="O91" s="2"/>
    </row>
    <row r="92" spans="1:15" x14ac:dyDescent="0.3">
      <c r="A92" s="60" t="s">
        <v>65</v>
      </c>
      <c r="B92" s="53">
        <v>1.58736842105263E-2</v>
      </c>
      <c r="C92" s="59" t="s">
        <v>27</v>
      </c>
      <c r="D92" s="37">
        <v>1</v>
      </c>
      <c r="E92" s="62">
        <f t="shared" si="9"/>
        <v>1.58736842105263E-2</v>
      </c>
      <c r="F92" s="59" t="s">
        <v>220</v>
      </c>
      <c r="G92" s="39" t="s">
        <v>5</v>
      </c>
      <c r="H92" s="59" t="s">
        <v>7</v>
      </c>
      <c r="I92" s="59" t="s">
        <v>25</v>
      </c>
      <c r="J92" s="38">
        <v>2</v>
      </c>
      <c r="K92" s="37">
        <f>LN(E92)</f>
        <v>-4.1430926220147777</v>
      </c>
      <c r="L92" s="40">
        <f>SQRT(LN(M92))</f>
        <v>0.47574090212543774</v>
      </c>
      <c r="M92" s="43">
        <v>1.2539886685866699</v>
      </c>
      <c r="O92" s="2"/>
    </row>
    <row r="93" spans="1:15" x14ac:dyDescent="0.3">
      <c r="A93" s="60" t="s">
        <v>28</v>
      </c>
      <c r="B93" s="52">
        <v>0.103936</v>
      </c>
      <c r="C93" s="59" t="s">
        <v>27</v>
      </c>
      <c r="D93" s="37">
        <v>1</v>
      </c>
      <c r="E93" s="62">
        <f t="shared" si="9"/>
        <v>0.103936</v>
      </c>
      <c r="F93" s="59" t="s">
        <v>220</v>
      </c>
      <c r="G93" s="39" t="s">
        <v>5</v>
      </c>
      <c r="H93" s="59" t="s">
        <v>7</v>
      </c>
      <c r="I93" s="59" t="s">
        <v>25</v>
      </c>
      <c r="J93" s="37">
        <v>0</v>
      </c>
      <c r="K93" s="37" t="s">
        <v>5</v>
      </c>
      <c r="L93" s="37" t="s">
        <v>5</v>
      </c>
      <c r="M93" s="37" t="s">
        <v>5</v>
      </c>
    </row>
    <row r="94" spans="1:15" x14ac:dyDescent="0.3">
      <c r="A94" s="60" t="s">
        <v>26</v>
      </c>
      <c r="B94" s="52">
        <v>2.2198736842105301E-4</v>
      </c>
      <c r="C94" s="59" t="s">
        <v>27</v>
      </c>
      <c r="D94" s="37">
        <v>1</v>
      </c>
      <c r="E94" s="62">
        <f t="shared" si="9"/>
        <v>2.2198736842105301E-4</v>
      </c>
      <c r="F94" s="59" t="s">
        <v>220</v>
      </c>
      <c r="G94" s="39" t="s">
        <v>5</v>
      </c>
      <c r="H94" s="59" t="s">
        <v>7</v>
      </c>
      <c r="I94" s="59" t="s">
        <v>25</v>
      </c>
      <c r="J94" s="38">
        <v>2</v>
      </c>
      <c r="K94" s="37">
        <f t="shared" ref="K94:K112" si="10">LN(E94)</f>
        <v>-8.4128900767150707</v>
      </c>
      <c r="L94" s="40">
        <f t="shared" ref="L94:L112" si="11">SQRT(LN(M94))</f>
        <v>0.2762638007636416</v>
      </c>
      <c r="M94" s="43">
        <v>1.0793097188846901</v>
      </c>
    </row>
    <row r="95" spans="1:15" x14ac:dyDescent="0.3">
      <c r="A95" s="60" t="s">
        <v>66</v>
      </c>
      <c r="B95" s="53">
        <v>6.1052631578947403E-3</v>
      </c>
      <c r="C95" s="59" t="s">
        <v>27</v>
      </c>
      <c r="D95" s="37">
        <v>1</v>
      </c>
      <c r="E95" s="62">
        <f t="shared" si="9"/>
        <v>6.1052631578947403E-3</v>
      </c>
      <c r="F95" s="59" t="s">
        <v>220</v>
      </c>
      <c r="G95" s="39" t="s">
        <v>5</v>
      </c>
      <c r="H95" s="59" t="s">
        <v>45</v>
      </c>
      <c r="I95" s="59" t="s">
        <v>25</v>
      </c>
      <c r="J95" s="38">
        <v>2</v>
      </c>
      <c r="K95" s="37">
        <f t="shared" si="10"/>
        <v>-5.0986040670422126</v>
      </c>
      <c r="L95" s="40">
        <f t="shared" si="11"/>
        <v>0.45903493881953172</v>
      </c>
      <c r="M95" s="45">
        <v>1.2345580787321599</v>
      </c>
      <c r="O95" s="2"/>
    </row>
    <row r="96" spans="1:15" x14ac:dyDescent="0.3">
      <c r="A96" s="60" t="s">
        <v>66</v>
      </c>
      <c r="B96" s="53">
        <v>5.2505263157894701E-2</v>
      </c>
      <c r="C96" s="59" t="s">
        <v>27</v>
      </c>
      <c r="D96" s="37">
        <v>1</v>
      </c>
      <c r="E96" s="62">
        <f t="shared" si="9"/>
        <v>5.2505263157894701E-2</v>
      </c>
      <c r="F96" s="59" t="s">
        <v>220</v>
      </c>
      <c r="G96" s="39" t="s">
        <v>5</v>
      </c>
      <c r="H96" s="59" t="s">
        <v>45</v>
      </c>
      <c r="I96" s="59" t="s">
        <v>25</v>
      </c>
      <c r="J96" s="38">
        <v>2</v>
      </c>
      <c r="K96" s="37">
        <f t="shared" si="10"/>
        <v>-2.9468418637827516</v>
      </c>
      <c r="L96" s="40">
        <f t="shared" si="11"/>
        <v>0.47574090212543774</v>
      </c>
      <c r="M96" s="45">
        <v>1.2539886685866699</v>
      </c>
      <c r="O96" s="2"/>
    </row>
    <row r="97" spans="1:15" x14ac:dyDescent="0.3">
      <c r="A97" s="60" t="s">
        <v>46</v>
      </c>
      <c r="B97" s="53">
        <v>3.9957726315789502E-4</v>
      </c>
      <c r="C97" s="59" t="s">
        <v>27</v>
      </c>
      <c r="D97" s="37">
        <v>1</v>
      </c>
      <c r="E97" s="62">
        <f t="shared" si="9"/>
        <v>3.9957726315789502E-4</v>
      </c>
      <c r="F97" s="59" t="s">
        <v>220</v>
      </c>
      <c r="G97" s="39" t="s">
        <v>5</v>
      </c>
      <c r="H97" s="59" t="s">
        <v>40</v>
      </c>
      <c r="I97" s="59" t="s">
        <v>25</v>
      </c>
      <c r="J97" s="38">
        <v>2</v>
      </c>
      <c r="K97" s="37">
        <f t="shared" si="10"/>
        <v>-7.8251034118129521</v>
      </c>
      <c r="L97" s="40">
        <f t="shared" si="11"/>
        <v>0.2762638007636416</v>
      </c>
      <c r="M97" s="43">
        <v>1.0793097188846901</v>
      </c>
      <c r="O97" s="2"/>
    </row>
    <row r="98" spans="1:15" x14ac:dyDescent="0.3">
      <c r="A98" s="60" t="s">
        <v>47</v>
      </c>
      <c r="B98" s="53">
        <v>3.5517978947368403E-4</v>
      </c>
      <c r="C98" s="59" t="s">
        <v>48</v>
      </c>
      <c r="D98" s="37">
        <v>1</v>
      </c>
      <c r="E98" s="62">
        <f t="shared" si="9"/>
        <v>3.5517978947368403E-4</v>
      </c>
      <c r="F98" s="59" t="s">
        <v>220</v>
      </c>
      <c r="G98" s="39" t="s">
        <v>5</v>
      </c>
      <c r="H98" s="59" t="s">
        <v>45</v>
      </c>
      <c r="I98" s="59" t="s">
        <v>25</v>
      </c>
      <c r="J98" s="38">
        <v>2</v>
      </c>
      <c r="K98" s="37">
        <f t="shared" si="10"/>
        <v>-7.9428864474693368</v>
      </c>
      <c r="L98" s="40">
        <f t="shared" si="11"/>
        <v>0.2762638007636416</v>
      </c>
      <c r="M98" s="45">
        <v>1.0793097188846901</v>
      </c>
      <c r="O98" s="2"/>
    </row>
    <row r="99" spans="1:15" x14ac:dyDescent="0.3">
      <c r="A99" s="60" t="s">
        <v>47</v>
      </c>
      <c r="B99" s="53">
        <v>1.7758989473684201E-4</v>
      </c>
      <c r="C99" s="59" t="s">
        <v>48</v>
      </c>
      <c r="D99" s="37">
        <v>1</v>
      </c>
      <c r="E99" s="62">
        <f t="shared" si="9"/>
        <v>1.7758989473684201E-4</v>
      </c>
      <c r="F99" s="59" t="s">
        <v>220</v>
      </c>
      <c r="G99" s="39" t="s">
        <v>5</v>
      </c>
      <c r="H99" s="59" t="s">
        <v>45</v>
      </c>
      <c r="I99" s="59" t="s">
        <v>25</v>
      </c>
      <c r="J99" s="38">
        <v>2</v>
      </c>
      <c r="K99" s="37">
        <f t="shared" si="10"/>
        <v>-8.6360336280292813</v>
      </c>
      <c r="L99" s="40">
        <f t="shared" si="11"/>
        <v>0.33911649915626546</v>
      </c>
      <c r="M99" s="45">
        <v>1.1218734375719399</v>
      </c>
      <c r="O99" s="2"/>
    </row>
    <row r="100" spans="1:15" x14ac:dyDescent="0.3">
      <c r="A100" s="60" t="s">
        <v>49</v>
      </c>
      <c r="B100" s="53">
        <v>0.355179789473684</v>
      </c>
      <c r="C100" s="59" t="s">
        <v>27</v>
      </c>
      <c r="D100" s="37">
        <v>1</v>
      </c>
      <c r="E100" s="62">
        <f t="shared" si="9"/>
        <v>0.355179789473684</v>
      </c>
      <c r="F100" s="59" t="s">
        <v>220</v>
      </c>
      <c r="G100" s="39" t="s">
        <v>5</v>
      </c>
      <c r="H100" s="59" t="s">
        <v>45</v>
      </c>
      <c r="I100" s="59" t="s">
        <v>25</v>
      </c>
      <c r="J100" s="38">
        <v>2</v>
      </c>
      <c r="K100" s="37">
        <f t="shared" si="10"/>
        <v>-1.0351311684871998</v>
      </c>
      <c r="L100" s="40">
        <f t="shared" si="11"/>
        <v>0.2762638007636416</v>
      </c>
      <c r="M100" s="43">
        <v>1.0793097188846901</v>
      </c>
    </row>
    <row r="101" spans="1:15" x14ac:dyDescent="0.3">
      <c r="A101" s="60" t="s">
        <v>49</v>
      </c>
      <c r="B101" s="53">
        <v>0.177589894736842</v>
      </c>
      <c r="C101" s="59" t="s">
        <v>27</v>
      </c>
      <c r="D101" s="37">
        <v>1</v>
      </c>
      <c r="E101" s="62">
        <f t="shared" si="9"/>
        <v>0.177589894736842</v>
      </c>
      <c r="F101" s="59" t="s">
        <v>220</v>
      </c>
      <c r="G101" s="39" t="s">
        <v>5</v>
      </c>
      <c r="H101" s="59" t="s">
        <v>45</v>
      </c>
      <c r="I101" s="59" t="s">
        <v>25</v>
      </c>
      <c r="J101" s="38">
        <v>2</v>
      </c>
      <c r="K101" s="37">
        <f t="shared" si="10"/>
        <v>-1.7282783490471452</v>
      </c>
      <c r="L101" s="40">
        <f t="shared" si="11"/>
        <v>0.2762638007636416</v>
      </c>
      <c r="M101" s="43">
        <v>1.0793097188846901</v>
      </c>
    </row>
    <row r="102" spans="1:15" x14ac:dyDescent="0.3">
      <c r="A102" s="60" t="s">
        <v>49</v>
      </c>
      <c r="B102" s="53">
        <v>0.29305263157894701</v>
      </c>
      <c r="C102" s="59" t="s">
        <v>27</v>
      </c>
      <c r="D102" s="37">
        <v>1</v>
      </c>
      <c r="E102" s="62">
        <f t="shared" si="9"/>
        <v>0.29305263157894701</v>
      </c>
      <c r="F102" s="59" t="s">
        <v>220</v>
      </c>
      <c r="G102" s="39" t="s">
        <v>5</v>
      </c>
      <c r="H102" s="59" t="s">
        <v>45</v>
      </c>
      <c r="I102" s="59" t="s">
        <v>25</v>
      </c>
      <c r="J102" s="38">
        <v>2</v>
      </c>
      <c r="K102" s="37">
        <f t="shared" si="10"/>
        <v>-1.2274030561343232</v>
      </c>
      <c r="L102" s="40">
        <f t="shared" si="11"/>
        <v>0.47574090212543774</v>
      </c>
      <c r="M102" s="43">
        <v>1.2539886685866699</v>
      </c>
    </row>
    <row r="103" spans="1:15" x14ac:dyDescent="0.3">
      <c r="A103" s="60" t="s">
        <v>49</v>
      </c>
      <c r="B103" s="52">
        <v>9.7684210526315807E-3</v>
      </c>
      <c r="C103" s="59" t="s">
        <v>27</v>
      </c>
      <c r="D103" s="37">
        <v>1</v>
      </c>
      <c r="E103" s="62">
        <f t="shared" si="9"/>
        <v>9.7684210526315807E-3</v>
      </c>
      <c r="F103" s="59" t="s">
        <v>220</v>
      </c>
      <c r="G103" s="39" t="s">
        <v>5</v>
      </c>
      <c r="H103" s="59" t="s">
        <v>45</v>
      </c>
      <c r="I103" s="59" t="s">
        <v>25</v>
      </c>
      <c r="J103" s="38">
        <v>2</v>
      </c>
      <c r="K103" s="37">
        <f t="shared" si="10"/>
        <v>-4.6286004377964769</v>
      </c>
      <c r="L103" s="40">
        <f t="shared" si="11"/>
        <v>0.45903493881953172</v>
      </c>
      <c r="M103" s="43">
        <v>1.2345580787321599</v>
      </c>
    </row>
    <row r="104" spans="1:15" x14ac:dyDescent="0.3">
      <c r="A104" s="60" t="s">
        <v>49</v>
      </c>
      <c r="B104" s="52">
        <v>3.6104084210526299E-2</v>
      </c>
      <c r="C104" s="59" t="s">
        <v>27</v>
      </c>
      <c r="D104" s="37">
        <v>1</v>
      </c>
      <c r="E104" s="62">
        <f t="shared" si="9"/>
        <v>3.6104084210526299E-2</v>
      </c>
      <c r="F104" s="59" t="s">
        <v>220</v>
      </c>
      <c r="G104" s="39" t="s">
        <v>5</v>
      </c>
      <c r="H104" s="59" t="s">
        <v>45</v>
      </c>
      <c r="I104" s="59" t="s">
        <v>25</v>
      </c>
      <c r="J104" s="38">
        <v>2</v>
      </c>
      <c r="K104" s="37">
        <f t="shared" si="10"/>
        <v>-3.3213492840170402</v>
      </c>
      <c r="L104" s="40">
        <f t="shared" si="11"/>
        <v>0.47574090212543774</v>
      </c>
      <c r="M104" s="43">
        <v>1.2539886685866699</v>
      </c>
    </row>
    <row r="105" spans="1:15" x14ac:dyDescent="0.3">
      <c r="A105" s="60" t="s">
        <v>67</v>
      </c>
      <c r="B105" s="52">
        <v>1.48968421052632E-2</v>
      </c>
      <c r="C105" s="59" t="s">
        <v>27</v>
      </c>
      <c r="D105" s="37">
        <v>1</v>
      </c>
      <c r="E105" s="62">
        <f t="shared" si="9"/>
        <v>1.48968421052632E-2</v>
      </c>
      <c r="F105" s="59" t="s">
        <v>220</v>
      </c>
      <c r="G105" s="39" t="s">
        <v>5</v>
      </c>
      <c r="H105" s="59" t="s">
        <v>40</v>
      </c>
      <c r="I105" s="59" t="s">
        <v>25</v>
      </c>
      <c r="J105" s="38">
        <v>2</v>
      </c>
      <c r="K105" s="37">
        <f t="shared" si="10"/>
        <v>-4.2066060277370996</v>
      </c>
      <c r="L105" s="40">
        <f t="shared" si="11"/>
        <v>0.47591494309185478</v>
      </c>
      <c r="M105" s="43">
        <v>1.2541963802979099</v>
      </c>
    </row>
    <row r="106" spans="1:15" x14ac:dyDescent="0.3">
      <c r="A106" s="59" t="s">
        <v>36</v>
      </c>
      <c r="B106" s="52">
        <v>2.93165305263158E-2</v>
      </c>
      <c r="C106" s="59" t="s">
        <v>37</v>
      </c>
      <c r="D106" s="37">
        <v>1</v>
      </c>
      <c r="E106" s="62">
        <f t="shared" si="9"/>
        <v>2.93165305263158E-2</v>
      </c>
      <c r="F106" s="59" t="s">
        <v>220</v>
      </c>
      <c r="G106" s="39" t="s">
        <v>5</v>
      </c>
      <c r="H106" s="59" t="s">
        <v>7</v>
      </c>
      <c r="I106" s="59" t="s">
        <v>25</v>
      </c>
      <c r="J106" s="38">
        <v>2</v>
      </c>
      <c r="K106" s="38">
        <f t="shared" si="10"/>
        <v>-3.5296037402643021</v>
      </c>
      <c r="L106" s="43">
        <f t="shared" si="11"/>
        <v>0.2762638007636416</v>
      </c>
      <c r="M106" s="43">
        <v>1.0793097188846901</v>
      </c>
    </row>
    <row r="107" spans="1:15" x14ac:dyDescent="0.3">
      <c r="A107" s="59" t="s">
        <v>26</v>
      </c>
      <c r="B107" s="52">
        <v>6.9801263157894802E-4</v>
      </c>
      <c r="C107" s="59" t="s">
        <v>27</v>
      </c>
      <c r="D107" s="37">
        <v>1</v>
      </c>
      <c r="E107" s="62">
        <f t="shared" si="9"/>
        <v>6.9801263157894802E-4</v>
      </c>
      <c r="F107" s="59" t="s">
        <v>220</v>
      </c>
      <c r="G107" s="39" t="s">
        <v>5</v>
      </c>
      <c r="H107" s="59" t="s">
        <v>7</v>
      </c>
      <c r="I107" s="59" t="s">
        <v>25</v>
      </c>
      <c r="J107" s="38">
        <v>2</v>
      </c>
      <c r="K107" s="38">
        <f t="shared" si="10"/>
        <v>-7.2672733585476701</v>
      </c>
      <c r="L107" s="43">
        <f t="shared" si="11"/>
        <v>0.2762638007636416</v>
      </c>
      <c r="M107" s="43">
        <v>1.0793097188846901</v>
      </c>
    </row>
    <row r="108" spans="1:15" x14ac:dyDescent="0.3">
      <c r="A108" s="59" t="s">
        <v>46</v>
      </c>
      <c r="B108" s="52">
        <v>1.25642273684211E-3</v>
      </c>
      <c r="C108" s="59" t="s">
        <v>27</v>
      </c>
      <c r="D108" s="37">
        <v>1</v>
      </c>
      <c r="E108" s="62">
        <f t="shared" si="9"/>
        <v>1.25642273684211E-3</v>
      </c>
      <c r="F108" s="59" t="s">
        <v>220</v>
      </c>
      <c r="G108" s="39" t="s">
        <v>5</v>
      </c>
      <c r="H108" s="59" t="s">
        <v>40</v>
      </c>
      <c r="I108" s="59" t="s">
        <v>25</v>
      </c>
      <c r="J108" s="38">
        <v>2</v>
      </c>
      <c r="K108" s="38">
        <f t="shared" si="10"/>
        <v>-6.6794866936455479</v>
      </c>
      <c r="L108" s="43">
        <f t="shared" si="11"/>
        <v>0.2762638007636416</v>
      </c>
      <c r="M108" s="43">
        <v>1.0793097188846901</v>
      </c>
    </row>
    <row r="109" spans="1:15" x14ac:dyDescent="0.3">
      <c r="A109" s="59" t="s">
        <v>49</v>
      </c>
      <c r="B109" s="52">
        <v>1.1168202105263201</v>
      </c>
      <c r="C109" s="59" t="s">
        <v>27</v>
      </c>
      <c r="D109" s="37">
        <v>1</v>
      </c>
      <c r="E109" s="62">
        <f t="shared" si="9"/>
        <v>1.1168202105263201</v>
      </c>
      <c r="F109" s="59" t="s">
        <v>220</v>
      </c>
      <c r="G109" s="39" t="s">
        <v>5</v>
      </c>
      <c r="H109" s="59" t="s">
        <v>45</v>
      </c>
      <c r="I109" s="59" t="s">
        <v>25</v>
      </c>
      <c r="J109" s="38">
        <v>2</v>
      </c>
      <c r="K109" s="38">
        <f t="shared" si="10"/>
        <v>0.11048554968020555</v>
      </c>
      <c r="L109" s="43">
        <f t="shared" si="11"/>
        <v>0.2762638007636416</v>
      </c>
      <c r="M109" s="43">
        <v>1.0793097188846901</v>
      </c>
    </row>
    <row r="110" spans="1:15" x14ac:dyDescent="0.3">
      <c r="A110" s="59" t="s">
        <v>47</v>
      </c>
      <c r="B110" s="52">
        <v>1.11682021052632E-3</v>
      </c>
      <c r="C110" s="59" t="s">
        <v>48</v>
      </c>
      <c r="D110" s="37">
        <v>1</v>
      </c>
      <c r="E110" s="62">
        <f t="shared" si="9"/>
        <v>1.11682021052632E-3</v>
      </c>
      <c r="F110" s="59" t="s">
        <v>220</v>
      </c>
      <c r="G110" s="39" t="s">
        <v>5</v>
      </c>
      <c r="H110" s="59" t="s">
        <v>45</v>
      </c>
      <c r="I110" s="59" t="s">
        <v>25</v>
      </c>
      <c r="J110" s="38">
        <v>2</v>
      </c>
      <c r="K110" s="38">
        <f t="shared" si="10"/>
        <v>-6.7972697293019317</v>
      </c>
      <c r="L110" s="43">
        <f t="shared" si="11"/>
        <v>0.2762638007636416</v>
      </c>
      <c r="M110" s="45">
        <v>1.0793097188846901</v>
      </c>
    </row>
    <row r="111" spans="1:15" x14ac:dyDescent="0.3">
      <c r="A111" s="59" t="s">
        <v>41</v>
      </c>
      <c r="B111" s="52">
        <v>2.9062799999999998E-3</v>
      </c>
      <c r="C111" s="59" t="s">
        <v>27</v>
      </c>
      <c r="D111" s="37">
        <v>1</v>
      </c>
      <c r="E111" s="62">
        <f t="shared" si="9"/>
        <v>2.9062799999999998E-3</v>
      </c>
      <c r="F111" s="59" t="s">
        <v>220</v>
      </c>
      <c r="G111" s="39" t="s">
        <v>5</v>
      </c>
      <c r="H111" s="59" t="s">
        <v>7</v>
      </c>
      <c r="I111" s="59" t="s">
        <v>25</v>
      </c>
      <c r="J111" s="38">
        <v>2</v>
      </c>
      <c r="K111" s="38">
        <f t="shared" si="10"/>
        <v>-5.8408813661012404</v>
      </c>
      <c r="L111" s="43">
        <f t="shared" si="11"/>
        <v>0.2762638007636416</v>
      </c>
      <c r="M111" s="43">
        <v>1.0793097188846901</v>
      </c>
    </row>
    <row r="112" spans="1:15" x14ac:dyDescent="0.3">
      <c r="A112" s="59" t="s">
        <v>36</v>
      </c>
      <c r="B112" s="52">
        <v>1.3247999999999999E-2</v>
      </c>
      <c r="C112" s="59" t="s">
        <v>37</v>
      </c>
      <c r="D112" s="37">
        <v>1</v>
      </c>
      <c r="E112" s="62">
        <f t="shared" si="9"/>
        <v>1.3247999999999999E-2</v>
      </c>
      <c r="F112" s="59" t="s">
        <v>220</v>
      </c>
      <c r="G112" s="39" t="s">
        <v>5</v>
      </c>
      <c r="H112" s="59" t="s">
        <v>7</v>
      </c>
      <c r="I112" s="59" t="s">
        <v>25</v>
      </c>
      <c r="J112" s="38">
        <v>2</v>
      </c>
      <c r="K112" s="38">
        <f t="shared" si="10"/>
        <v>-4.3239086813392333</v>
      </c>
      <c r="L112" s="43">
        <f t="shared" si="11"/>
        <v>0.2762638007636416</v>
      </c>
      <c r="M112" s="43">
        <v>1.0793097188846901</v>
      </c>
    </row>
    <row r="113" spans="1:15" x14ac:dyDescent="0.3">
      <c r="A113" s="59" t="s">
        <v>42</v>
      </c>
      <c r="B113" s="52">
        <v>1.1592E-7</v>
      </c>
      <c r="C113" s="59" t="s">
        <v>27</v>
      </c>
      <c r="D113" s="37">
        <v>1</v>
      </c>
      <c r="E113" s="62">
        <f t="shared" si="9"/>
        <v>1.1592E-7</v>
      </c>
      <c r="F113" s="60" t="s">
        <v>33</v>
      </c>
      <c r="G113" s="39" t="s">
        <v>34</v>
      </c>
      <c r="H113" s="60" t="s">
        <v>5</v>
      </c>
      <c r="I113" s="60" t="s">
        <v>35</v>
      </c>
      <c r="J113" s="37">
        <v>0</v>
      </c>
      <c r="K113" s="37" t="s">
        <v>5</v>
      </c>
      <c r="L113" s="37" t="s">
        <v>5</v>
      </c>
      <c r="M113" s="37" t="s">
        <v>5</v>
      </c>
      <c r="O113" s="2"/>
    </row>
    <row r="114" spans="1:15" x14ac:dyDescent="0.3">
      <c r="A114" s="59" t="s">
        <v>44</v>
      </c>
      <c r="B114" s="52">
        <v>1.4627999999999999E-4</v>
      </c>
      <c r="C114" s="59" t="s">
        <v>27</v>
      </c>
      <c r="D114" s="37">
        <v>1</v>
      </c>
      <c r="E114" s="62">
        <f t="shared" si="9"/>
        <v>1.4627999999999999E-4</v>
      </c>
      <c r="F114" s="59" t="s">
        <v>220</v>
      </c>
      <c r="G114" s="39" t="s">
        <v>5</v>
      </c>
      <c r="H114" s="59" t="s">
        <v>45</v>
      </c>
      <c r="I114" s="59" t="s">
        <v>25</v>
      </c>
      <c r="J114" s="38">
        <v>2</v>
      </c>
      <c r="K114" s="38">
        <f>LN(E114)</f>
        <v>-8.8299879646830934</v>
      </c>
      <c r="L114" s="43">
        <f>SQRT(LN(M114))</f>
        <v>0.2762638007636416</v>
      </c>
      <c r="M114" s="45">
        <v>1.0793097188846901</v>
      </c>
    </row>
    <row r="115" spans="1:15" x14ac:dyDescent="0.3">
      <c r="A115" s="59" t="s">
        <v>49</v>
      </c>
      <c r="B115" s="52">
        <v>0.55841010526315804</v>
      </c>
      <c r="C115" s="59" t="s">
        <v>27</v>
      </c>
      <c r="D115" s="37">
        <v>1</v>
      </c>
      <c r="E115" s="62">
        <f t="shared" si="9"/>
        <v>0.55841010526315804</v>
      </c>
      <c r="F115" s="59" t="s">
        <v>220</v>
      </c>
      <c r="G115" s="39" t="s">
        <v>5</v>
      </c>
      <c r="H115" s="59" t="s">
        <v>45</v>
      </c>
      <c r="I115" s="59" t="s">
        <v>25</v>
      </c>
      <c r="J115" s="38">
        <v>2</v>
      </c>
      <c r="K115" s="38">
        <f>LN(E115)</f>
        <v>-0.58266163087974332</v>
      </c>
      <c r="L115" s="43">
        <f>SQRT(LN(M115))</f>
        <v>0.2762638007636416</v>
      </c>
      <c r="M115" s="43">
        <v>1.0793097188846901</v>
      </c>
    </row>
    <row r="116" spans="1:15" x14ac:dyDescent="0.3">
      <c r="A116" s="59" t="s">
        <v>42</v>
      </c>
      <c r="B116" s="52">
        <v>2.79205052631579E-8</v>
      </c>
      <c r="C116" s="59" t="s">
        <v>27</v>
      </c>
      <c r="D116" s="37">
        <v>1</v>
      </c>
      <c r="E116" s="62">
        <f t="shared" si="9"/>
        <v>2.79205052631579E-8</v>
      </c>
      <c r="F116" s="60" t="s">
        <v>33</v>
      </c>
      <c r="G116" s="39" t="s">
        <v>43</v>
      </c>
      <c r="H116" s="60" t="s">
        <v>5</v>
      </c>
      <c r="I116" s="60" t="s">
        <v>35</v>
      </c>
      <c r="J116" s="37">
        <v>0</v>
      </c>
      <c r="K116" s="37" t="s">
        <v>5</v>
      </c>
      <c r="L116" s="37" t="s">
        <v>5</v>
      </c>
      <c r="M116" s="37" t="s">
        <v>5</v>
      </c>
      <c r="O116" s="2"/>
    </row>
    <row r="117" spans="1:15" x14ac:dyDescent="0.3">
      <c r="A117" s="59" t="s">
        <v>47</v>
      </c>
      <c r="B117" s="52">
        <v>5.5841010526315796E-4</v>
      </c>
      <c r="C117" s="59" t="s">
        <v>48</v>
      </c>
      <c r="D117" s="37">
        <v>1</v>
      </c>
      <c r="E117" s="62">
        <f t="shared" si="9"/>
        <v>5.5841010526315796E-4</v>
      </c>
      <c r="F117" s="59" t="s">
        <v>220</v>
      </c>
      <c r="G117" s="39" t="s">
        <v>5</v>
      </c>
      <c r="H117" s="59" t="s">
        <v>45</v>
      </c>
      <c r="I117" s="59" t="s">
        <v>25</v>
      </c>
      <c r="J117" s="38">
        <v>2</v>
      </c>
      <c r="K117" s="38">
        <f>LN(E117)</f>
        <v>-7.4904169098618807</v>
      </c>
      <c r="L117" s="43">
        <f>SQRT(LN(M117))</f>
        <v>0.2762638007636416</v>
      </c>
      <c r="M117" s="45">
        <v>1.0793097188846901</v>
      </c>
    </row>
    <row r="118" spans="1:15" x14ac:dyDescent="0.3">
      <c r="A118" s="59" t="s">
        <v>31</v>
      </c>
      <c r="B118" s="52">
        <v>1.2687343157894699</v>
      </c>
      <c r="C118" s="59" t="s">
        <v>27</v>
      </c>
      <c r="D118" s="37">
        <v>1</v>
      </c>
      <c r="E118" s="62">
        <f t="shared" si="9"/>
        <v>1.2687343157894699</v>
      </c>
      <c r="F118" s="59" t="s">
        <v>220</v>
      </c>
      <c r="G118" s="39" t="s">
        <v>5</v>
      </c>
      <c r="H118" s="59" t="s">
        <v>7</v>
      </c>
      <c r="I118" s="59" t="s">
        <v>25</v>
      </c>
      <c r="J118" s="38">
        <v>2</v>
      </c>
      <c r="K118" s="38">
        <f>LN(E118)</f>
        <v>0.23801980179221696</v>
      </c>
      <c r="L118" s="43">
        <f>SQRT(LN(M118))</f>
        <v>0.24868973518072948</v>
      </c>
      <c r="M118" s="44">
        <v>1.0637991288100499</v>
      </c>
    </row>
    <row r="119" spans="1:15" x14ac:dyDescent="0.3">
      <c r="A119" s="59" t="s">
        <v>29</v>
      </c>
      <c r="B119" s="52">
        <v>1.2687343157894699</v>
      </c>
      <c r="C119" s="59" t="s">
        <v>27</v>
      </c>
      <c r="D119" s="37">
        <v>1</v>
      </c>
      <c r="E119" s="62">
        <f t="shared" si="9"/>
        <v>1.2687343157894699</v>
      </c>
      <c r="F119" s="59" t="s">
        <v>220</v>
      </c>
      <c r="G119" s="39" t="s">
        <v>5</v>
      </c>
      <c r="H119" s="59" t="s">
        <v>7</v>
      </c>
      <c r="I119" s="59" t="s">
        <v>25</v>
      </c>
      <c r="J119" s="38">
        <v>0</v>
      </c>
      <c r="K119" s="38" t="s">
        <v>5</v>
      </c>
      <c r="L119" s="38" t="s">
        <v>5</v>
      </c>
      <c r="M119" s="38" t="s">
        <v>5</v>
      </c>
    </row>
    <row r="120" spans="1:15" x14ac:dyDescent="0.3">
      <c r="A120" s="59" t="s">
        <v>28</v>
      </c>
      <c r="B120" s="52">
        <v>1.2687343157894699</v>
      </c>
      <c r="C120" s="59" t="s">
        <v>27</v>
      </c>
      <c r="D120" s="37">
        <v>1</v>
      </c>
      <c r="E120" s="62">
        <f t="shared" si="9"/>
        <v>1.2687343157894699</v>
      </c>
      <c r="F120" s="59" t="s">
        <v>220</v>
      </c>
      <c r="G120" s="39" t="s">
        <v>5</v>
      </c>
      <c r="H120" s="59" t="s">
        <v>7</v>
      </c>
      <c r="I120" s="59" t="s">
        <v>25</v>
      </c>
      <c r="J120" s="38">
        <v>0</v>
      </c>
      <c r="K120" s="38" t="s">
        <v>5</v>
      </c>
      <c r="L120" s="38" t="s">
        <v>5</v>
      </c>
      <c r="M120" s="38" t="s">
        <v>5</v>
      </c>
    </row>
    <row r="121" spans="1:15" x14ac:dyDescent="0.3">
      <c r="A121" s="59" t="s">
        <v>36</v>
      </c>
      <c r="B121" s="52">
        <v>2.4740532959326801E-2</v>
      </c>
      <c r="C121" s="60" t="s">
        <v>37</v>
      </c>
      <c r="D121" s="37">
        <v>1</v>
      </c>
      <c r="E121" s="62">
        <f t="shared" si="9"/>
        <v>2.4740532959326801E-2</v>
      </c>
      <c r="F121" s="59" t="s">
        <v>220</v>
      </c>
      <c r="G121" s="39" t="s">
        <v>5</v>
      </c>
      <c r="H121" s="60" t="s">
        <v>7</v>
      </c>
      <c r="I121" s="60" t="s">
        <v>25</v>
      </c>
      <c r="J121" s="38">
        <v>2</v>
      </c>
      <c r="K121" s="38">
        <f t="shared" ref="K121:K129" si="12">LN(E121)</f>
        <v>-3.69931236983565</v>
      </c>
      <c r="L121" s="43">
        <f t="shared" ref="L121:L129" si="13">SQRT(LN(M121))</f>
        <v>0.2762638007636416</v>
      </c>
      <c r="M121" s="43">
        <v>1.0793097188846901</v>
      </c>
    </row>
    <row r="122" spans="1:15" x14ac:dyDescent="0.3">
      <c r="A122" s="59" t="s">
        <v>26</v>
      </c>
      <c r="B122" s="52">
        <v>5.8906030855539995E-4</v>
      </c>
      <c r="C122" s="60" t="s">
        <v>27</v>
      </c>
      <c r="D122" s="37">
        <v>1</v>
      </c>
      <c r="E122" s="62">
        <f t="shared" si="9"/>
        <v>5.8906030855539995E-4</v>
      </c>
      <c r="F122" s="59" t="s">
        <v>220</v>
      </c>
      <c r="G122" s="39" t="s">
        <v>5</v>
      </c>
      <c r="H122" s="60" t="s">
        <v>7</v>
      </c>
      <c r="I122" s="60" t="s">
        <v>25</v>
      </c>
      <c r="J122" s="38">
        <v>2</v>
      </c>
      <c r="K122" s="38">
        <f t="shared" si="12"/>
        <v>-7.4369819881190189</v>
      </c>
      <c r="L122" s="43">
        <f t="shared" si="13"/>
        <v>0.2762638007636416</v>
      </c>
      <c r="M122" s="43">
        <v>1.0793097188846901</v>
      </c>
    </row>
    <row r="123" spans="1:15" x14ac:dyDescent="0.3">
      <c r="A123" s="59" t="s">
        <v>46</v>
      </c>
      <c r="B123" s="52">
        <v>1.06030855539972E-3</v>
      </c>
      <c r="C123" s="60" t="s">
        <v>27</v>
      </c>
      <c r="D123" s="37">
        <v>1</v>
      </c>
      <c r="E123" s="62">
        <f t="shared" si="9"/>
        <v>1.06030855539972E-3</v>
      </c>
      <c r="F123" s="59" t="s">
        <v>220</v>
      </c>
      <c r="G123" s="39" t="s">
        <v>5</v>
      </c>
      <c r="H123" s="60" t="s">
        <v>40</v>
      </c>
      <c r="I123" s="60" t="s">
        <v>25</v>
      </c>
      <c r="J123" s="38">
        <v>2</v>
      </c>
      <c r="K123" s="38">
        <f t="shared" si="12"/>
        <v>-6.8491953232168994</v>
      </c>
      <c r="L123" s="43">
        <f t="shared" si="13"/>
        <v>0.2762638007636416</v>
      </c>
      <c r="M123" s="43">
        <v>1.0793097188846901</v>
      </c>
    </row>
    <row r="124" spans="1:15" x14ac:dyDescent="0.3">
      <c r="A124" s="59" t="s">
        <v>49</v>
      </c>
      <c r="B124" s="52">
        <v>0.94249649368863997</v>
      </c>
      <c r="C124" s="60" t="s">
        <v>27</v>
      </c>
      <c r="D124" s="37">
        <v>1</v>
      </c>
      <c r="E124" s="62">
        <f t="shared" si="9"/>
        <v>0.94249649368863997</v>
      </c>
      <c r="F124" s="59" t="s">
        <v>220</v>
      </c>
      <c r="G124" s="39" t="s">
        <v>5</v>
      </c>
      <c r="H124" s="60" t="s">
        <v>45</v>
      </c>
      <c r="I124" s="60" t="s">
        <v>25</v>
      </c>
      <c r="J124" s="38">
        <v>2</v>
      </c>
      <c r="K124" s="38">
        <f t="shared" si="12"/>
        <v>-5.9223079891145947E-2</v>
      </c>
      <c r="L124" s="43">
        <f t="shared" si="13"/>
        <v>0.2762638007636416</v>
      </c>
      <c r="M124" s="43">
        <v>1.0793097188846901</v>
      </c>
    </row>
    <row r="125" spans="1:15" x14ac:dyDescent="0.3">
      <c r="A125" s="59" t="s">
        <v>47</v>
      </c>
      <c r="B125" s="52">
        <v>9.4249649368864001E-4</v>
      </c>
      <c r="C125" s="60" t="s">
        <v>48</v>
      </c>
      <c r="D125" s="37">
        <v>1</v>
      </c>
      <c r="E125" s="62">
        <f t="shared" si="9"/>
        <v>9.4249649368864001E-4</v>
      </c>
      <c r="F125" s="59" t="s">
        <v>220</v>
      </c>
      <c r="G125" s="39" t="s">
        <v>5</v>
      </c>
      <c r="H125" s="60" t="s">
        <v>45</v>
      </c>
      <c r="I125" s="60" t="s">
        <v>25</v>
      </c>
      <c r="J125" s="38">
        <v>2</v>
      </c>
      <c r="K125" s="38">
        <f t="shared" si="12"/>
        <v>-6.9669783588732832</v>
      </c>
      <c r="L125" s="43">
        <f t="shared" si="13"/>
        <v>0.2762638007636416</v>
      </c>
      <c r="M125" s="45">
        <v>1.0793097188846901</v>
      </c>
    </row>
    <row r="126" spans="1:15" x14ac:dyDescent="0.3">
      <c r="A126" s="59" t="s">
        <v>68</v>
      </c>
      <c r="B126" s="52">
        <v>7.7595570000000003E-3</v>
      </c>
      <c r="C126" s="60" t="s">
        <v>27</v>
      </c>
      <c r="D126" s="37">
        <v>1</v>
      </c>
      <c r="E126" s="62">
        <f t="shared" si="9"/>
        <v>7.7595570000000003E-3</v>
      </c>
      <c r="F126" s="59" t="s">
        <v>220</v>
      </c>
      <c r="G126" s="39" t="s">
        <v>5</v>
      </c>
      <c r="H126" s="60" t="s">
        <v>7</v>
      </c>
      <c r="I126" s="60" t="s">
        <v>25</v>
      </c>
      <c r="J126" s="38">
        <v>2</v>
      </c>
      <c r="K126" s="38">
        <f t="shared" si="12"/>
        <v>-4.858830034045436</v>
      </c>
      <c r="L126" s="43">
        <f t="shared" si="13"/>
        <v>0.33915140655580639</v>
      </c>
      <c r="M126" s="43">
        <v>1.1218999999999999</v>
      </c>
    </row>
    <row r="127" spans="1:15" x14ac:dyDescent="0.3">
      <c r="A127" s="59" t="s">
        <v>36</v>
      </c>
      <c r="B127" s="52">
        <v>3.1686699999999998E-2</v>
      </c>
      <c r="C127" s="60" t="s">
        <v>37</v>
      </c>
      <c r="D127" s="37">
        <v>1</v>
      </c>
      <c r="E127" s="62">
        <f t="shared" si="9"/>
        <v>3.1686699999999998E-2</v>
      </c>
      <c r="F127" s="59" t="s">
        <v>220</v>
      </c>
      <c r="G127" s="39" t="s">
        <v>5</v>
      </c>
      <c r="H127" s="60" t="s">
        <v>7</v>
      </c>
      <c r="I127" s="60" t="s">
        <v>25</v>
      </c>
      <c r="J127" s="38">
        <v>2</v>
      </c>
      <c r="K127" s="38">
        <f t="shared" si="12"/>
        <v>-3.4518582444977581</v>
      </c>
      <c r="L127" s="43">
        <f t="shared" si="13"/>
        <v>0.33915140655580639</v>
      </c>
      <c r="M127" s="43">
        <v>1.1218999999999999</v>
      </c>
    </row>
    <row r="128" spans="1:15" x14ac:dyDescent="0.3">
      <c r="A128" s="59" t="s">
        <v>44</v>
      </c>
      <c r="B128" s="52">
        <v>3.9055699999999998E-4</v>
      </c>
      <c r="C128" s="60" t="s">
        <v>27</v>
      </c>
      <c r="D128" s="37">
        <v>1</v>
      </c>
      <c r="E128" s="62">
        <f t="shared" si="9"/>
        <v>3.9055699999999998E-4</v>
      </c>
      <c r="F128" s="59" t="s">
        <v>220</v>
      </c>
      <c r="G128" s="39" t="s">
        <v>5</v>
      </c>
      <c r="H128" s="60" t="s">
        <v>45</v>
      </c>
      <c r="I128" s="60" t="s">
        <v>25</v>
      </c>
      <c r="J128" s="38">
        <v>2</v>
      </c>
      <c r="K128" s="38">
        <f t="shared" si="12"/>
        <v>-7.8479366326272899</v>
      </c>
      <c r="L128" s="43">
        <f t="shared" si="13"/>
        <v>0.33915140655580639</v>
      </c>
      <c r="M128" s="45">
        <v>1.1218999999999999</v>
      </c>
    </row>
    <row r="129" spans="1:13" x14ac:dyDescent="0.3">
      <c r="A129" s="59" t="s">
        <v>49</v>
      </c>
      <c r="B129" s="52">
        <v>7.9962599345488494E-2</v>
      </c>
      <c r="C129" s="60" t="s">
        <v>27</v>
      </c>
      <c r="D129" s="37">
        <v>1</v>
      </c>
      <c r="E129" s="62">
        <f t="shared" si="9"/>
        <v>7.9962599345488494E-2</v>
      </c>
      <c r="F129" s="59" t="s">
        <v>220</v>
      </c>
      <c r="G129" s="39" t="s">
        <v>5</v>
      </c>
      <c r="H129" s="60" t="s">
        <v>45</v>
      </c>
      <c r="I129" s="60" t="s">
        <v>25</v>
      </c>
      <c r="J129" s="38">
        <v>2</v>
      </c>
      <c r="K129" s="38">
        <f t="shared" si="12"/>
        <v>-2.526196261805671</v>
      </c>
      <c r="L129" s="43">
        <f t="shared" si="13"/>
        <v>0.33911649915626546</v>
      </c>
      <c r="M129" s="43">
        <v>1.1218734375719399</v>
      </c>
    </row>
    <row r="130" spans="1:13" x14ac:dyDescent="0.3">
      <c r="A130" s="59" t="s">
        <v>69</v>
      </c>
      <c r="B130" s="52">
        <v>3.9981299672744302E-9</v>
      </c>
      <c r="C130" s="60" t="s">
        <v>27</v>
      </c>
      <c r="D130" s="37">
        <v>1</v>
      </c>
      <c r="E130" s="62">
        <f t="shared" si="9"/>
        <v>3.9981299672744302E-9</v>
      </c>
      <c r="F130" s="60" t="s">
        <v>33</v>
      </c>
      <c r="G130" s="39" t="s">
        <v>43</v>
      </c>
      <c r="H130" s="60" t="s">
        <v>5</v>
      </c>
      <c r="I130" s="60" t="s">
        <v>35</v>
      </c>
      <c r="J130" s="37">
        <v>0</v>
      </c>
      <c r="K130" s="37" t="s">
        <v>5</v>
      </c>
      <c r="L130" s="37" t="s">
        <v>5</v>
      </c>
      <c r="M130" s="37" t="s">
        <v>5</v>
      </c>
    </row>
    <row r="131" spans="1:13" x14ac:dyDescent="0.3">
      <c r="A131" s="59" t="s">
        <v>47</v>
      </c>
      <c r="B131" s="52">
        <v>7.99625993454885E-5</v>
      </c>
      <c r="C131" s="60" t="s">
        <v>48</v>
      </c>
      <c r="D131" s="37">
        <v>1</v>
      </c>
      <c r="E131" s="62">
        <f t="shared" si="9"/>
        <v>7.99625993454885E-5</v>
      </c>
      <c r="F131" s="59" t="s">
        <v>220</v>
      </c>
      <c r="G131" s="39" t="s">
        <v>5</v>
      </c>
      <c r="H131" s="60" t="s">
        <v>45</v>
      </c>
      <c r="I131" s="60" t="s">
        <v>25</v>
      </c>
      <c r="J131" s="38">
        <v>2</v>
      </c>
      <c r="K131" s="38">
        <f>LN(E131)</f>
        <v>-9.4339515407878078</v>
      </c>
      <c r="L131" s="43">
        <f>SQRT(LN(M131))</f>
        <v>0.33911649915626546</v>
      </c>
      <c r="M131" s="45">
        <v>1.1218734375719399</v>
      </c>
    </row>
    <row r="132" spans="1:13" x14ac:dyDescent="0.3">
      <c r="A132" s="59" t="s">
        <v>70</v>
      </c>
      <c r="B132" s="52">
        <v>0.35980000000000001</v>
      </c>
      <c r="C132" s="60" t="s">
        <v>27</v>
      </c>
      <c r="D132" s="37">
        <v>1</v>
      </c>
      <c r="E132" s="62">
        <f t="shared" si="9"/>
        <v>0.35980000000000001</v>
      </c>
      <c r="F132" s="59" t="s">
        <v>220</v>
      </c>
      <c r="G132" s="39" t="s">
        <v>5</v>
      </c>
      <c r="H132" s="60" t="s">
        <v>7</v>
      </c>
      <c r="I132" s="60" t="s">
        <v>25</v>
      </c>
      <c r="J132" s="38">
        <v>2</v>
      </c>
      <c r="K132" s="38">
        <f>LN(E132)</f>
        <v>-1.0222069574657042</v>
      </c>
      <c r="L132" s="43">
        <f>SQRT(LN(M132))</f>
        <v>0.24868973518072948</v>
      </c>
      <c r="M132" s="44">
        <v>1.0637991288100499</v>
      </c>
    </row>
    <row r="133" spans="1:13" x14ac:dyDescent="0.3">
      <c r="A133" s="59" t="s">
        <v>71</v>
      </c>
      <c r="B133" s="52">
        <v>0.35980000000000001</v>
      </c>
      <c r="C133" s="60" t="s">
        <v>27</v>
      </c>
      <c r="D133" s="37">
        <v>1</v>
      </c>
      <c r="E133" s="62">
        <f t="shared" si="9"/>
        <v>0.35980000000000001</v>
      </c>
      <c r="F133" s="59" t="s">
        <v>220</v>
      </c>
      <c r="G133" s="39" t="s">
        <v>5</v>
      </c>
      <c r="H133" s="60" t="s">
        <v>7</v>
      </c>
      <c r="I133" s="60" t="s">
        <v>25</v>
      </c>
      <c r="J133" s="38">
        <v>0</v>
      </c>
      <c r="K133" s="38" t="s">
        <v>5</v>
      </c>
      <c r="L133" s="38" t="s">
        <v>5</v>
      </c>
      <c r="M133" s="38" t="s">
        <v>5</v>
      </c>
    </row>
    <row r="134" spans="1:13" x14ac:dyDescent="0.3">
      <c r="A134" s="59" t="s">
        <v>72</v>
      </c>
      <c r="B134" s="52">
        <v>0.35980000000000001</v>
      </c>
      <c r="C134" s="60" t="s">
        <v>27</v>
      </c>
      <c r="D134" s="37">
        <v>1</v>
      </c>
      <c r="E134" s="62">
        <f t="shared" si="9"/>
        <v>0.35980000000000001</v>
      </c>
      <c r="F134" s="59" t="s">
        <v>220</v>
      </c>
      <c r="G134" s="39" t="s">
        <v>5</v>
      </c>
      <c r="H134" s="60" t="s">
        <v>7</v>
      </c>
      <c r="I134" s="60" t="s">
        <v>25</v>
      </c>
      <c r="J134" s="38">
        <v>0</v>
      </c>
      <c r="K134" s="38" t="s">
        <v>5</v>
      </c>
      <c r="L134" s="38" t="s">
        <v>5</v>
      </c>
      <c r="M134" s="38" t="s">
        <v>5</v>
      </c>
    </row>
    <row r="135" spans="1:13" x14ac:dyDescent="0.3">
      <c r="A135" s="59" t="s">
        <v>73</v>
      </c>
      <c r="B135" s="52">
        <v>0.35980000000000001</v>
      </c>
      <c r="C135" s="60" t="s">
        <v>27</v>
      </c>
      <c r="D135" s="37">
        <v>1</v>
      </c>
      <c r="E135" s="62">
        <f t="shared" si="9"/>
        <v>0.35980000000000001</v>
      </c>
      <c r="F135" s="59" t="s">
        <v>220</v>
      </c>
      <c r="G135" s="39" t="s">
        <v>5</v>
      </c>
      <c r="H135" s="60" t="s">
        <v>7</v>
      </c>
      <c r="I135" s="60" t="s">
        <v>25</v>
      </c>
      <c r="J135" s="38">
        <v>0</v>
      </c>
      <c r="K135" s="38" t="s">
        <v>5</v>
      </c>
      <c r="L135" s="38" t="s">
        <v>5</v>
      </c>
      <c r="M135" s="38" t="s">
        <v>5</v>
      </c>
    </row>
    <row r="136" spans="1:13" x14ac:dyDescent="0.3">
      <c r="A136" s="59" t="s">
        <v>74</v>
      </c>
      <c r="B136" s="52">
        <v>0.12776659959758599</v>
      </c>
      <c r="C136" s="60" t="s">
        <v>27</v>
      </c>
      <c r="D136" s="37">
        <v>1</v>
      </c>
      <c r="E136" s="62">
        <f t="shared" si="9"/>
        <v>0.12776659959758599</v>
      </c>
      <c r="F136" s="59" t="s">
        <v>220</v>
      </c>
      <c r="G136" s="39" t="s">
        <v>5</v>
      </c>
      <c r="H136" s="60" t="s">
        <v>7</v>
      </c>
      <c r="I136" s="60" t="s">
        <v>25</v>
      </c>
      <c r="J136" s="38">
        <v>2</v>
      </c>
      <c r="K136" s="38">
        <f>LN(E136)</f>
        <v>-2.0575501201979791</v>
      </c>
      <c r="L136" s="43">
        <f>SQRT(LN(M136))</f>
        <v>0.21213203435597125</v>
      </c>
      <c r="M136" s="44">
        <v>1.04602785990872</v>
      </c>
    </row>
    <row r="137" spans="1:13" x14ac:dyDescent="0.3">
      <c r="A137" s="59" t="s">
        <v>75</v>
      </c>
      <c r="B137" s="52">
        <v>6.5995975855130803E-3</v>
      </c>
      <c r="C137" s="60" t="s">
        <v>27</v>
      </c>
      <c r="D137" s="37">
        <v>1</v>
      </c>
      <c r="E137" s="62">
        <f t="shared" si="9"/>
        <v>6.5995975855130803E-3</v>
      </c>
      <c r="F137" s="59" t="s">
        <v>220</v>
      </c>
      <c r="G137" s="39" t="s">
        <v>5</v>
      </c>
      <c r="H137" s="60" t="s">
        <v>7</v>
      </c>
      <c r="I137" s="60" t="s">
        <v>25</v>
      </c>
      <c r="J137" s="38">
        <v>2</v>
      </c>
      <c r="K137" s="38">
        <f>LN(E137)</f>
        <v>-5.0207466037005757</v>
      </c>
      <c r="L137" s="43">
        <f>SQRT(LN(M137))</f>
        <v>0.21213203435597125</v>
      </c>
      <c r="M137" s="44">
        <v>1.04602785990872</v>
      </c>
    </row>
    <row r="138" spans="1:13" x14ac:dyDescent="0.3">
      <c r="A138" s="59" t="s">
        <v>76</v>
      </c>
      <c r="B138" s="52">
        <v>5.4325955734406399E-2</v>
      </c>
      <c r="C138" s="60" t="s">
        <v>27</v>
      </c>
      <c r="D138" s="37">
        <v>1</v>
      </c>
      <c r="E138" s="62">
        <f t="shared" si="9"/>
        <v>5.4325955734406399E-2</v>
      </c>
      <c r="F138" s="59" t="s">
        <v>220</v>
      </c>
      <c r="G138" s="39" t="s">
        <v>5</v>
      </c>
      <c r="H138" s="60" t="s">
        <v>7</v>
      </c>
      <c r="I138" s="60" t="s">
        <v>25</v>
      </c>
      <c r="J138" s="38">
        <v>2</v>
      </c>
      <c r="K138" s="38">
        <f>LN(E138)</f>
        <v>-2.9127531600923002</v>
      </c>
      <c r="L138" s="43">
        <f>SQRT(LN(M138))</f>
        <v>0.21213203435597125</v>
      </c>
      <c r="M138" s="44">
        <v>1.04602785990872</v>
      </c>
    </row>
    <row r="139" spans="1:13" x14ac:dyDescent="0.3">
      <c r="A139" s="59" t="s">
        <v>77</v>
      </c>
      <c r="B139" s="52">
        <v>0.18869215291750499</v>
      </c>
      <c r="C139" s="60" t="s">
        <v>27</v>
      </c>
      <c r="D139" s="37">
        <v>1</v>
      </c>
      <c r="E139" s="62">
        <f t="shared" si="9"/>
        <v>0.18869215291750499</v>
      </c>
      <c r="F139" s="59" t="s">
        <v>220</v>
      </c>
      <c r="G139" s="39" t="s">
        <v>5</v>
      </c>
      <c r="H139" s="60" t="s">
        <v>7</v>
      </c>
      <c r="I139" s="60" t="s">
        <v>25</v>
      </c>
      <c r="J139" s="38">
        <v>0</v>
      </c>
      <c r="K139" s="38" t="s">
        <v>5</v>
      </c>
      <c r="L139" s="38" t="s">
        <v>5</v>
      </c>
      <c r="M139" s="38" t="s">
        <v>5</v>
      </c>
    </row>
    <row r="140" spans="1:13" x14ac:dyDescent="0.3">
      <c r="A140" s="60" t="s">
        <v>50</v>
      </c>
      <c r="B140" s="52">
        <v>2.7261E-3</v>
      </c>
      <c r="C140" s="60" t="s">
        <v>27</v>
      </c>
      <c r="D140" s="37">
        <v>1</v>
      </c>
      <c r="E140" s="62">
        <f t="shared" si="9"/>
        <v>2.7261E-3</v>
      </c>
      <c r="F140" s="59" t="s">
        <v>220</v>
      </c>
      <c r="G140" s="39" t="s">
        <v>5</v>
      </c>
      <c r="H140" s="60" t="s">
        <v>40</v>
      </c>
      <c r="I140" s="60" t="s">
        <v>25</v>
      </c>
      <c r="J140" s="38">
        <v>2</v>
      </c>
      <c r="K140" s="38">
        <f t="shared" ref="K140:K150" si="14">LN(E140)</f>
        <v>-5.9048832625948631</v>
      </c>
      <c r="L140" s="43">
        <f t="shared" ref="L140:L150" si="15">SQRT(LN(M140))</f>
        <v>0.45903493881953172</v>
      </c>
      <c r="M140" s="43">
        <v>1.2345580787321599</v>
      </c>
    </row>
    <row r="141" spans="1:13" x14ac:dyDescent="0.3">
      <c r="A141" s="60" t="s">
        <v>78</v>
      </c>
      <c r="B141" s="52">
        <v>2.76253421052632E-3</v>
      </c>
      <c r="C141" s="60" t="s">
        <v>27</v>
      </c>
      <c r="D141" s="37">
        <v>1</v>
      </c>
      <c r="E141" s="62">
        <f t="shared" si="9"/>
        <v>2.76253421052632E-3</v>
      </c>
      <c r="F141" s="59" t="s">
        <v>220</v>
      </c>
      <c r="G141" s="39" t="s">
        <v>5</v>
      </c>
      <c r="H141" s="60" t="s">
        <v>40</v>
      </c>
      <c r="I141" s="60" t="s">
        <v>25</v>
      </c>
      <c r="J141" s="38">
        <v>2</v>
      </c>
      <c r="K141" s="38">
        <f t="shared" si="14"/>
        <v>-5.8916068283140151</v>
      </c>
      <c r="L141" s="43">
        <f t="shared" si="15"/>
        <v>0.31642522335064432</v>
      </c>
      <c r="M141" s="43">
        <v>1.10530898683042</v>
      </c>
    </row>
    <row r="142" spans="1:13" x14ac:dyDescent="0.3">
      <c r="A142" s="60" t="s">
        <v>36</v>
      </c>
      <c r="B142" s="52">
        <v>1.31751631578947</v>
      </c>
      <c r="C142" s="60" t="s">
        <v>37</v>
      </c>
      <c r="D142" s="37">
        <v>1</v>
      </c>
      <c r="E142" s="62">
        <f t="shared" ref="E142:E167" si="16">B142*D142</f>
        <v>1.31751631578947</v>
      </c>
      <c r="F142" s="59" t="s">
        <v>220</v>
      </c>
      <c r="G142" s="39" t="s">
        <v>5</v>
      </c>
      <c r="H142" s="60" t="s">
        <v>7</v>
      </c>
      <c r="I142" s="60" t="s">
        <v>25</v>
      </c>
      <c r="J142" s="38">
        <v>2</v>
      </c>
      <c r="K142" s="38">
        <f t="shared" si="14"/>
        <v>0.27574838525762652</v>
      </c>
      <c r="L142" s="43">
        <f t="shared" si="15"/>
        <v>0.31642522335064432</v>
      </c>
      <c r="M142" s="43">
        <v>1.10530898683042</v>
      </c>
    </row>
    <row r="143" spans="1:13" x14ac:dyDescent="0.3">
      <c r="A143" s="60" t="s">
        <v>36</v>
      </c>
      <c r="B143" s="52">
        <v>0.59500736842105295</v>
      </c>
      <c r="C143" s="60" t="s">
        <v>37</v>
      </c>
      <c r="D143" s="37">
        <v>1</v>
      </c>
      <c r="E143" s="62">
        <f t="shared" si="16"/>
        <v>0.59500736842105295</v>
      </c>
      <c r="F143" s="59" t="s">
        <v>220</v>
      </c>
      <c r="G143" s="39" t="s">
        <v>5</v>
      </c>
      <c r="H143" s="60" t="s">
        <v>7</v>
      </c>
      <c r="I143" s="60" t="s">
        <v>25</v>
      </c>
      <c r="J143" s="38">
        <v>2</v>
      </c>
      <c r="K143" s="38">
        <f t="shared" si="14"/>
        <v>-0.51918148961225785</v>
      </c>
      <c r="L143" s="43">
        <f t="shared" si="15"/>
        <v>0.31642522335064432</v>
      </c>
      <c r="M143" s="43">
        <v>1.10530898683042</v>
      </c>
    </row>
    <row r="144" spans="1:13" x14ac:dyDescent="0.3">
      <c r="A144" s="60" t="s">
        <v>36</v>
      </c>
      <c r="B144" s="52">
        <v>8.9251105263157895E-2</v>
      </c>
      <c r="C144" s="60" t="s">
        <v>37</v>
      </c>
      <c r="D144" s="37">
        <v>1</v>
      </c>
      <c r="E144" s="62">
        <f t="shared" si="16"/>
        <v>8.9251105263157895E-2</v>
      </c>
      <c r="F144" s="59" t="s">
        <v>220</v>
      </c>
      <c r="G144" s="39" t="s">
        <v>5</v>
      </c>
      <c r="H144" s="60" t="s">
        <v>7</v>
      </c>
      <c r="I144" s="60" t="s">
        <v>25</v>
      </c>
      <c r="J144" s="38">
        <v>2</v>
      </c>
      <c r="K144" s="38">
        <f t="shared" si="14"/>
        <v>-2.4163014744981397</v>
      </c>
      <c r="L144" s="43">
        <f t="shared" si="15"/>
        <v>0.31642522335064432</v>
      </c>
      <c r="M144" s="43">
        <v>1.10530898683042</v>
      </c>
    </row>
    <row r="145" spans="1:15" x14ac:dyDescent="0.3">
      <c r="A145" s="60" t="s">
        <v>36</v>
      </c>
      <c r="B145" s="52">
        <v>0.29305263157894701</v>
      </c>
      <c r="C145" s="60" t="s">
        <v>37</v>
      </c>
      <c r="D145" s="37">
        <v>1</v>
      </c>
      <c r="E145" s="62">
        <f t="shared" si="16"/>
        <v>0.29305263157894701</v>
      </c>
      <c r="F145" s="59" t="s">
        <v>220</v>
      </c>
      <c r="G145" s="39" t="s">
        <v>5</v>
      </c>
      <c r="H145" s="60" t="s">
        <v>7</v>
      </c>
      <c r="I145" s="60" t="s">
        <v>25</v>
      </c>
      <c r="J145" s="38">
        <v>2</v>
      </c>
      <c r="K145" s="38">
        <f t="shared" si="14"/>
        <v>-1.2274030561343232</v>
      </c>
      <c r="L145" s="43">
        <f t="shared" si="15"/>
        <v>0.45276925690687286</v>
      </c>
      <c r="M145" s="46">
        <v>1.2275250649631799</v>
      </c>
    </row>
    <row r="146" spans="1:15" x14ac:dyDescent="0.3">
      <c r="A146" s="60" t="s">
        <v>36</v>
      </c>
      <c r="B146" s="53">
        <v>0.72696000000000005</v>
      </c>
      <c r="C146" s="60" t="s">
        <v>37</v>
      </c>
      <c r="D146" s="37">
        <v>1</v>
      </c>
      <c r="E146" s="62">
        <f t="shared" si="16"/>
        <v>0.72696000000000005</v>
      </c>
      <c r="F146" s="59" t="s">
        <v>220</v>
      </c>
      <c r="G146" s="39" t="s">
        <v>5</v>
      </c>
      <c r="H146" s="60" t="s">
        <v>7</v>
      </c>
      <c r="I146" s="60" t="s">
        <v>25</v>
      </c>
      <c r="J146" s="38">
        <v>2</v>
      </c>
      <c r="K146" s="38">
        <f t="shared" si="14"/>
        <v>-0.31888382359504541</v>
      </c>
      <c r="L146" s="43">
        <f t="shared" si="15"/>
        <v>0.31642522335064432</v>
      </c>
      <c r="M146" s="43">
        <v>1.10530898683042</v>
      </c>
    </row>
    <row r="147" spans="1:15" x14ac:dyDescent="0.3">
      <c r="A147" s="60" t="s">
        <v>36</v>
      </c>
      <c r="B147" s="52">
        <v>0.05</v>
      </c>
      <c r="C147" s="60" t="s">
        <v>37</v>
      </c>
      <c r="D147" s="37">
        <v>1</v>
      </c>
      <c r="E147" s="62">
        <f t="shared" si="16"/>
        <v>0.05</v>
      </c>
      <c r="F147" s="59" t="s">
        <v>220</v>
      </c>
      <c r="G147" s="39" t="s">
        <v>5</v>
      </c>
      <c r="H147" s="60" t="s">
        <v>7</v>
      </c>
      <c r="I147" s="60" t="s">
        <v>25</v>
      </c>
      <c r="J147" s="38">
        <v>2</v>
      </c>
      <c r="K147" s="38">
        <f t="shared" si="14"/>
        <v>-2.9957322735539909</v>
      </c>
      <c r="L147" s="43">
        <f t="shared" si="15"/>
        <v>0.27139380853896022</v>
      </c>
      <c r="M147" s="43">
        <v>1.0764349399111499</v>
      </c>
    </row>
    <row r="148" spans="1:15" x14ac:dyDescent="0.3">
      <c r="A148" s="60" t="s">
        <v>36</v>
      </c>
      <c r="B148" s="52">
        <v>0.19180800000000001</v>
      </c>
      <c r="C148" s="60" t="s">
        <v>37</v>
      </c>
      <c r="D148" s="37">
        <v>1</v>
      </c>
      <c r="E148" s="62">
        <f t="shared" si="16"/>
        <v>0.19180800000000001</v>
      </c>
      <c r="F148" s="59" t="s">
        <v>220</v>
      </c>
      <c r="G148" s="39" t="s">
        <v>5</v>
      </c>
      <c r="H148" s="60" t="s">
        <v>7</v>
      </c>
      <c r="I148" s="60" t="s">
        <v>25</v>
      </c>
      <c r="J148" s="38">
        <v>2</v>
      </c>
      <c r="K148" s="38">
        <f t="shared" si="14"/>
        <v>-1.6512604072879391</v>
      </c>
      <c r="L148" s="43">
        <f t="shared" si="15"/>
        <v>0.27139380853896022</v>
      </c>
      <c r="M148" s="43">
        <v>1.0764349399111499</v>
      </c>
    </row>
    <row r="149" spans="1:15" x14ac:dyDescent="0.3">
      <c r="A149" s="60" t="s">
        <v>36</v>
      </c>
      <c r="B149" s="52">
        <v>3.5009999999999999E-2</v>
      </c>
      <c r="C149" s="60" t="s">
        <v>37</v>
      </c>
      <c r="D149" s="37">
        <v>1</v>
      </c>
      <c r="E149" s="62">
        <f t="shared" si="16"/>
        <v>3.5009999999999999E-2</v>
      </c>
      <c r="F149" s="59" t="s">
        <v>220</v>
      </c>
      <c r="G149" s="39" t="s">
        <v>5</v>
      </c>
      <c r="H149" s="60" t="s">
        <v>7</v>
      </c>
      <c r="I149" s="60" t="s">
        <v>25</v>
      </c>
      <c r="J149" s="38">
        <v>2</v>
      </c>
      <c r="K149" s="38">
        <f t="shared" si="14"/>
        <v>-3.3521215440155627</v>
      </c>
      <c r="L149" s="43">
        <f t="shared" si="15"/>
        <v>0.25187871625496849</v>
      </c>
      <c r="M149" s="43">
        <v>1.0654986309886401</v>
      </c>
    </row>
    <row r="150" spans="1:15" x14ac:dyDescent="0.3">
      <c r="A150" s="60" t="s">
        <v>36</v>
      </c>
      <c r="B150" s="52">
        <v>0.03</v>
      </c>
      <c r="C150" s="60" t="s">
        <v>37</v>
      </c>
      <c r="D150" s="37">
        <v>1</v>
      </c>
      <c r="E150" s="62">
        <f t="shared" si="16"/>
        <v>0.03</v>
      </c>
      <c r="F150" s="59" t="s">
        <v>220</v>
      </c>
      <c r="G150" s="39" t="s">
        <v>5</v>
      </c>
      <c r="H150" s="60" t="s">
        <v>7</v>
      </c>
      <c r="I150" s="60" t="s">
        <v>25</v>
      </c>
      <c r="J150" s="38">
        <v>2</v>
      </c>
      <c r="K150" s="38">
        <f t="shared" si="14"/>
        <v>-3.5065578973199818</v>
      </c>
      <c r="L150" s="43">
        <f t="shared" si="15"/>
        <v>0.2762638007636416</v>
      </c>
      <c r="M150" s="43">
        <v>1.0793097188846901</v>
      </c>
    </row>
    <row r="151" spans="1:15" x14ac:dyDescent="0.3">
      <c r="A151" s="60" t="s">
        <v>79</v>
      </c>
      <c r="B151" s="52">
        <v>2.2014999999999999E-3</v>
      </c>
      <c r="C151" s="60" t="s">
        <v>27</v>
      </c>
      <c r="D151" s="37">
        <v>1</v>
      </c>
      <c r="E151" s="62">
        <f t="shared" si="16"/>
        <v>2.2014999999999999E-3</v>
      </c>
      <c r="F151" s="60" t="s">
        <v>33</v>
      </c>
      <c r="G151" s="39" t="s">
        <v>34</v>
      </c>
      <c r="H151" s="60" t="s">
        <v>5</v>
      </c>
      <c r="I151" s="60" t="s">
        <v>35</v>
      </c>
      <c r="J151" s="37">
        <v>0</v>
      </c>
      <c r="K151" s="37" t="s">
        <v>5</v>
      </c>
      <c r="L151" s="37" t="s">
        <v>5</v>
      </c>
      <c r="M151" s="37" t="s">
        <v>5</v>
      </c>
      <c r="O151" s="2"/>
    </row>
    <row r="152" spans="1:15" x14ac:dyDescent="0.3">
      <c r="A152" s="60" t="s">
        <v>44</v>
      </c>
      <c r="B152" s="52">
        <v>4.0460000000000001E-3</v>
      </c>
      <c r="C152" s="60" t="s">
        <v>27</v>
      </c>
      <c r="D152" s="37">
        <v>1</v>
      </c>
      <c r="E152" s="62">
        <f t="shared" si="16"/>
        <v>4.0460000000000001E-3</v>
      </c>
      <c r="F152" s="59" t="s">
        <v>220</v>
      </c>
      <c r="G152" s="39" t="s">
        <v>5</v>
      </c>
      <c r="H152" s="60" t="s">
        <v>45</v>
      </c>
      <c r="I152" s="60" t="s">
        <v>25</v>
      </c>
      <c r="J152" s="38">
        <v>2</v>
      </c>
      <c r="K152" s="38">
        <f>LN(E152)</f>
        <v>-5.5100265402365833</v>
      </c>
      <c r="L152" s="43">
        <f>SQRT(LN(M152))</f>
        <v>0.21213203435597125</v>
      </c>
      <c r="M152" s="45">
        <v>1.04602785990872</v>
      </c>
    </row>
    <row r="153" spans="1:15" x14ac:dyDescent="0.3">
      <c r="A153" s="60" t="s">
        <v>61</v>
      </c>
      <c r="B153" s="52">
        <v>4.67505789473684E-3</v>
      </c>
      <c r="C153" s="60" t="s">
        <v>27</v>
      </c>
      <c r="D153" s="37">
        <v>1</v>
      </c>
      <c r="E153" s="62">
        <f t="shared" si="16"/>
        <v>4.67505789473684E-3</v>
      </c>
      <c r="F153" s="59" t="s">
        <v>220</v>
      </c>
      <c r="G153" s="39" t="s">
        <v>5</v>
      </c>
      <c r="H153" s="60" t="s">
        <v>40</v>
      </c>
      <c r="I153" s="60" t="s">
        <v>25</v>
      </c>
      <c r="J153" s="38">
        <v>2</v>
      </c>
      <c r="K153" s="38">
        <f>LN(E153)</f>
        <v>-5.3655137324172379</v>
      </c>
      <c r="L153" s="43">
        <f>SQRT(LN(M153))</f>
        <v>0.45903493881953172</v>
      </c>
      <c r="M153" s="43">
        <v>1.2345580787321599</v>
      </c>
    </row>
    <row r="154" spans="1:15" x14ac:dyDescent="0.3">
      <c r="A154" s="60" t="s">
        <v>61</v>
      </c>
      <c r="B154" s="52">
        <v>2.7261E-3</v>
      </c>
      <c r="C154" s="60" t="s">
        <v>27</v>
      </c>
      <c r="D154" s="37">
        <v>1</v>
      </c>
      <c r="E154" s="62">
        <f t="shared" si="16"/>
        <v>2.7261E-3</v>
      </c>
      <c r="F154" s="59" t="s">
        <v>220</v>
      </c>
      <c r="G154" s="39" t="s">
        <v>5</v>
      </c>
      <c r="H154" s="60" t="s">
        <v>40</v>
      </c>
      <c r="I154" s="60" t="s">
        <v>25</v>
      </c>
      <c r="J154" s="38">
        <v>2</v>
      </c>
      <c r="K154" s="38">
        <f>LN(E154)</f>
        <v>-5.9048832625948631</v>
      </c>
      <c r="L154" s="43">
        <f>SQRT(LN(M154))</f>
        <v>0.45903493881953172</v>
      </c>
      <c r="M154" s="43">
        <v>1.2345580787321599</v>
      </c>
    </row>
    <row r="155" spans="1:15" x14ac:dyDescent="0.3">
      <c r="A155" s="60" t="s">
        <v>80</v>
      </c>
      <c r="B155" s="52">
        <v>4.25005263157895E-4</v>
      </c>
      <c r="C155" s="60" t="s">
        <v>27</v>
      </c>
      <c r="D155" s="37">
        <v>1</v>
      </c>
      <c r="E155" s="62">
        <f t="shared" si="16"/>
        <v>4.25005263157895E-4</v>
      </c>
      <c r="F155" s="59" t="s">
        <v>220</v>
      </c>
      <c r="G155" s="39" t="s">
        <v>5</v>
      </c>
      <c r="H155" s="60" t="s">
        <v>7</v>
      </c>
      <c r="I155" s="60" t="s">
        <v>25</v>
      </c>
      <c r="J155" s="38">
        <v>2</v>
      </c>
      <c r="K155" s="38">
        <f>LN(E155)</f>
        <v>-7.7634090052156077</v>
      </c>
      <c r="L155" s="43">
        <f>SQRT(LN(M155))</f>
        <v>0.31642522335064432</v>
      </c>
      <c r="M155" s="43">
        <v>1.10530898683042</v>
      </c>
    </row>
    <row r="156" spans="1:15" x14ac:dyDescent="0.3">
      <c r="A156" s="60" t="s">
        <v>62</v>
      </c>
      <c r="B156" s="52">
        <v>1.9385600000000001</v>
      </c>
      <c r="C156" s="60" t="s">
        <v>27</v>
      </c>
      <c r="D156" s="37">
        <v>1</v>
      </c>
      <c r="E156" s="62">
        <f t="shared" si="16"/>
        <v>1.9385600000000001</v>
      </c>
      <c r="F156" s="59" t="s">
        <v>220</v>
      </c>
      <c r="G156" s="39" t="s">
        <v>5</v>
      </c>
      <c r="H156" s="60" t="s">
        <v>40</v>
      </c>
      <c r="I156" s="60" t="s">
        <v>25</v>
      </c>
      <c r="J156" s="38">
        <v>2</v>
      </c>
      <c r="K156" s="38">
        <f>LN(E156)</f>
        <v>0.66194542941668078</v>
      </c>
      <c r="L156" s="43">
        <f>SQRT(LN(M156))</f>
        <v>0.31642522335064432</v>
      </c>
      <c r="M156" s="43">
        <v>1.10530898683042</v>
      </c>
    </row>
    <row r="157" spans="1:15" x14ac:dyDescent="0.3">
      <c r="A157" s="60" t="s">
        <v>63</v>
      </c>
      <c r="B157" s="52">
        <v>5.1764999999999997E-3</v>
      </c>
      <c r="C157" s="60" t="s">
        <v>27</v>
      </c>
      <c r="D157" s="37">
        <v>1</v>
      </c>
      <c r="E157" s="62">
        <f t="shared" si="16"/>
        <v>5.1764999999999997E-3</v>
      </c>
      <c r="F157" s="60" t="s">
        <v>33</v>
      </c>
      <c r="G157" s="39" t="s">
        <v>34</v>
      </c>
      <c r="H157" s="60" t="s">
        <v>5</v>
      </c>
      <c r="I157" s="60" t="s">
        <v>35</v>
      </c>
      <c r="J157" s="37">
        <v>0</v>
      </c>
      <c r="K157" s="37" t="s">
        <v>5</v>
      </c>
      <c r="L157" s="37" t="s">
        <v>5</v>
      </c>
      <c r="M157" s="37" t="s">
        <v>5</v>
      </c>
      <c r="O157" s="2"/>
    </row>
    <row r="158" spans="1:15" x14ac:dyDescent="0.3">
      <c r="A158" s="60" t="s">
        <v>81</v>
      </c>
      <c r="B158" s="52">
        <v>2.4350000000000001E-4</v>
      </c>
      <c r="C158" s="60" t="s">
        <v>27</v>
      </c>
      <c r="D158" s="37">
        <v>1</v>
      </c>
      <c r="E158" s="62">
        <f t="shared" si="16"/>
        <v>2.4350000000000001E-4</v>
      </c>
      <c r="F158" s="59" t="s">
        <v>220</v>
      </c>
      <c r="G158" s="39" t="s">
        <v>5</v>
      </c>
      <c r="H158" s="60" t="s">
        <v>40</v>
      </c>
      <c r="I158" s="60" t="s">
        <v>25</v>
      </c>
      <c r="J158" s="38">
        <v>2</v>
      </c>
      <c r="K158" s="38">
        <f t="shared" ref="K158:K167" si="17">LN(E158)</f>
        <v>-8.3203936154416294</v>
      </c>
      <c r="L158" s="43">
        <f t="shared" ref="L158:L167" si="18">SQRT(LN(M158))</f>
        <v>0.19429146192346083</v>
      </c>
      <c r="M158" s="43">
        <v>1.0384707228569501</v>
      </c>
    </row>
    <row r="159" spans="1:15" x14ac:dyDescent="0.3">
      <c r="A159" s="60" t="s">
        <v>81</v>
      </c>
      <c r="B159" s="52">
        <v>0.1167</v>
      </c>
      <c r="C159" s="60" t="s">
        <v>27</v>
      </c>
      <c r="D159" s="37">
        <v>1</v>
      </c>
      <c r="E159" s="62">
        <f t="shared" si="16"/>
        <v>0.1167</v>
      </c>
      <c r="F159" s="59" t="s">
        <v>220</v>
      </c>
      <c r="G159" s="39" t="s">
        <v>5</v>
      </c>
      <c r="H159" s="60" t="s">
        <v>40</v>
      </c>
      <c r="I159" s="60" t="s">
        <v>25</v>
      </c>
      <c r="J159" s="38">
        <v>2</v>
      </c>
      <c r="K159" s="38">
        <f t="shared" si="17"/>
        <v>-2.1481487396896268</v>
      </c>
      <c r="L159" s="43">
        <f t="shared" si="18"/>
        <v>0.19429146192346083</v>
      </c>
      <c r="M159" s="43">
        <v>1.0384707228569501</v>
      </c>
    </row>
    <row r="160" spans="1:15" x14ac:dyDescent="0.3">
      <c r="A160" s="60" t="s">
        <v>81</v>
      </c>
      <c r="B160" s="52">
        <v>2.4350000000000001E-4</v>
      </c>
      <c r="C160" s="60" t="s">
        <v>27</v>
      </c>
      <c r="D160" s="37">
        <v>1</v>
      </c>
      <c r="E160" s="62">
        <f t="shared" si="16"/>
        <v>2.4350000000000001E-4</v>
      </c>
      <c r="F160" s="59" t="s">
        <v>220</v>
      </c>
      <c r="G160" s="39" t="s">
        <v>5</v>
      </c>
      <c r="H160" s="60" t="s">
        <v>40</v>
      </c>
      <c r="I160" s="60" t="s">
        <v>25</v>
      </c>
      <c r="J160" s="38">
        <v>2</v>
      </c>
      <c r="K160" s="38">
        <f t="shared" si="17"/>
        <v>-8.3203936154416294</v>
      </c>
      <c r="L160" s="43">
        <f t="shared" si="18"/>
        <v>0.19429146192346083</v>
      </c>
      <c r="M160" s="43">
        <v>1.0384707228569501</v>
      </c>
    </row>
    <row r="161" spans="1:13" x14ac:dyDescent="0.3">
      <c r="A161" s="60" t="s">
        <v>44</v>
      </c>
      <c r="B161" s="52">
        <v>3.3319999999999999E-3</v>
      </c>
      <c r="C161" s="60" t="s">
        <v>27</v>
      </c>
      <c r="D161" s="37">
        <v>1</v>
      </c>
      <c r="E161" s="62">
        <f t="shared" si="16"/>
        <v>3.3319999999999999E-3</v>
      </c>
      <c r="F161" s="59" t="s">
        <v>220</v>
      </c>
      <c r="G161" s="39" t="s">
        <v>5</v>
      </c>
      <c r="H161" s="60" t="s">
        <v>45</v>
      </c>
      <c r="I161" s="60" t="s">
        <v>25</v>
      </c>
      <c r="J161" s="38">
        <v>2</v>
      </c>
      <c r="K161" s="38">
        <f t="shared" si="17"/>
        <v>-5.7041825546775407</v>
      </c>
      <c r="L161" s="43">
        <f t="shared" si="18"/>
        <v>0.21213203435597125</v>
      </c>
      <c r="M161" s="45">
        <v>1.04602785990872</v>
      </c>
    </row>
    <row r="162" spans="1:13" x14ac:dyDescent="0.3">
      <c r="A162" s="60" t="s">
        <v>82</v>
      </c>
      <c r="B162" s="52">
        <v>7.4374999999999997E-2</v>
      </c>
      <c r="C162" s="60" t="s">
        <v>27</v>
      </c>
      <c r="D162" s="37">
        <v>1</v>
      </c>
      <c r="E162" s="62">
        <f t="shared" si="16"/>
        <v>7.4374999999999997E-2</v>
      </c>
      <c r="F162" s="59" t="s">
        <v>220</v>
      </c>
      <c r="G162" s="39" t="s">
        <v>5</v>
      </c>
      <c r="H162" s="60" t="s">
        <v>7</v>
      </c>
      <c r="I162" s="60" t="s">
        <v>25</v>
      </c>
      <c r="J162" s="38">
        <v>2</v>
      </c>
      <c r="K162" s="38">
        <f t="shared" si="17"/>
        <v>-2.5986354151163433</v>
      </c>
      <c r="L162" s="43">
        <f t="shared" si="18"/>
        <v>0.19429146192346083</v>
      </c>
      <c r="M162" s="43">
        <v>1.0384707228569501</v>
      </c>
    </row>
    <row r="163" spans="1:13" x14ac:dyDescent="0.3">
      <c r="A163" s="60" t="s">
        <v>66</v>
      </c>
      <c r="B163" s="52">
        <v>4.67505789473684E-3</v>
      </c>
      <c r="C163" s="60" t="s">
        <v>27</v>
      </c>
      <c r="D163" s="37">
        <v>1</v>
      </c>
      <c r="E163" s="62">
        <f t="shared" si="16"/>
        <v>4.67505789473684E-3</v>
      </c>
      <c r="F163" s="59" t="s">
        <v>220</v>
      </c>
      <c r="G163" s="39" t="s">
        <v>5</v>
      </c>
      <c r="H163" s="60" t="s">
        <v>45</v>
      </c>
      <c r="I163" s="60" t="s">
        <v>25</v>
      </c>
      <c r="J163" s="38">
        <v>2</v>
      </c>
      <c r="K163" s="38">
        <f t="shared" si="17"/>
        <v>-5.3655137324172379</v>
      </c>
      <c r="L163" s="43">
        <f t="shared" si="18"/>
        <v>0.45903493881953172</v>
      </c>
      <c r="M163" s="45">
        <v>1.2345580787321599</v>
      </c>
    </row>
    <row r="164" spans="1:13" x14ac:dyDescent="0.3">
      <c r="A164" s="60" t="s">
        <v>66</v>
      </c>
      <c r="B164" s="52">
        <v>3.18753947368421E-3</v>
      </c>
      <c r="C164" s="60" t="s">
        <v>27</v>
      </c>
      <c r="D164" s="37">
        <v>1</v>
      </c>
      <c r="E164" s="62">
        <f t="shared" si="16"/>
        <v>3.18753947368421E-3</v>
      </c>
      <c r="F164" s="59" t="s">
        <v>220</v>
      </c>
      <c r="G164" s="39" t="s">
        <v>5</v>
      </c>
      <c r="H164" s="60" t="s">
        <v>45</v>
      </c>
      <c r="I164" s="60" t="s">
        <v>25</v>
      </c>
      <c r="J164" s="38">
        <v>2</v>
      </c>
      <c r="K164" s="38">
        <f t="shared" si="17"/>
        <v>-5.7485059846733435</v>
      </c>
      <c r="L164" s="43">
        <f t="shared" si="18"/>
        <v>0.31642522335064432</v>
      </c>
      <c r="M164" s="45">
        <v>1.10530898683042</v>
      </c>
    </row>
    <row r="165" spans="1:13" x14ac:dyDescent="0.3">
      <c r="A165" s="60" t="s">
        <v>66</v>
      </c>
      <c r="B165" s="52">
        <v>3.3319000000000001E-3</v>
      </c>
      <c r="C165" s="60" t="s">
        <v>27</v>
      </c>
      <c r="D165" s="37">
        <v>1</v>
      </c>
      <c r="E165" s="62">
        <f t="shared" si="16"/>
        <v>3.3319000000000001E-3</v>
      </c>
      <c r="F165" s="59" t="s">
        <v>220</v>
      </c>
      <c r="G165" s="39" t="s">
        <v>5</v>
      </c>
      <c r="H165" s="60" t="s">
        <v>45</v>
      </c>
      <c r="I165" s="60" t="s">
        <v>25</v>
      </c>
      <c r="J165" s="38">
        <v>2</v>
      </c>
      <c r="K165" s="38">
        <f t="shared" si="17"/>
        <v>-5.7042125671327115</v>
      </c>
      <c r="L165" s="43">
        <f t="shared" si="18"/>
        <v>0.45903493881953172</v>
      </c>
      <c r="M165" s="45">
        <v>1.2345580787321599</v>
      </c>
    </row>
    <row r="166" spans="1:13" x14ac:dyDescent="0.3">
      <c r="A166" s="60" t="s">
        <v>49</v>
      </c>
      <c r="B166" s="52">
        <v>1.36001684210526E-2</v>
      </c>
      <c r="C166" s="60" t="s">
        <v>27</v>
      </c>
      <c r="D166" s="37">
        <v>1</v>
      </c>
      <c r="E166" s="62">
        <f t="shared" si="16"/>
        <v>1.36001684210526E-2</v>
      </c>
      <c r="F166" s="59" t="s">
        <v>220</v>
      </c>
      <c r="G166" s="39" t="s">
        <v>5</v>
      </c>
      <c r="H166" s="60" t="s">
        <v>45</v>
      </c>
      <c r="I166" s="60" t="s">
        <v>25</v>
      </c>
      <c r="J166" s="38">
        <v>2</v>
      </c>
      <c r="K166" s="38">
        <f t="shared" si="17"/>
        <v>-4.2976731024158843</v>
      </c>
      <c r="L166" s="43">
        <f t="shared" si="18"/>
        <v>0.31642522335064432</v>
      </c>
      <c r="M166" s="43">
        <v>1.10530898683042</v>
      </c>
    </row>
    <row r="167" spans="1:13" x14ac:dyDescent="0.3">
      <c r="A167" s="60" t="s">
        <v>49</v>
      </c>
      <c r="B167" s="52">
        <v>3.82504736842105E-3</v>
      </c>
      <c r="C167" s="60" t="s">
        <v>27</v>
      </c>
      <c r="D167" s="37">
        <v>1</v>
      </c>
      <c r="E167" s="62">
        <f t="shared" si="16"/>
        <v>3.82504736842105E-3</v>
      </c>
      <c r="F167" s="59" t="s">
        <v>220</v>
      </c>
      <c r="G167" s="39" t="s">
        <v>5</v>
      </c>
      <c r="H167" s="60" t="s">
        <v>45</v>
      </c>
      <c r="I167" s="60" t="s">
        <v>25</v>
      </c>
      <c r="J167" s="38">
        <v>2</v>
      </c>
      <c r="K167" s="38">
        <f t="shared" si="17"/>
        <v>-5.5661844278793895</v>
      </c>
      <c r="L167" s="43">
        <f t="shared" si="18"/>
        <v>0.45903493881953172</v>
      </c>
      <c r="M167" s="43">
        <v>1.2345580787321599</v>
      </c>
    </row>
    <row r="168" spans="1:13" x14ac:dyDescent="0.3">
      <c r="A168" s="59" t="str">
        <f>B4</f>
        <v>RU1 Power module</v>
      </c>
      <c r="B168" s="54">
        <v>1</v>
      </c>
      <c r="C168" s="61" t="s">
        <v>13</v>
      </c>
      <c r="D168" s="37">
        <v>0.25</v>
      </c>
      <c r="E168" s="62">
        <f>B168/D168</f>
        <v>4</v>
      </c>
      <c r="F168" s="61" t="str">
        <f>B2</f>
        <v>Example</v>
      </c>
      <c r="G168" s="35" t="s">
        <v>5</v>
      </c>
      <c r="H168" s="61" t="s">
        <v>7</v>
      </c>
      <c r="I168" s="61" t="s">
        <v>83</v>
      </c>
      <c r="J168" s="36">
        <v>0</v>
      </c>
      <c r="K168" s="36" t="s">
        <v>5</v>
      </c>
      <c r="L168" s="36" t="s">
        <v>5</v>
      </c>
      <c r="M168" s="19" t="s">
        <v>5</v>
      </c>
    </row>
    <row r="169" spans="1:13" ht="17.25" customHeight="1" x14ac:dyDescent="0.3"/>
    <row r="170" spans="1:13" x14ac:dyDescent="0.3">
      <c r="A170" s="1" t="s">
        <v>2</v>
      </c>
      <c r="B170" s="1" t="s">
        <v>84</v>
      </c>
    </row>
    <row r="171" spans="1:13" x14ac:dyDescent="0.3">
      <c r="A171" t="s">
        <v>4</v>
      </c>
      <c r="B171" t="s">
        <v>5</v>
      </c>
    </row>
    <row r="172" spans="1:13" x14ac:dyDescent="0.3">
      <c r="A172" t="s">
        <v>6</v>
      </c>
      <c r="B172" t="s">
        <v>7</v>
      </c>
    </row>
    <row r="173" spans="1:13" x14ac:dyDescent="0.3">
      <c r="A173" t="s">
        <v>8</v>
      </c>
      <c r="B173">
        <v>1</v>
      </c>
    </row>
    <row r="174" spans="1:13" x14ac:dyDescent="0.3">
      <c r="A174" t="s">
        <v>9</v>
      </c>
      <c r="B174" t="s">
        <v>85</v>
      </c>
    </row>
    <row r="175" spans="1:13" x14ac:dyDescent="0.3">
      <c r="A175" t="s">
        <v>11</v>
      </c>
      <c r="B175" t="s">
        <v>12</v>
      </c>
    </row>
    <row r="176" spans="1:13" x14ac:dyDescent="0.3">
      <c r="A176" t="s">
        <v>13</v>
      </c>
      <c r="B176" t="s">
        <v>13</v>
      </c>
    </row>
    <row r="177" spans="1:13" x14ac:dyDescent="0.3">
      <c r="A177" s="1" t="s">
        <v>14</v>
      </c>
    </row>
    <row r="178" spans="1:13" x14ac:dyDescent="0.3">
      <c r="A178" s="35" t="s">
        <v>15</v>
      </c>
      <c r="B178" s="35" t="s">
        <v>16</v>
      </c>
      <c r="C178" s="35" t="s">
        <v>13</v>
      </c>
      <c r="D178" s="48" t="s">
        <v>222</v>
      </c>
      <c r="E178" s="35" t="s">
        <v>16</v>
      </c>
      <c r="F178" s="35" t="s">
        <v>17</v>
      </c>
      <c r="G178" s="35" t="s">
        <v>18</v>
      </c>
      <c r="H178" s="35" t="s">
        <v>6</v>
      </c>
      <c r="I178" s="35" t="s">
        <v>11</v>
      </c>
      <c r="J178" s="35" t="s">
        <v>19</v>
      </c>
      <c r="K178" s="35" t="s">
        <v>20</v>
      </c>
      <c r="L178" s="35" t="s">
        <v>21</v>
      </c>
      <c r="M178" s="35" t="s">
        <v>22</v>
      </c>
    </row>
    <row r="179" spans="1:13" x14ac:dyDescent="0.3">
      <c r="A179" s="55" t="s">
        <v>86</v>
      </c>
      <c r="B179" s="50">
        <v>1.7849999999999999E-3</v>
      </c>
      <c r="C179" s="56" t="s">
        <v>27</v>
      </c>
      <c r="D179" s="37">
        <v>1</v>
      </c>
      <c r="E179" s="58">
        <f>D179*B179</f>
        <v>1.7849999999999999E-3</v>
      </c>
      <c r="F179" s="56" t="s">
        <v>220</v>
      </c>
      <c r="G179" s="39" t="s">
        <v>5</v>
      </c>
      <c r="H179" s="56" t="s">
        <v>54</v>
      </c>
      <c r="I179" s="56" t="s">
        <v>25</v>
      </c>
      <c r="J179" s="38">
        <v>2</v>
      </c>
      <c r="K179" s="37">
        <f t="shared" ref="K179:K189" si="19">LN(B179)</f>
        <v>-6.3283368637505344</v>
      </c>
      <c r="L179" s="40">
        <f t="shared" ref="L179:L188" si="20">SQRT(LN(M179))</f>
        <v>0.21213203435597125</v>
      </c>
      <c r="M179" s="43">
        <v>1.04602785990872</v>
      </c>
    </row>
    <row r="180" spans="1:13" x14ac:dyDescent="0.3">
      <c r="A180" s="56" t="s">
        <v>87</v>
      </c>
      <c r="B180" s="50">
        <v>7.1399999999999996E-3</v>
      </c>
      <c r="C180" s="56" t="s">
        <v>27</v>
      </c>
      <c r="D180" s="37">
        <v>1</v>
      </c>
      <c r="E180" s="58">
        <f t="shared" ref="E180:E189" si="21">D180*B180</f>
        <v>7.1399999999999996E-3</v>
      </c>
      <c r="F180" s="56" t="s">
        <v>220</v>
      </c>
      <c r="G180" s="39" t="s">
        <v>5</v>
      </c>
      <c r="H180" s="56" t="s">
        <v>54</v>
      </c>
      <c r="I180" s="56" t="s">
        <v>25</v>
      </c>
      <c r="J180" s="38">
        <v>2</v>
      </c>
      <c r="K180" s="37">
        <f t="shared" si="19"/>
        <v>-4.9420425026306445</v>
      </c>
      <c r="L180" s="40">
        <f t="shared" si="20"/>
        <v>0.21213203435597125</v>
      </c>
      <c r="M180" s="43">
        <v>1.04602785990872</v>
      </c>
    </row>
    <row r="181" spans="1:13" x14ac:dyDescent="0.3">
      <c r="A181" s="55" t="s">
        <v>31</v>
      </c>
      <c r="B181" s="50">
        <v>0.44982</v>
      </c>
      <c r="C181" s="56" t="s">
        <v>27</v>
      </c>
      <c r="D181" s="37">
        <v>1</v>
      </c>
      <c r="E181" s="58">
        <f t="shared" si="21"/>
        <v>0.44982</v>
      </c>
      <c r="F181" s="56" t="s">
        <v>220</v>
      </c>
      <c r="G181" s="39" t="s">
        <v>5</v>
      </c>
      <c r="H181" s="56" t="s">
        <v>7</v>
      </c>
      <c r="I181" s="56" t="s">
        <v>25</v>
      </c>
      <c r="J181" s="38">
        <v>2</v>
      </c>
      <c r="K181" s="37">
        <f t="shared" si="19"/>
        <v>-0.79890777623911136</v>
      </c>
      <c r="L181" s="40">
        <f t="shared" si="20"/>
        <v>0.21213203435597125</v>
      </c>
      <c r="M181" s="43">
        <v>1.04602785990872</v>
      </c>
    </row>
    <row r="182" spans="1:13" x14ac:dyDescent="0.3">
      <c r="A182" s="55" t="s">
        <v>88</v>
      </c>
      <c r="B182" s="50">
        <v>1.6064999999999999E-2</v>
      </c>
      <c r="C182" s="56" t="s">
        <v>27</v>
      </c>
      <c r="D182" s="37">
        <v>1</v>
      </c>
      <c r="E182" s="58">
        <f t="shared" si="21"/>
        <v>1.6064999999999999E-2</v>
      </c>
      <c r="F182" s="56" t="s">
        <v>220</v>
      </c>
      <c r="G182" s="39" t="s">
        <v>5</v>
      </c>
      <c r="H182" s="56" t="s">
        <v>7</v>
      </c>
      <c r="I182" s="56" t="s">
        <v>25</v>
      </c>
      <c r="J182" s="38">
        <v>2</v>
      </c>
      <c r="K182" s="37">
        <f t="shared" si="19"/>
        <v>-4.1311122864143153</v>
      </c>
      <c r="L182" s="40">
        <f t="shared" si="20"/>
        <v>0.21213203435597125</v>
      </c>
      <c r="M182" s="43">
        <v>1.04602785990872</v>
      </c>
    </row>
    <row r="183" spans="1:13" x14ac:dyDescent="0.3">
      <c r="A183" s="55" t="s">
        <v>89</v>
      </c>
      <c r="B183" s="50">
        <v>0.33915000000000001</v>
      </c>
      <c r="C183" s="56" t="s">
        <v>27</v>
      </c>
      <c r="D183" s="37">
        <v>1</v>
      </c>
      <c r="E183" s="58">
        <f t="shared" si="21"/>
        <v>0.33915000000000001</v>
      </c>
      <c r="F183" s="56" t="s">
        <v>220</v>
      </c>
      <c r="G183" s="39" t="s">
        <v>5</v>
      </c>
      <c r="H183" s="56" t="s">
        <v>7</v>
      </c>
      <c r="I183" s="56" t="s">
        <v>25</v>
      </c>
      <c r="J183" s="38">
        <v>2</v>
      </c>
      <c r="K183" s="37">
        <f t="shared" si="19"/>
        <v>-1.0813127915900484</v>
      </c>
      <c r="L183" s="40">
        <f t="shared" si="20"/>
        <v>0.21213203435597125</v>
      </c>
      <c r="M183" s="43">
        <v>1.04602785990872</v>
      </c>
    </row>
    <row r="184" spans="1:13" x14ac:dyDescent="0.3">
      <c r="A184" s="55" t="s">
        <v>90</v>
      </c>
      <c r="B184" s="50">
        <v>0.52122000000000002</v>
      </c>
      <c r="C184" s="56" t="s">
        <v>27</v>
      </c>
      <c r="D184" s="37">
        <v>1</v>
      </c>
      <c r="E184" s="58">
        <f t="shared" si="21"/>
        <v>0.52122000000000002</v>
      </c>
      <c r="F184" s="56" t="s">
        <v>220</v>
      </c>
      <c r="G184" s="39" t="s">
        <v>5</v>
      </c>
      <c r="H184" s="56" t="s">
        <v>7</v>
      </c>
      <c r="I184" s="56" t="s">
        <v>25</v>
      </c>
      <c r="J184" s="38">
        <v>2</v>
      </c>
      <c r="K184" s="37">
        <f t="shared" si="19"/>
        <v>-0.65158306148225287</v>
      </c>
      <c r="L184" s="40">
        <f t="shared" si="20"/>
        <v>0.21213203435597125</v>
      </c>
      <c r="M184" s="43">
        <v>1.04602785990872</v>
      </c>
    </row>
    <row r="185" spans="1:13" x14ac:dyDescent="0.3">
      <c r="A185" s="55" t="s">
        <v>91</v>
      </c>
      <c r="B185" s="50">
        <v>5.9119199999999997E-2</v>
      </c>
      <c r="C185" s="56" t="s">
        <v>27</v>
      </c>
      <c r="D185" s="37">
        <v>1</v>
      </c>
      <c r="E185" s="58">
        <f t="shared" si="21"/>
        <v>5.9119199999999997E-2</v>
      </c>
      <c r="F185" s="56" t="s">
        <v>220</v>
      </c>
      <c r="G185" s="39" t="s">
        <v>5</v>
      </c>
      <c r="H185" s="56" t="s">
        <v>40</v>
      </c>
      <c r="I185" s="56" t="s">
        <v>25</v>
      </c>
      <c r="J185" s="38">
        <v>2</v>
      </c>
      <c r="K185" s="37">
        <f t="shared" si="19"/>
        <v>-2.8281995342334758</v>
      </c>
      <c r="L185" s="40">
        <f t="shared" si="20"/>
        <v>0.21213203435597125</v>
      </c>
      <c r="M185" s="43">
        <v>1.04602785990872</v>
      </c>
    </row>
    <row r="186" spans="1:13" x14ac:dyDescent="0.3">
      <c r="A186" s="55" t="s">
        <v>92</v>
      </c>
      <c r="B186" s="50">
        <v>0.19792080000000001</v>
      </c>
      <c r="C186" s="56" t="s">
        <v>27</v>
      </c>
      <c r="D186" s="37">
        <v>1</v>
      </c>
      <c r="E186" s="58">
        <f t="shared" si="21"/>
        <v>0.19792080000000001</v>
      </c>
      <c r="F186" s="56" t="s">
        <v>220</v>
      </c>
      <c r="G186" s="39" t="s">
        <v>5</v>
      </c>
      <c r="H186" s="56" t="s">
        <v>40</v>
      </c>
      <c r="I186" s="56" t="s">
        <v>25</v>
      </c>
      <c r="J186" s="38">
        <v>2</v>
      </c>
      <c r="K186" s="37">
        <f t="shared" si="19"/>
        <v>-1.6198883283089416</v>
      </c>
      <c r="L186" s="40">
        <f t="shared" si="20"/>
        <v>0.21213203435597125</v>
      </c>
      <c r="M186" s="43">
        <v>1.04602785990872</v>
      </c>
    </row>
    <row r="187" spans="1:13" x14ac:dyDescent="0.3">
      <c r="A187" s="55" t="s">
        <v>93</v>
      </c>
      <c r="B187" s="50">
        <v>6.6045000000000006E-2</v>
      </c>
      <c r="C187" s="56" t="s">
        <v>27</v>
      </c>
      <c r="D187" s="37">
        <v>1</v>
      </c>
      <c r="E187" s="58">
        <f t="shared" si="21"/>
        <v>6.6045000000000006E-2</v>
      </c>
      <c r="F187" s="56" t="s">
        <v>220</v>
      </c>
      <c r="G187" s="39" t="s">
        <v>5</v>
      </c>
      <c r="H187" s="56" t="s">
        <v>7</v>
      </c>
      <c r="I187" s="56" t="s">
        <v>25</v>
      </c>
      <c r="J187" s="38">
        <v>2</v>
      </c>
      <c r="K187" s="37">
        <f t="shared" si="19"/>
        <v>-2.71741895110631</v>
      </c>
      <c r="L187" s="40">
        <f t="shared" si="20"/>
        <v>0.21213203435597125</v>
      </c>
      <c r="M187" s="43">
        <v>1.04602785990872</v>
      </c>
    </row>
    <row r="188" spans="1:13" x14ac:dyDescent="0.3">
      <c r="A188" s="55" t="s">
        <v>68</v>
      </c>
      <c r="B188" s="50">
        <v>0.12673499999999999</v>
      </c>
      <c r="C188" s="56" t="s">
        <v>27</v>
      </c>
      <c r="D188" s="37">
        <v>1</v>
      </c>
      <c r="E188" s="58">
        <f t="shared" si="21"/>
        <v>0.12673499999999999</v>
      </c>
      <c r="F188" s="56" t="s">
        <v>220</v>
      </c>
      <c r="G188" s="39" t="s">
        <v>5</v>
      </c>
      <c r="H188" s="56" t="s">
        <v>7</v>
      </c>
      <c r="I188" s="56" t="s">
        <v>25</v>
      </c>
      <c r="J188" s="38">
        <v>2</v>
      </c>
      <c r="K188" s="37">
        <f t="shared" si="19"/>
        <v>-2.0656569867092194</v>
      </c>
      <c r="L188" s="40">
        <f t="shared" si="20"/>
        <v>0.21213203435597125</v>
      </c>
      <c r="M188" s="43">
        <v>1.04602785990872</v>
      </c>
    </row>
    <row r="189" spans="1:13" x14ac:dyDescent="0.3">
      <c r="A189" s="55" t="s">
        <v>94</v>
      </c>
      <c r="B189" s="50">
        <v>1.7849999999999999</v>
      </c>
      <c r="C189" s="56" t="s">
        <v>27</v>
      </c>
      <c r="D189" s="37">
        <v>1</v>
      </c>
      <c r="E189" s="58">
        <f t="shared" si="21"/>
        <v>1.7849999999999999</v>
      </c>
      <c r="F189" s="56" t="s">
        <v>220</v>
      </c>
      <c r="G189" s="39" t="s">
        <v>5</v>
      </c>
      <c r="H189" s="56" t="s">
        <v>7</v>
      </c>
      <c r="I189" s="56" t="s">
        <v>25</v>
      </c>
      <c r="J189" s="38">
        <v>0</v>
      </c>
      <c r="K189" s="37">
        <f t="shared" si="19"/>
        <v>0.57941841523160231</v>
      </c>
      <c r="L189" s="37" t="s">
        <v>5</v>
      </c>
      <c r="M189" s="38" t="s">
        <v>5</v>
      </c>
    </row>
    <row r="190" spans="1:13" x14ac:dyDescent="0.3">
      <c r="A190" s="56" t="str">
        <f>B170</f>
        <v>RU2 DC link capacitor</v>
      </c>
      <c r="B190" s="51">
        <v>1</v>
      </c>
      <c r="C190" s="57" t="s">
        <v>13</v>
      </c>
      <c r="D190" s="37">
        <v>1</v>
      </c>
      <c r="E190" s="57">
        <f>B190/D190</f>
        <v>1</v>
      </c>
      <c r="F190" s="57" t="str">
        <f>B2</f>
        <v>Example</v>
      </c>
      <c r="G190" s="35" t="s">
        <v>5</v>
      </c>
      <c r="H190" s="57" t="s">
        <v>7</v>
      </c>
      <c r="I190" s="57" t="s">
        <v>83</v>
      </c>
      <c r="J190" s="36">
        <v>0</v>
      </c>
      <c r="K190" s="36" t="s">
        <v>5</v>
      </c>
      <c r="L190" s="36" t="s">
        <v>5</v>
      </c>
      <c r="M190" s="19" t="s">
        <v>5</v>
      </c>
    </row>
    <row r="191" spans="1:13" ht="13.5" customHeight="1" x14ac:dyDescent="0.3"/>
  </sheetData>
  <mergeCells count="1">
    <mergeCell ref="B1:H1"/>
  </mergeCells>
  <phoneticPr fontId="10" type="noConversion"/>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4"/>
  <sheetViews>
    <sheetView workbookViewId="0">
      <selection activeCell="A36" sqref="A36"/>
    </sheetView>
  </sheetViews>
  <sheetFormatPr baseColWidth="10" defaultColWidth="10.6640625" defaultRowHeight="14.4" x14ac:dyDescent="0.3"/>
  <cols>
    <col min="1" max="1" width="32" bestFit="1" customWidth="1"/>
    <col min="3" max="3" width="11.44140625" bestFit="1" customWidth="1"/>
    <col min="4" max="4" width="13.44140625" bestFit="1" customWidth="1"/>
    <col min="5" max="5" width="12.109375" customWidth="1"/>
    <col min="6" max="6" width="31.44140625" bestFit="1" customWidth="1"/>
    <col min="10" max="10" width="18.109375" customWidth="1"/>
  </cols>
  <sheetData>
    <row r="1" spans="1:15" ht="15.6" x14ac:dyDescent="0.3">
      <c r="A1" s="1" t="s">
        <v>2</v>
      </c>
      <c r="B1" s="1" t="s">
        <v>95</v>
      </c>
      <c r="G1" s="1"/>
    </row>
    <row r="2" spans="1:15" ht="15.6" x14ac:dyDescent="0.3">
      <c r="A2" t="s">
        <v>4</v>
      </c>
      <c r="B2" t="s">
        <v>5</v>
      </c>
      <c r="G2" s="1"/>
    </row>
    <row r="3" spans="1:15" ht="15.6" x14ac:dyDescent="0.3">
      <c r="A3" t="s">
        <v>6</v>
      </c>
      <c r="B3" t="s">
        <v>7</v>
      </c>
      <c r="G3" s="1"/>
    </row>
    <row r="4" spans="1:15" ht="15.6" x14ac:dyDescent="0.3">
      <c r="A4" t="s">
        <v>8</v>
      </c>
      <c r="B4">
        <f>1</f>
        <v>1</v>
      </c>
      <c r="G4" s="1"/>
    </row>
    <row r="5" spans="1:15" ht="15.6" x14ac:dyDescent="0.3">
      <c r="A5" t="s">
        <v>9</v>
      </c>
      <c r="B5" t="s">
        <v>96</v>
      </c>
      <c r="G5" s="1"/>
    </row>
    <row r="6" spans="1:15" ht="15.6" x14ac:dyDescent="0.3">
      <c r="A6" t="s">
        <v>11</v>
      </c>
      <c r="B6" t="s">
        <v>12</v>
      </c>
      <c r="G6" s="1"/>
    </row>
    <row r="7" spans="1:15" ht="15.6" x14ac:dyDescent="0.3">
      <c r="A7" t="s">
        <v>13</v>
      </c>
      <c r="B7" t="s">
        <v>13</v>
      </c>
      <c r="G7" s="1"/>
    </row>
    <row r="8" spans="1:15" ht="15.6" x14ac:dyDescent="0.3">
      <c r="A8" s="1" t="s">
        <v>14</v>
      </c>
      <c r="G8" s="1"/>
    </row>
    <row r="9" spans="1:15" ht="15.6" x14ac:dyDescent="0.3">
      <c r="A9" s="35" t="s">
        <v>15</v>
      </c>
      <c r="B9" s="35" t="s">
        <v>221</v>
      </c>
      <c r="C9" s="35" t="s">
        <v>13</v>
      </c>
      <c r="D9" s="35" t="s">
        <v>222</v>
      </c>
      <c r="E9" s="35" t="s">
        <v>16</v>
      </c>
      <c r="F9" s="35" t="s">
        <v>17</v>
      </c>
      <c r="G9" s="35" t="s">
        <v>18</v>
      </c>
      <c r="H9" s="35" t="s">
        <v>6</v>
      </c>
      <c r="I9" s="35" t="s">
        <v>11</v>
      </c>
      <c r="J9" s="35" t="s">
        <v>19</v>
      </c>
      <c r="K9" s="35" t="s">
        <v>20</v>
      </c>
      <c r="L9" s="35" t="s">
        <v>21</v>
      </c>
      <c r="M9" s="35" t="s">
        <v>22</v>
      </c>
    </row>
    <row r="10" spans="1:15" x14ac:dyDescent="0.3">
      <c r="A10" s="55" t="s">
        <v>97</v>
      </c>
      <c r="B10" s="38">
        <v>0.83799999999999997</v>
      </c>
      <c r="C10" s="55" t="s">
        <v>37</v>
      </c>
      <c r="D10" s="38">
        <v>1</v>
      </c>
      <c r="E10" s="63">
        <f>D10*B10</f>
        <v>0.83799999999999997</v>
      </c>
      <c r="F10" s="56" t="s">
        <v>220</v>
      </c>
      <c r="G10" s="38" t="s">
        <v>5</v>
      </c>
      <c r="H10" s="55" t="s">
        <v>7</v>
      </c>
      <c r="I10" s="55" t="s">
        <v>25</v>
      </c>
      <c r="J10" s="37">
        <v>0</v>
      </c>
      <c r="K10" s="37" t="s">
        <v>5</v>
      </c>
      <c r="L10" s="37" t="s">
        <v>5</v>
      </c>
      <c r="M10" s="37" t="s">
        <v>5</v>
      </c>
    </row>
    <row r="11" spans="1:15" x14ac:dyDescent="0.3">
      <c r="A11" s="56" t="str">
        <f>B1</f>
        <v>Energy per hours RU1</v>
      </c>
      <c r="B11" s="47">
        <v>1</v>
      </c>
      <c r="C11" s="57" t="s">
        <v>13</v>
      </c>
      <c r="D11" s="37">
        <v>1</v>
      </c>
      <c r="E11" s="57">
        <f>B11/D11</f>
        <v>1</v>
      </c>
      <c r="F11" s="57" t="str">
        <f>'Inventory - Manufacturing'!B2</f>
        <v>Example</v>
      </c>
      <c r="G11" s="19" t="s">
        <v>5</v>
      </c>
      <c r="H11" s="57" t="s">
        <v>7</v>
      </c>
      <c r="I11" s="57" t="s">
        <v>83</v>
      </c>
      <c r="J11" s="36">
        <v>0</v>
      </c>
      <c r="K11" s="36" t="s">
        <v>5</v>
      </c>
      <c r="L11" s="36" t="s">
        <v>5</v>
      </c>
      <c r="M11" s="19" t="s">
        <v>5</v>
      </c>
      <c r="N11" s="4"/>
      <c r="O11" s="6"/>
    </row>
    <row r="12" spans="1:15" x14ac:dyDescent="0.3">
      <c r="A12" s="7"/>
      <c r="B12" s="3"/>
    </row>
    <row r="13" spans="1:15" ht="15.6" x14ac:dyDescent="0.3">
      <c r="A13" s="1" t="s">
        <v>2</v>
      </c>
      <c r="B13" s="1" t="s">
        <v>98</v>
      </c>
      <c r="G13" s="1"/>
    </row>
    <row r="14" spans="1:15" ht="15.6" x14ac:dyDescent="0.3">
      <c r="A14" t="s">
        <v>4</v>
      </c>
      <c r="B14" t="s">
        <v>5</v>
      </c>
      <c r="G14" s="1"/>
    </row>
    <row r="15" spans="1:15" ht="15.6" x14ac:dyDescent="0.3">
      <c r="A15" t="s">
        <v>6</v>
      </c>
      <c r="B15" t="s">
        <v>7</v>
      </c>
      <c r="G15" s="1"/>
    </row>
    <row r="16" spans="1:15" ht="15.6" x14ac:dyDescent="0.3">
      <c r="A16" t="s">
        <v>8</v>
      </c>
      <c r="B16">
        <f>1</f>
        <v>1</v>
      </c>
      <c r="G16" s="1"/>
    </row>
    <row r="17" spans="1:15" ht="15.6" x14ac:dyDescent="0.3">
      <c r="A17" t="s">
        <v>9</v>
      </c>
      <c r="B17" t="s">
        <v>99</v>
      </c>
      <c r="G17" s="1"/>
    </row>
    <row r="18" spans="1:15" x14ac:dyDescent="0.3">
      <c r="A18" t="s">
        <v>11</v>
      </c>
      <c r="B18" t="s">
        <v>12</v>
      </c>
    </row>
    <row r="19" spans="1:15" ht="15.6" x14ac:dyDescent="0.3">
      <c r="A19" t="s">
        <v>13</v>
      </c>
      <c r="B19" t="s">
        <v>13</v>
      </c>
      <c r="G19" s="1"/>
    </row>
    <row r="20" spans="1:15" ht="15.6" x14ac:dyDescent="0.3">
      <c r="A20" s="1" t="s">
        <v>14</v>
      </c>
      <c r="G20" s="1"/>
    </row>
    <row r="21" spans="1:15" ht="15.6" x14ac:dyDescent="0.3">
      <c r="A21" s="35" t="s">
        <v>15</v>
      </c>
      <c r="B21" s="35" t="s">
        <v>221</v>
      </c>
      <c r="C21" s="35" t="s">
        <v>13</v>
      </c>
      <c r="D21" s="35" t="s">
        <v>222</v>
      </c>
      <c r="E21" s="35" t="s">
        <v>16</v>
      </c>
      <c r="F21" s="35" t="s">
        <v>17</v>
      </c>
      <c r="G21" s="35" t="s">
        <v>18</v>
      </c>
      <c r="H21" s="35" t="s">
        <v>6</v>
      </c>
      <c r="I21" s="35" t="s">
        <v>11</v>
      </c>
      <c r="J21" s="35" t="s">
        <v>19</v>
      </c>
      <c r="K21" s="35" t="s">
        <v>20</v>
      </c>
      <c r="L21" s="35" t="s">
        <v>21</v>
      </c>
      <c r="M21" s="35" t="s">
        <v>22</v>
      </c>
    </row>
    <row r="22" spans="1:15" x14ac:dyDescent="0.3">
      <c r="A22" s="55" t="s">
        <v>97</v>
      </c>
      <c r="B22" s="49">
        <v>0</v>
      </c>
      <c r="C22" s="55" t="s">
        <v>37</v>
      </c>
      <c r="D22" s="38">
        <v>1</v>
      </c>
      <c r="E22" s="63">
        <f>B22*D22</f>
        <v>0</v>
      </c>
      <c r="F22" s="56" t="s">
        <v>220</v>
      </c>
      <c r="G22" s="38" t="s">
        <v>5</v>
      </c>
      <c r="H22" s="55" t="s">
        <v>7</v>
      </c>
      <c r="I22" s="55" t="s">
        <v>25</v>
      </c>
      <c r="J22" s="37">
        <v>0</v>
      </c>
      <c r="K22" s="37" t="s">
        <v>5</v>
      </c>
      <c r="L22" s="37" t="s">
        <v>5</v>
      </c>
      <c r="M22" s="37" t="s">
        <v>5</v>
      </c>
    </row>
    <row r="23" spans="1:15" x14ac:dyDescent="0.3">
      <c r="A23" s="56" t="str">
        <f>B13</f>
        <v>Energy per hours RU2</v>
      </c>
      <c r="B23" s="47">
        <v>1</v>
      </c>
      <c r="C23" s="57" t="s">
        <v>13</v>
      </c>
      <c r="D23" s="37">
        <v>1</v>
      </c>
      <c r="E23" s="57">
        <f>B23/D23</f>
        <v>1</v>
      </c>
      <c r="F23" s="57" t="str">
        <f>'Inventory - Manufacturing'!B2</f>
        <v>Example</v>
      </c>
      <c r="G23" s="19" t="s">
        <v>5</v>
      </c>
      <c r="H23" s="57" t="s">
        <v>7</v>
      </c>
      <c r="I23" s="57" t="s">
        <v>83</v>
      </c>
      <c r="J23" s="36">
        <v>0</v>
      </c>
      <c r="K23" s="36" t="s">
        <v>5</v>
      </c>
      <c r="L23" s="36" t="s">
        <v>5</v>
      </c>
      <c r="M23" s="19" t="s">
        <v>5</v>
      </c>
      <c r="N23" s="4"/>
      <c r="O23" s="6"/>
    </row>
    <row r="24" spans="1:15" x14ac:dyDescent="0.3">
      <c r="B24" s="8"/>
      <c r="J24" s="5"/>
      <c r="K24" s="5"/>
      <c r="L24" s="5"/>
      <c r="M24" s="5"/>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election activeCell="C20" sqref="C20"/>
    </sheetView>
  </sheetViews>
  <sheetFormatPr baseColWidth="10" defaultColWidth="10.6640625" defaultRowHeight="14.4" x14ac:dyDescent="0.3"/>
  <cols>
    <col min="1" max="1" width="37.77734375" bestFit="1" customWidth="1"/>
    <col min="2" max="2" width="77.109375" bestFit="1" customWidth="1"/>
    <col min="3" max="3" width="86.33203125" customWidth="1"/>
  </cols>
  <sheetData>
    <row r="1" spans="1:3" x14ac:dyDescent="0.3">
      <c r="A1" t="s">
        <v>100</v>
      </c>
      <c r="C1" s="9" t="s">
        <v>101</v>
      </c>
    </row>
    <row r="2" spans="1:3" ht="28.8" x14ac:dyDescent="0.3">
      <c r="A2" s="10" t="s">
        <v>102</v>
      </c>
      <c r="B2" s="11" t="s">
        <v>225</v>
      </c>
      <c r="C2" s="12" t="s">
        <v>103</v>
      </c>
    </row>
    <row r="3" spans="1:3" x14ac:dyDescent="0.3">
      <c r="C3" s="13"/>
    </row>
    <row r="4" spans="1:3" ht="43.2" x14ac:dyDescent="0.3">
      <c r="A4" s="10" t="s">
        <v>104</v>
      </c>
      <c r="B4" s="14" t="s">
        <v>105</v>
      </c>
      <c r="C4" s="13" t="s">
        <v>106</v>
      </c>
    </row>
    <row r="5" spans="1:3" ht="43.2" x14ac:dyDescent="0.3">
      <c r="A5" s="10" t="s">
        <v>107</v>
      </c>
      <c r="B5" s="15" t="str">
        <f>'[1]Inventory - Manufacturing'!B1</f>
        <v>Example</v>
      </c>
      <c r="C5" s="13" t="s">
        <v>108</v>
      </c>
    </row>
    <row r="6" spans="1:3" x14ac:dyDescent="0.3">
      <c r="C6" s="13"/>
    </row>
    <row r="7" spans="1:3" ht="28.8" x14ac:dyDescent="0.3">
      <c r="A7" s="10" t="s">
        <v>109</v>
      </c>
      <c r="B7" s="14" t="s">
        <v>220</v>
      </c>
      <c r="C7" s="13" t="s">
        <v>110</v>
      </c>
    </row>
    <row r="8" spans="1:3" x14ac:dyDescent="0.3">
      <c r="A8" s="10" t="s">
        <v>111</v>
      </c>
      <c r="B8" s="34" t="s">
        <v>224</v>
      </c>
      <c r="C8" s="13" t="s">
        <v>112</v>
      </c>
    </row>
    <row r="9" spans="1:3" x14ac:dyDescent="0.3">
      <c r="C9" s="13"/>
    </row>
    <row r="10" spans="1:3" ht="28.8" x14ac:dyDescent="0.3">
      <c r="A10" s="10" t="s">
        <v>113</v>
      </c>
      <c r="B10" s="15" t="s">
        <v>114</v>
      </c>
      <c r="C10" s="13" t="s">
        <v>115</v>
      </c>
    </row>
    <row r="11" spans="1:3" x14ac:dyDescent="0.3">
      <c r="A11" s="10" t="s">
        <v>116</v>
      </c>
      <c r="B11" s="15">
        <v>10</v>
      </c>
      <c r="C11" s="13" t="s">
        <v>117</v>
      </c>
    </row>
  </sheetData>
  <dataValidations count="1">
    <dataValidation type="list" allowBlank="1" showInputMessage="1" showErrorMessage="1" sqref="B10" xr:uid="{2BE85B30-C47F-CF48-848D-0D026DA49FB4}">
      <formula1>"Analysis,Monte Carlo"</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workbookViewId="0"/>
  </sheetViews>
  <sheetFormatPr baseColWidth="10" defaultColWidth="10.6640625" defaultRowHeight="14.4" x14ac:dyDescent="0.3"/>
  <cols>
    <col min="2" max="2" width="16.77734375" customWidth="1"/>
    <col min="3" max="3" width="62.44140625" customWidth="1"/>
    <col min="4" max="4" width="69.77734375" customWidth="1"/>
    <col min="5" max="5" width="18.44140625" customWidth="1"/>
    <col min="6" max="6" width="84.6640625" customWidth="1"/>
  </cols>
  <sheetData>
    <row r="1" spans="1:6" x14ac:dyDescent="0.3">
      <c r="A1" t="s">
        <v>100</v>
      </c>
      <c r="F1" s="21" t="s">
        <v>101</v>
      </c>
    </row>
    <row r="2" spans="1:6" x14ac:dyDescent="0.3">
      <c r="A2" s="16" t="s">
        <v>118</v>
      </c>
      <c r="B2" s="16" t="s">
        <v>119</v>
      </c>
      <c r="C2" s="16" t="s">
        <v>120</v>
      </c>
      <c r="D2" s="16" t="s">
        <v>121</v>
      </c>
      <c r="E2" s="16" t="s">
        <v>122</v>
      </c>
      <c r="F2" s="13" t="s">
        <v>123</v>
      </c>
    </row>
    <row r="3" spans="1:6" x14ac:dyDescent="0.3">
      <c r="A3" s="17" t="s">
        <v>124</v>
      </c>
      <c r="B3" s="17" t="s">
        <v>125</v>
      </c>
      <c r="C3" s="17" t="s">
        <v>126</v>
      </c>
      <c r="D3" s="17" t="s">
        <v>127</v>
      </c>
      <c r="E3" s="17" t="s">
        <v>128</v>
      </c>
      <c r="F3" s="32"/>
    </row>
    <row r="4" spans="1:6" x14ac:dyDescent="0.3">
      <c r="A4" s="17" t="s">
        <v>129</v>
      </c>
      <c r="B4" s="17" t="s">
        <v>125</v>
      </c>
      <c r="C4" s="17" t="s">
        <v>130</v>
      </c>
      <c r="D4" s="17" t="s">
        <v>131</v>
      </c>
      <c r="E4" s="17" t="s">
        <v>132</v>
      </c>
      <c r="F4" s="32"/>
    </row>
    <row r="5" spans="1:6" x14ac:dyDescent="0.3">
      <c r="A5" s="17" t="s">
        <v>133</v>
      </c>
      <c r="B5" s="17" t="s">
        <v>125</v>
      </c>
      <c r="C5" s="17" t="s">
        <v>134</v>
      </c>
      <c r="D5" s="17" t="s">
        <v>135</v>
      </c>
      <c r="E5" s="17" t="s">
        <v>136</v>
      </c>
      <c r="F5" s="32"/>
    </row>
    <row r="6" spans="1:6" x14ac:dyDescent="0.3">
      <c r="A6" s="17" t="s">
        <v>137</v>
      </c>
      <c r="B6" s="17" t="s">
        <v>125</v>
      </c>
      <c r="C6" s="17" t="s">
        <v>138</v>
      </c>
      <c r="D6" s="17" t="s">
        <v>135</v>
      </c>
      <c r="E6" s="17" t="s">
        <v>136</v>
      </c>
      <c r="F6" s="32"/>
    </row>
    <row r="7" spans="1:6" x14ac:dyDescent="0.3">
      <c r="A7" s="17" t="s">
        <v>139</v>
      </c>
      <c r="B7" s="17" t="s">
        <v>125</v>
      </c>
      <c r="C7" s="17" t="s">
        <v>140</v>
      </c>
      <c r="D7" s="17" t="s">
        <v>141</v>
      </c>
      <c r="E7" s="18" t="s">
        <v>142</v>
      </c>
      <c r="F7" s="32"/>
    </row>
    <row r="8" spans="1:6" x14ac:dyDescent="0.3">
      <c r="A8" s="17" t="s">
        <v>143</v>
      </c>
      <c r="B8" s="17" t="s">
        <v>125</v>
      </c>
      <c r="C8" s="17" t="s">
        <v>144</v>
      </c>
      <c r="D8" s="17" t="s">
        <v>145</v>
      </c>
      <c r="E8" s="17" t="s">
        <v>146</v>
      </c>
      <c r="F8" s="32"/>
    </row>
    <row r="9" spans="1:6" x14ac:dyDescent="0.3">
      <c r="A9" s="17" t="s">
        <v>147</v>
      </c>
      <c r="B9" s="17" t="s">
        <v>125</v>
      </c>
      <c r="C9" s="17" t="s">
        <v>148</v>
      </c>
      <c r="D9" s="17" t="s">
        <v>149</v>
      </c>
      <c r="E9" s="17" t="s">
        <v>150</v>
      </c>
      <c r="F9" s="32"/>
    </row>
    <row r="10" spans="1:6" x14ac:dyDescent="0.3">
      <c r="A10" s="17" t="s">
        <v>151</v>
      </c>
      <c r="B10" s="17" t="s">
        <v>125</v>
      </c>
      <c r="C10" s="17" t="s">
        <v>152</v>
      </c>
      <c r="D10" s="17" t="s">
        <v>153</v>
      </c>
      <c r="E10" s="17" t="s">
        <v>154</v>
      </c>
      <c r="F10" s="32"/>
    </row>
    <row r="11" spans="1:6" x14ac:dyDescent="0.3">
      <c r="A11" s="17" t="s">
        <v>155</v>
      </c>
      <c r="B11" s="17" t="s">
        <v>125</v>
      </c>
      <c r="C11" s="17" t="s">
        <v>156</v>
      </c>
      <c r="D11" s="17" t="s">
        <v>153</v>
      </c>
      <c r="E11" s="17" t="s">
        <v>157</v>
      </c>
      <c r="F11" s="32"/>
    </row>
    <row r="12" spans="1:6" x14ac:dyDescent="0.3">
      <c r="A12" s="17" t="s">
        <v>158</v>
      </c>
      <c r="B12" s="17" t="s">
        <v>125</v>
      </c>
      <c r="C12" s="17" t="s">
        <v>159</v>
      </c>
      <c r="D12" s="17" t="s">
        <v>160</v>
      </c>
      <c r="E12" s="18" t="s">
        <v>161</v>
      </c>
      <c r="F12" s="32"/>
    </row>
    <row r="13" spans="1:6" x14ac:dyDescent="0.3">
      <c r="A13" s="17" t="s">
        <v>162</v>
      </c>
      <c r="B13" s="17" t="s">
        <v>125</v>
      </c>
      <c r="C13" s="17" t="s">
        <v>163</v>
      </c>
      <c r="D13" s="17" t="s">
        <v>164</v>
      </c>
      <c r="E13" s="17" t="s">
        <v>165</v>
      </c>
      <c r="F13" s="32"/>
    </row>
    <row r="14" spans="1:6" x14ac:dyDescent="0.3">
      <c r="A14" s="17" t="s">
        <v>166</v>
      </c>
      <c r="B14" s="17" t="s">
        <v>125</v>
      </c>
      <c r="C14" s="17" t="s">
        <v>167</v>
      </c>
      <c r="D14" s="17" t="s">
        <v>168</v>
      </c>
      <c r="E14" s="17" t="s">
        <v>169</v>
      </c>
      <c r="F14" s="32"/>
    </row>
    <row r="15" spans="1:6" x14ac:dyDescent="0.3">
      <c r="A15" s="17" t="s">
        <v>170</v>
      </c>
      <c r="B15" s="17" t="s">
        <v>125</v>
      </c>
      <c r="C15" s="17" t="s">
        <v>171</v>
      </c>
      <c r="D15" s="17" t="s">
        <v>172</v>
      </c>
      <c r="E15" s="17" t="s">
        <v>173</v>
      </c>
      <c r="F15" s="32"/>
    </row>
    <row r="16" spans="1:6" x14ac:dyDescent="0.3">
      <c r="A16" s="17" t="s">
        <v>174</v>
      </c>
      <c r="B16" s="17" t="s">
        <v>125</v>
      </c>
      <c r="C16" s="17" t="s">
        <v>175</v>
      </c>
      <c r="D16" s="17" t="s">
        <v>176</v>
      </c>
      <c r="E16" s="17" t="s">
        <v>177</v>
      </c>
      <c r="F16" s="32"/>
    </row>
    <row r="17" spans="1:6" x14ac:dyDescent="0.3">
      <c r="A17" s="17" t="s">
        <v>178</v>
      </c>
      <c r="B17" s="17" t="s">
        <v>125</v>
      </c>
      <c r="C17" s="17" t="s">
        <v>179</v>
      </c>
      <c r="D17" s="17" t="s">
        <v>180</v>
      </c>
      <c r="E17" s="17" t="s">
        <v>181</v>
      </c>
      <c r="F17" s="32"/>
    </row>
    <row r="18" spans="1:6" x14ac:dyDescent="0.3">
      <c r="A18" s="17" t="s">
        <v>182</v>
      </c>
      <c r="B18" s="17" t="s">
        <v>125</v>
      </c>
      <c r="C18" s="17" t="s">
        <v>183</v>
      </c>
      <c r="D18" s="17" t="s">
        <v>184</v>
      </c>
      <c r="E18" s="17" t="s">
        <v>185</v>
      </c>
      <c r="F18" s="32"/>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zoomScaleNormal="100" workbookViewId="0">
      <selection activeCell="B2" sqref="B2:E2"/>
    </sheetView>
  </sheetViews>
  <sheetFormatPr baseColWidth="10" defaultColWidth="11.44140625" defaultRowHeight="14.4" x14ac:dyDescent="0.3"/>
  <cols>
    <col min="1" max="1" width="16.109375" customWidth="1"/>
    <col min="2" max="2" width="18.33203125" bestFit="1" customWidth="1"/>
    <col min="3" max="3" width="24.33203125" bestFit="1" customWidth="1"/>
    <col min="4" max="4" width="26.44140625" bestFit="1" customWidth="1"/>
    <col min="5" max="5" width="24.6640625" bestFit="1" customWidth="1"/>
  </cols>
  <sheetData>
    <row r="1" spans="1:5" x14ac:dyDescent="0.3">
      <c r="A1" t="s">
        <v>100</v>
      </c>
    </row>
    <row r="2" spans="1:5" ht="97.8" customHeight="1" x14ac:dyDescent="0.3">
      <c r="A2" s="28" t="s">
        <v>101</v>
      </c>
      <c r="B2" s="98" t="s">
        <v>226</v>
      </c>
      <c r="C2" s="98"/>
      <c r="D2" s="98"/>
      <c r="E2" s="98"/>
    </row>
    <row r="5" spans="1:5" x14ac:dyDescent="0.3">
      <c r="A5" s="19"/>
      <c r="B5" s="20" t="s">
        <v>186</v>
      </c>
      <c r="C5" s="20" t="s">
        <v>187</v>
      </c>
      <c r="D5" s="20" t="s">
        <v>188</v>
      </c>
      <c r="E5" s="20" t="s">
        <v>223</v>
      </c>
    </row>
    <row r="6" spans="1:5" x14ac:dyDescent="0.3">
      <c r="A6" s="20" t="s">
        <v>189</v>
      </c>
      <c r="B6" s="17">
        <v>400</v>
      </c>
      <c r="C6" s="17">
        <v>300</v>
      </c>
      <c r="D6" s="17">
        <v>300</v>
      </c>
      <c r="E6" s="17">
        <v>0.25</v>
      </c>
    </row>
    <row r="7" spans="1:5" x14ac:dyDescent="0.3">
      <c r="A7" s="20" t="s">
        <v>190</v>
      </c>
      <c r="B7" s="17">
        <v>800</v>
      </c>
      <c r="C7" s="17">
        <v>200</v>
      </c>
      <c r="D7" s="17">
        <v>200</v>
      </c>
      <c r="E7" s="17">
        <v>0</v>
      </c>
    </row>
  </sheetData>
  <mergeCells count="1">
    <mergeCell ref="B2:E2"/>
  </mergeCells>
  <pageMargins left="0.78749999999999998" right="0.78749999999999998" top="1.05277777777778" bottom="1.05277777777778" header="0.78749999999999998" footer="0.78749999999999998"/>
  <pageSetup paperSize="9" orientation="portrait" horizontalDpi="300" verticalDpi="300"/>
  <headerFooter>
    <oddHeader>&amp;C&amp;"Times New Roman,Normal"&amp;12&amp;Kffffff&amp;A</oddHeader>
    <oddFooter>&amp;C&amp;"Times New Roman,Normal"&amp;12&amp;KffffffPage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election activeCell="C8" sqref="C8"/>
    </sheetView>
  </sheetViews>
  <sheetFormatPr baseColWidth="10" defaultColWidth="10.6640625" defaultRowHeight="14.4" x14ac:dyDescent="0.3"/>
  <cols>
    <col min="1" max="1" width="30.77734375" bestFit="1" customWidth="1"/>
    <col min="2" max="2" width="18.44140625" customWidth="1"/>
    <col min="3" max="3" width="138.6640625" customWidth="1"/>
  </cols>
  <sheetData>
    <row r="1" spans="1:3" x14ac:dyDescent="0.3">
      <c r="A1" t="s">
        <v>100</v>
      </c>
      <c r="C1" s="9" t="s">
        <v>101</v>
      </c>
    </row>
    <row r="2" spans="1:3" x14ac:dyDescent="0.3">
      <c r="C2" s="19"/>
    </row>
    <row r="3" spans="1:3" x14ac:dyDescent="0.3">
      <c r="A3" s="22" t="s">
        <v>191</v>
      </c>
      <c r="B3" s="23">
        <v>30</v>
      </c>
      <c r="C3" s="13" t="s">
        <v>192</v>
      </c>
    </row>
    <row r="4" spans="1:3" ht="28.8" x14ac:dyDescent="0.3">
      <c r="A4" s="22" t="s">
        <v>193</v>
      </c>
      <c r="B4" s="23">
        <v>666</v>
      </c>
      <c r="C4" s="13" t="s">
        <v>194</v>
      </c>
    </row>
    <row r="5" spans="1:3" x14ac:dyDescent="0.3">
      <c r="A5" s="22" t="s">
        <v>195</v>
      </c>
      <c r="B5" s="23">
        <v>1</v>
      </c>
      <c r="C5" s="13" t="s">
        <v>196</v>
      </c>
    </row>
    <row r="6" spans="1:3" x14ac:dyDescent="0.3">
      <c r="C6" s="13"/>
    </row>
    <row r="7" spans="1:3" x14ac:dyDescent="0.3">
      <c r="A7" s="22" t="s">
        <v>197</v>
      </c>
      <c r="B7" s="23" t="s">
        <v>198</v>
      </c>
      <c r="C7" s="13" t="s">
        <v>199</v>
      </c>
    </row>
    <row r="8" spans="1:3" x14ac:dyDescent="0.3">
      <c r="A8" s="22" t="s">
        <v>200</v>
      </c>
      <c r="B8" s="23" t="s">
        <v>198</v>
      </c>
      <c r="C8" s="24" t="s">
        <v>199</v>
      </c>
    </row>
    <row r="9" spans="1:3" x14ac:dyDescent="0.3">
      <c r="A9" s="22" t="s">
        <v>201</v>
      </c>
      <c r="B9" s="23" t="s">
        <v>198</v>
      </c>
      <c r="C9" s="24" t="s">
        <v>199</v>
      </c>
    </row>
    <row r="10" spans="1:3" x14ac:dyDescent="0.3">
      <c r="B10" s="25"/>
      <c r="C10" s="24"/>
    </row>
    <row r="11" spans="1:3" x14ac:dyDescent="0.3">
      <c r="A11" s="22" t="s">
        <v>202</v>
      </c>
      <c r="B11" s="26" t="s">
        <v>198</v>
      </c>
      <c r="C11" s="24" t="s">
        <v>203</v>
      </c>
    </row>
    <row r="12" spans="1:3" x14ac:dyDescent="0.3">
      <c r="C12" s="13"/>
    </row>
    <row r="13" spans="1:3" ht="28.8" x14ac:dyDescent="0.3">
      <c r="A13" s="22" t="s">
        <v>204</v>
      </c>
      <c r="B13" s="23">
        <v>1000</v>
      </c>
      <c r="C13" s="13" t="s">
        <v>205</v>
      </c>
    </row>
    <row r="14" spans="1:3" x14ac:dyDescent="0.3">
      <c r="C14" s="13"/>
    </row>
    <row r="15" spans="1:3" ht="28.8" x14ac:dyDescent="0.3">
      <c r="A15" s="22" t="s">
        <v>206</v>
      </c>
      <c r="B15" s="27">
        <v>16</v>
      </c>
      <c r="C15" s="13" t="s">
        <v>207</v>
      </c>
    </row>
  </sheetData>
  <dataValidations count="1">
    <dataValidation type="list" allowBlank="1" showInputMessage="1" showErrorMessage="1" sqref="B7:B11" xr:uid="{00000000-0002-0000-0500-000000000000}">
      <formula1>"True,False"</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
  <sheetViews>
    <sheetView workbookViewId="0">
      <selection activeCell="C15" sqref="C15"/>
    </sheetView>
  </sheetViews>
  <sheetFormatPr baseColWidth="10" defaultColWidth="10.6640625" defaultRowHeight="14.4" x14ac:dyDescent="0.3"/>
  <cols>
    <col min="1" max="1" width="16.77734375" customWidth="1"/>
    <col min="2" max="2" width="23" customWidth="1"/>
    <col min="3" max="3" width="17.109375" bestFit="1" customWidth="1"/>
    <col min="4" max="4" width="26.109375" bestFit="1" customWidth="1"/>
    <col min="5" max="5" width="20" bestFit="1" customWidth="1"/>
    <col min="6" max="6" width="27.109375" bestFit="1" customWidth="1"/>
    <col min="7" max="7" width="21.109375" bestFit="1" customWidth="1"/>
    <col min="8" max="8" width="22.6640625" customWidth="1"/>
  </cols>
  <sheetData>
    <row r="1" spans="1:8" x14ac:dyDescent="0.3">
      <c r="A1" t="s">
        <v>100</v>
      </c>
    </row>
    <row r="2" spans="1:8" ht="77.55" customHeight="1" x14ac:dyDescent="0.3">
      <c r="A2" s="33" t="s">
        <v>101</v>
      </c>
      <c r="B2" s="99" t="s">
        <v>216</v>
      </c>
      <c r="C2" s="99"/>
      <c r="D2" s="99"/>
      <c r="E2" s="99"/>
      <c r="F2" s="99"/>
      <c r="G2" s="99"/>
      <c r="H2" s="99"/>
    </row>
    <row r="3" spans="1:8" ht="15" customHeight="1" x14ac:dyDescent="0.3">
      <c r="A3" s="21"/>
      <c r="B3" s="29"/>
      <c r="C3" s="29"/>
      <c r="D3" s="29"/>
      <c r="E3" s="29"/>
      <c r="F3" s="29"/>
      <c r="G3" s="29"/>
    </row>
    <row r="4" spans="1:8" ht="19.5" customHeight="1" x14ac:dyDescent="0.3">
      <c r="B4" s="30" t="s">
        <v>217</v>
      </c>
      <c r="C4" s="30" t="s">
        <v>208</v>
      </c>
      <c r="D4" s="30" t="s">
        <v>218</v>
      </c>
      <c r="E4" s="30" t="s">
        <v>209</v>
      </c>
      <c r="F4" s="30" t="s">
        <v>219</v>
      </c>
      <c r="G4" s="30" t="s">
        <v>210</v>
      </c>
      <c r="H4" s="30" t="s">
        <v>211</v>
      </c>
    </row>
    <row r="5" spans="1:8" x14ac:dyDescent="0.3">
      <c r="A5" s="30" t="s">
        <v>212</v>
      </c>
      <c r="B5" s="17">
        <v>1000</v>
      </c>
      <c r="C5" s="17">
        <v>0.6</v>
      </c>
      <c r="D5" s="17">
        <v>3000</v>
      </c>
      <c r="E5" s="17">
        <v>1</v>
      </c>
      <c r="F5" s="17">
        <v>40</v>
      </c>
      <c r="G5" s="17">
        <v>8</v>
      </c>
      <c r="H5" s="17">
        <v>10</v>
      </c>
    </row>
    <row r="6" spans="1:8" x14ac:dyDescent="0.3">
      <c r="A6" s="30" t="s">
        <v>213</v>
      </c>
      <c r="B6" s="17">
        <v>1000</v>
      </c>
      <c r="C6" s="17">
        <v>0.6</v>
      </c>
      <c r="D6" s="17">
        <v>3000</v>
      </c>
      <c r="E6" s="17">
        <v>1</v>
      </c>
      <c r="F6" s="17">
        <v>12</v>
      </c>
      <c r="G6" s="17">
        <v>8</v>
      </c>
      <c r="H6" s="17">
        <v>5</v>
      </c>
    </row>
  </sheetData>
  <mergeCells count="1">
    <mergeCell ref="B2:H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workbookViewId="0">
      <selection activeCell="E19" sqref="E19"/>
    </sheetView>
  </sheetViews>
  <sheetFormatPr baseColWidth="10" defaultColWidth="10.6640625" defaultRowHeight="14.4" x14ac:dyDescent="0.3"/>
  <cols>
    <col min="1" max="1" width="15.33203125" customWidth="1"/>
    <col min="2" max="3" width="31.44140625" customWidth="1"/>
  </cols>
  <sheetData>
    <row r="1" spans="1:6" x14ac:dyDescent="0.3">
      <c r="A1" t="s">
        <v>100</v>
      </c>
    </row>
    <row r="2" spans="1:6" ht="126" customHeight="1" x14ac:dyDescent="0.3">
      <c r="A2" s="33" t="s">
        <v>101</v>
      </c>
      <c r="B2" s="100" t="s">
        <v>227</v>
      </c>
      <c r="C2" s="101"/>
      <c r="D2" s="101"/>
      <c r="E2" s="101"/>
      <c r="F2" s="102"/>
    </row>
    <row r="4" spans="1:6" x14ac:dyDescent="0.3">
      <c r="B4" s="30" t="s">
        <v>212</v>
      </c>
      <c r="C4" s="30" t="s">
        <v>213</v>
      </c>
    </row>
    <row r="5" spans="1:6" x14ac:dyDescent="0.3">
      <c r="A5" s="30" t="s">
        <v>214</v>
      </c>
      <c r="B5" s="31">
        <v>1</v>
      </c>
      <c r="C5" s="31">
        <v>0</v>
      </c>
    </row>
    <row r="6" spans="1:6" x14ac:dyDescent="0.3">
      <c r="A6" s="30" t="s">
        <v>215</v>
      </c>
      <c r="B6" s="31">
        <v>0</v>
      </c>
      <c r="C6" s="31">
        <v>1</v>
      </c>
    </row>
  </sheetData>
  <mergeCells count="1">
    <mergeCell ref="B2:F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1737</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PELCA - Legend | License</vt:lpstr>
      <vt:lpstr>Inventory - Manufacturing</vt:lpstr>
      <vt:lpstr>Inventory - Use</vt:lpstr>
      <vt:lpstr>LCA</vt:lpstr>
      <vt:lpstr>LCIA</vt:lpstr>
      <vt:lpstr>Cost - Price</vt:lpstr>
      <vt:lpstr>Staircase</vt:lpstr>
      <vt:lpstr>Faults &amp; Prev. Maint.</vt:lpstr>
      <vt:lpstr>Cur. Maint. (replac.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Briac Baudais</dc:creator>
  <dc:description/>
  <cp:lastModifiedBy>Guillemet, Thomas</cp:lastModifiedBy>
  <cp:revision>12</cp:revision>
  <dcterms:created xsi:type="dcterms:W3CDTF">2024-06-06T12:20:07Z</dcterms:created>
  <dcterms:modified xsi:type="dcterms:W3CDTF">2026-03-25T13:59:13Z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0x010100B4423484B736DB4F9D6F493751AFCDB8</vt:lpwstr>
  </property>
  <property fmtid="{D5CDD505-2E9C-101B-9397-08002B2CF9AE}" pid="3" name="MSIP_Label_d55f6660-0408-47d2-ae31-f46329b4bd81_ActionId">
    <vt:lpwstr>e87282ce-de7a-4ba8-ae04-8d63f3140dd3</vt:lpwstr>
  </property>
  <property fmtid="{D5CDD505-2E9C-101B-9397-08002B2CF9AE}" pid="4" name="MSIP_Label_d55f6660-0408-47d2-ae31-f46329b4bd81_ContentBits">
    <vt:lpwstr>0</vt:lpwstr>
  </property>
  <property fmtid="{D5CDD505-2E9C-101B-9397-08002B2CF9AE}" pid="5" name="MSIP_Label_d55f6660-0408-47d2-ae31-f46329b4bd81_Enabled">
    <vt:lpwstr>true</vt:lpwstr>
  </property>
  <property fmtid="{D5CDD505-2E9C-101B-9397-08002B2CF9AE}" pid="6" name="MSIP_Label_d55f6660-0408-47d2-ae31-f46329b4bd81_Method">
    <vt:lpwstr>Standard</vt:lpwstr>
  </property>
  <property fmtid="{D5CDD505-2E9C-101B-9397-08002B2CF9AE}" pid="7" name="MSIP_Label_d55f6660-0408-47d2-ae31-f46329b4bd81_Name">
    <vt:lpwstr>General</vt:lpwstr>
  </property>
  <property fmtid="{D5CDD505-2E9C-101B-9397-08002B2CF9AE}" pid="8" name="MSIP_Label_d55f6660-0408-47d2-ae31-f46329b4bd81_SetDate">
    <vt:lpwstr>2024-06-06T12:20:07Z</vt:lpwstr>
  </property>
  <property fmtid="{D5CDD505-2E9C-101B-9397-08002B2CF9AE}" pid="9" name="MSIP_Label_d55f6660-0408-47d2-ae31-f46329b4bd81_SiteId">
    <vt:lpwstr>1f141cfd-a6c5-4e9a-bf84-7116c141e5f4</vt:lpwstr>
  </property>
</Properties>
</file>