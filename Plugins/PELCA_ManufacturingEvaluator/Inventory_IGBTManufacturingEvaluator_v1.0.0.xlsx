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uillemet\Documents\PELCA_internal\Plugins\PELCADeviceDesigner\"/>
    </mc:Choice>
  </mc:AlternateContent>
  <xr:revisionPtr revIDLastSave="0" documentId="13_ncr:1_{B0D14BF3-1BB0-4AC3-8070-4B305A1B13FA}" xr6:coauthVersionLast="47" xr6:coauthVersionMax="47" xr10:uidLastSave="{00000000-0000-0000-0000-000000000000}"/>
  <bookViews>
    <workbookView xWindow="-28920" yWindow="-120" windowWidth="29040" windowHeight="15720" tabRatio="892" activeTab="1" xr2:uid="{00000000-000D-0000-FFFF-FFFF00000000}"/>
  </bookViews>
  <sheets>
    <sheet name="0. CONTENTS" sheetId="73" r:id="rId1"/>
    <sheet name="1. USER INPUTS" sheetId="29" r:id="rId2"/>
    <sheet name="2. PROCESS RECAP " sheetId="68" r:id="rId3"/>
    <sheet name="3. SUMMARY LCI" sheetId="40" r:id="rId4"/>
    <sheet name="4. INPUTS LIST" sheetId="39" r:id="rId5"/>
    <sheet name="5. IMPACTS CATEGORIES" sheetId="36" r:id="rId6"/>
    <sheet name="6. PEDIGREE MATRIX" sheetId="38" r:id="rId7"/>
    <sheet name="7. BoM" sheetId="66" r:id="rId8"/>
    <sheet name="8. BoE" sheetId="65" r:id="rId9"/>
    <sheet name="9. REF. DEVICE" sheetId="17" r:id="rId10"/>
    <sheet name="10. IGBT PROCESS FLOW" sheetId="70" r:id="rId11"/>
    <sheet name="11. RAW WF PROD." sheetId="43" r:id="rId12"/>
    <sheet name="12. WET ETCH" sheetId="54" r:id="rId13"/>
    <sheet name="13. WET CLEAN" sheetId="44" r:id="rId14"/>
    <sheet name="14. PHOTOLITHO." sheetId="45" r:id="rId15"/>
    <sheet name="15. DRY ETCH" sheetId="55" r:id="rId16"/>
    <sheet name="16. THERMAL PROC." sheetId="59" r:id="rId17"/>
    <sheet name="17. IMPLANT" sheetId="57" r:id="rId18"/>
    <sheet name="18. CVD" sheetId="56" r:id="rId19"/>
    <sheet name="19. PVD" sheetId="53" r:id="rId20"/>
    <sheet name="20. CMP" sheetId="52" r:id="rId21"/>
    <sheet name="21. THINNING" sheetId="48" r:id="rId22"/>
    <sheet name="22. DICING" sheetId="47" r:id="rId23"/>
    <sheet name="23. PROBING" sheetId="49" r:id="rId24"/>
    <sheet name="24. WAFER FAB" sheetId="58" r:id="rId25"/>
    <sheet name="25. CHEM. &amp; MAT." sheetId="6" r:id="rId26"/>
    <sheet name="26. CHEM. SOL._MODEL" sheetId="69" r:id="rId27"/>
    <sheet name="27. FRONT-END YIELD MODELS" sheetId="62" r:id="rId28"/>
    <sheet name="28. DIE COUNT MODEL" sheetId="64" r:id="rId29"/>
    <sheet name="29. FAB SIZE MODEL" sheetId="63" r:id="rId30"/>
    <sheet name="30. REFERENCES" sheetId="71" r:id="rId31"/>
  </sheet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8" i="45" l="1"/>
  <c r="D55" i="45"/>
  <c r="D106" i="45"/>
  <c r="D64" i="65"/>
  <c r="D62" i="65"/>
  <c r="D60" i="65"/>
  <c r="D56" i="65"/>
  <c r="D54" i="65"/>
  <c r="D52" i="65"/>
  <c r="D49" i="65"/>
  <c r="D50" i="65" s="1"/>
  <c r="D45" i="65"/>
  <c r="D46" i="65" s="1"/>
  <c r="D43" i="65"/>
  <c r="D44" i="65" s="1"/>
  <c r="D41" i="65"/>
  <c r="D42" i="65" s="1"/>
  <c r="D38" i="65"/>
  <c r="D36" i="65"/>
  <c r="D34" i="65"/>
  <c r="D32" i="65"/>
  <c r="D30" i="65"/>
  <c r="D28" i="65"/>
  <c r="D26" i="65"/>
  <c r="D24" i="65"/>
  <c r="D22" i="65"/>
  <c r="D20" i="65"/>
  <c r="D18" i="65"/>
  <c r="D16" i="65"/>
  <c r="D9" i="65"/>
  <c r="D10" i="65" s="1"/>
  <c r="D19" i="43"/>
  <c r="D18" i="43"/>
  <c r="D16" i="43"/>
  <c r="D14" i="43"/>
  <c r="G39" i="63"/>
  <c r="R184" i="40"/>
  <c r="S184" i="40"/>
  <c r="T184" i="40"/>
  <c r="U184" i="40"/>
  <c r="V184" i="40"/>
  <c r="X184" i="40"/>
  <c r="D200" i="56"/>
  <c r="D197" i="56"/>
  <c r="D147" i="56"/>
  <c r="D99" i="56"/>
  <c r="D50" i="56"/>
  <c r="D47" i="56"/>
  <c r="D257" i="56"/>
  <c r="D256" i="56"/>
  <c r="D255" i="56"/>
  <c r="D260" i="56" l="1"/>
  <c r="D10" i="43"/>
  <c r="S13" i="40"/>
  <c r="S14" i="40"/>
  <c r="S15" i="40"/>
  <c r="S16" i="40"/>
  <c r="S17" i="40"/>
  <c r="S18" i="40"/>
  <c r="S19" i="40"/>
  <c r="S20" i="40"/>
  <c r="S21" i="40"/>
  <c r="S22" i="40"/>
  <c r="S23" i="40"/>
  <c r="S24" i="40"/>
  <c r="S25" i="40"/>
  <c r="S26" i="40"/>
  <c r="S27" i="40"/>
  <c r="S12" i="40"/>
  <c r="S41" i="40"/>
  <c r="S42" i="40"/>
  <c r="S43" i="40"/>
  <c r="S44" i="40"/>
  <c r="S45" i="40"/>
  <c r="S46" i="40"/>
  <c r="S47" i="40"/>
  <c r="S48" i="40"/>
  <c r="S49" i="40"/>
  <c r="S50" i="40"/>
  <c r="S51" i="40"/>
  <c r="S52" i="40"/>
  <c r="S40" i="40"/>
  <c r="S66" i="40"/>
  <c r="S67" i="40"/>
  <c r="S68" i="40"/>
  <c r="S69" i="40"/>
  <c r="S70" i="40"/>
  <c r="S71" i="40"/>
  <c r="S72" i="40"/>
  <c r="S73" i="40"/>
  <c r="S74" i="40"/>
  <c r="S75" i="40"/>
  <c r="S76" i="40"/>
  <c r="S77" i="40"/>
  <c r="S65" i="40"/>
  <c r="S91" i="40"/>
  <c r="S92" i="40"/>
  <c r="S93" i="40"/>
  <c r="S94" i="40"/>
  <c r="S95" i="40"/>
  <c r="S96" i="40"/>
  <c r="S97" i="40"/>
  <c r="S98" i="40"/>
  <c r="S99" i="40"/>
  <c r="S100" i="40"/>
  <c r="S101" i="40"/>
  <c r="S102" i="40"/>
  <c r="S103" i="40"/>
  <c r="S104" i="40"/>
  <c r="S90" i="40"/>
  <c r="S118" i="40"/>
  <c r="S119" i="40"/>
  <c r="S120" i="40"/>
  <c r="S121" i="40"/>
  <c r="S122" i="40"/>
  <c r="S123" i="40"/>
  <c r="S124" i="40"/>
  <c r="S125" i="40"/>
  <c r="S126" i="40"/>
  <c r="S127" i="40"/>
  <c r="S128" i="40"/>
  <c r="S129" i="40"/>
  <c r="S117" i="40"/>
  <c r="S143" i="40"/>
  <c r="S144" i="40"/>
  <c r="S145" i="40"/>
  <c r="S146" i="40"/>
  <c r="S147" i="40"/>
  <c r="S148" i="40"/>
  <c r="S149" i="40"/>
  <c r="S142" i="40"/>
  <c r="S163" i="40"/>
  <c r="S164" i="40"/>
  <c r="S165" i="40"/>
  <c r="S166" i="40"/>
  <c r="S167" i="40"/>
  <c r="S168" i="40"/>
  <c r="S169" i="40"/>
  <c r="S170" i="40"/>
  <c r="S162" i="40"/>
  <c r="S185" i="40"/>
  <c r="S186" i="40"/>
  <c r="S187" i="40"/>
  <c r="S188" i="40"/>
  <c r="S189" i="40"/>
  <c r="S190" i="40"/>
  <c r="S191" i="40"/>
  <c r="S192" i="40"/>
  <c r="S193" i="40"/>
  <c r="S194" i="40"/>
  <c r="S195" i="40"/>
  <c r="S196" i="40"/>
  <c r="S197" i="40"/>
  <c r="S198" i="40"/>
  <c r="S199" i="40"/>
  <c r="S200" i="40"/>
  <c r="S201" i="40"/>
  <c r="S202" i="40"/>
  <c r="S203" i="40"/>
  <c r="S204" i="40"/>
  <c r="S205" i="40"/>
  <c r="S183" i="40"/>
  <c r="S219" i="40"/>
  <c r="S220" i="40"/>
  <c r="S221" i="40"/>
  <c r="S222" i="40"/>
  <c r="S223" i="40"/>
  <c r="S224" i="40"/>
  <c r="S225" i="40"/>
  <c r="S226" i="40"/>
  <c r="S227" i="40"/>
  <c r="S218" i="40"/>
  <c r="S253" i="40"/>
  <c r="S241" i="40"/>
  <c r="S242" i="40"/>
  <c r="S243" i="40"/>
  <c r="S244" i="40"/>
  <c r="S245" i="40"/>
  <c r="S246" i="40"/>
  <c r="S247" i="40"/>
  <c r="S248" i="40"/>
  <c r="S249" i="40"/>
  <c r="S250" i="40"/>
  <c r="S251" i="40"/>
  <c r="S252" i="40"/>
  <c r="S240" i="40"/>
  <c r="S267" i="40"/>
  <c r="S268" i="40"/>
  <c r="S269" i="40"/>
  <c r="S270" i="40"/>
  <c r="S271" i="40"/>
  <c r="S272" i="40"/>
  <c r="S266" i="40"/>
  <c r="S286" i="40"/>
  <c r="S287" i="40"/>
  <c r="S288" i="40"/>
  <c r="S289" i="40"/>
  <c r="S290" i="40"/>
  <c r="S291" i="40"/>
  <c r="S285" i="40"/>
  <c r="S304" i="40"/>
  <c r="S318" i="40"/>
  <c r="S319" i="40"/>
  <c r="S320" i="40"/>
  <c r="S321" i="40"/>
  <c r="S322" i="40"/>
  <c r="S323" i="40"/>
  <c r="S324" i="40"/>
  <c r="S325" i="40"/>
  <c r="S326" i="40"/>
  <c r="S327" i="40"/>
  <c r="S328" i="40"/>
  <c r="S329" i="40"/>
  <c r="S330" i="40"/>
  <c r="S331" i="40"/>
  <c r="S332" i="40"/>
  <c r="S333" i="40"/>
  <c r="S334" i="40"/>
  <c r="S335" i="40"/>
  <c r="S317" i="40"/>
  <c r="G54" i="68"/>
  <c r="G59" i="68"/>
  <c r="H62" i="68"/>
  <c r="D176" i="69" l="1"/>
  <c r="D49" i="44"/>
  <c r="D49" i="56"/>
  <c r="D48" i="56"/>
  <c r="D251" i="56"/>
  <c r="D250" i="56"/>
  <c r="D122" i="53"/>
  <c r="D90" i="53"/>
  <c r="D92" i="57"/>
  <c r="D22" i="57"/>
  <c r="G26" i="68" l="1"/>
  <c r="I26" i="68" s="1"/>
  <c r="E26" i="68"/>
  <c r="D34" i="57"/>
  <c r="D104" i="57"/>
  <c r="D106" i="57"/>
  <c r="D100" i="57"/>
  <c r="D98" i="57"/>
  <c r="R246" i="40"/>
  <c r="T246" i="40"/>
  <c r="U246" i="40"/>
  <c r="V246" i="40"/>
  <c r="X246" i="40"/>
  <c r="R247" i="40"/>
  <c r="T247" i="40"/>
  <c r="U247" i="40"/>
  <c r="V247" i="40"/>
  <c r="X247" i="40"/>
  <c r="R248" i="40"/>
  <c r="T248" i="40"/>
  <c r="U248" i="40"/>
  <c r="V248" i="40"/>
  <c r="X248" i="40"/>
  <c r="R249" i="40"/>
  <c r="T249" i="40"/>
  <c r="U249" i="40"/>
  <c r="V249" i="40"/>
  <c r="X249" i="40"/>
  <c r="R250" i="40"/>
  <c r="T250" i="40"/>
  <c r="U250" i="40"/>
  <c r="V250" i="40"/>
  <c r="X250" i="40"/>
  <c r="R251" i="40"/>
  <c r="T251" i="40"/>
  <c r="U251" i="40"/>
  <c r="V251" i="40"/>
  <c r="X251" i="40"/>
  <c r="R252" i="40"/>
  <c r="T252" i="40"/>
  <c r="U252" i="40"/>
  <c r="V252" i="40"/>
  <c r="X252" i="40"/>
  <c r="R253" i="40"/>
  <c r="T253" i="40"/>
  <c r="U253" i="40"/>
  <c r="V253" i="40"/>
  <c r="X253" i="40"/>
  <c r="D367" i="69"/>
  <c r="D366" i="69"/>
  <c r="D369" i="69"/>
  <c r="D368" i="69"/>
  <c r="D364" i="69"/>
  <c r="D361" i="69"/>
  <c r="D362" i="69" s="1"/>
  <c r="D358" i="69"/>
  <c r="D359" i="69" s="1"/>
  <c r="D355" i="69"/>
  <c r="D356" i="69" s="1"/>
  <c r="D370" i="69" l="1"/>
  <c r="F73" i="6" s="1"/>
  <c r="D105" i="57"/>
  <c r="D365" i="69"/>
  <c r="D360" i="69"/>
  <c r="D363" i="69"/>
  <c r="D357" i="69"/>
  <c r="D374" i="69" l="1"/>
  <c r="D373" i="69"/>
  <c r="D371" i="69"/>
  <c r="D379" i="69"/>
  <c r="D377" i="69"/>
  <c r="D375" i="69"/>
  <c r="D385" i="69" s="1"/>
  <c r="D376" i="69"/>
  <c r="D372" i="69"/>
  <c r="D380" i="69"/>
  <c r="D378" i="69"/>
  <c r="D386" i="69" s="1"/>
  <c r="D71" i="57"/>
  <c r="D36" i="57"/>
  <c r="D276" i="56"/>
  <c r="D219" i="56"/>
  <c r="D384" i="69" l="1"/>
  <c r="D381" i="69"/>
  <c r="D387" i="69"/>
  <c r="G329" i="40"/>
  <c r="G327" i="40"/>
  <c r="R324" i="40"/>
  <c r="T324" i="40"/>
  <c r="U324" i="40"/>
  <c r="V324" i="40"/>
  <c r="X324" i="40"/>
  <c r="R325" i="40"/>
  <c r="T325" i="40"/>
  <c r="U325" i="40"/>
  <c r="V325" i="40"/>
  <c r="X325" i="40"/>
  <c r="R326" i="40"/>
  <c r="T326" i="40"/>
  <c r="U326" i="40"/>
  <c r="V326" i="40"/>
  <c r="X326" i="40"/>
  <c r="R327" i="40"/>
  <c r="T327" i="40"/>
  <c r="U327" i="40"/>
  <c r="V327" i="40"/>
  <c r="X327" i="40"/>
  <c r="R328" i="40"/>
  <c r="T328" i="40"/>
  <c r="U328" i="40"/>
  <c r="V328" i="40"/>
  <c r="X328" i="40"/>
  <c r="R329" i="40"/>
  <c r="T329" i="40"/>
  <c r="U329" i="40"/>
  <c r="V329" i="40"/>
  <c r="X329" i="40"/>
  <c r="X323" i="40"/>
  <c r="V323" i="40"/>
  <c r="U323" i="40"/>
  <c r="T323" i="40"/>
  <c r="R323" i="40"/>
  <c r="X335" i="40"/>
  <c r="V335" i="40"/>
  <c r="U335" i="40"/>
  <c r="T335" i="40"/>
  <c r="R335" i="40"/>
  <c r="X334" i="40"/>
  <c r="V334" i="40"/>
  <c r="U334" i="40"/>
  <c r="T334" i="40"/>
  <c r="R334" i="40"/>
  <c r="R196" i="40"/>
  <c r="T196" i="40"/>
  <c r="U196" i="40"/>
  <c r="V196" i="40"/>
  <c r="X196" i="40"/>
  <c r="R197" i="40"/>
  <c r="T197" i="40"/>
  <c r="U197" i="40"/>
  <c r="V197" i="40"/>
  <c r="X197" i="40"/>
  <c r="R198" i="40"/>
  <c r="T198" i="40"/>
  <c r="U198" i="40"/>
  <c r="V198" i="40"/>
  <c r="X198" i="40"/>
  <c r="R199" i="40"/>
  <c r="T199" i="40"/>
  <c r="U199" i="40"/>
  <c r="V199" i="40"/>
  <c r="X199" i="40"/>
  <c r="R200" i="40"/>
  <c r="T200" i="40"/>
  <c r="U200" i="40"/>
  <c r="V200" i="40"/>
  <c r="X200" i="40"/>
  <c r="R201" i="40"/>
  <c r="T201" i="40"/>
  <c r="U201" i="40"/>
  <c r="V201" i="40"/>
  <c r="X201" i="40"/>
  <c r="R202" i="40"/>
  <c r="T202" i="40"/>
  <c r="U202" i="40"/>
  <c r="V202" i="40"/>
  <c r="X202" i="40"/>
  <c r="R203" i="40"/>
  <c r="T203" i="40"/>
  <c r="U203" i="40"/>
  <c r="V203" i="40"/>
  <c r="X203" i="40"/>
  <c r="R204" i="40"/>
  <c r="T204" i="40"/>
  <c r="U204" i="40"/>
  <c r="V204" i="40"/>
  <c r="X204" i="40"/>
  <c r="R205" i="40"/>
  <c r="T205" i="40"/>
  <c r="U205" i="40"/>
  <c r="V205" i="40"/>
  <c r="X205" i="40"/>
  <c r="X195" i="40"/>
  <c r="V195" i="40"/>
  <c r="U195" i="40"/>
  <c r="T195" i="40"/>
  <c r="R195" i="40"/>
  <c r="X194" i="40"/>
  <c r="V194" i="40"/>
  <c r="U194" i="40"/>
  <c r="T194" i="40"/>
  <c r="R194" i="40"/>
  <c r="X193" i="40"/>
  <c r="V193" i="40"/>
  <c r="U193" i="40"/>
  <c r="T193" i="40"/>
  <c r="R193" i="40"/>
  <c r="X170" i="40"/>
  <c r="V170" i="40"/>
  <c r="U170" i="40"/>
  <c r="T170" i="40"/>
  <c r="R170" i="40"/>
  <c r="X169" i="40"/>
  <c r="V169" i="40"/>
  <c r="U169" i="40"/>
  <c r="T169" i="40"/>
  <c r="R169" i="40"/>
  <c r="X168" i="40"/>
  <c r="V168" i="40"/>
  <c r="U168" i="40"/>
  <c r="T168" i="40"/>
  <c r="R168" i="40"/>
  <c r="X167" i="40"/>
  <c r="V167" i="40"/>
  <c r="U167" i="40"/>
  <c r="T167" i="40"/>
  <c r="R167" i="40"/>
  <c r="X166" i="40"/>
  <c r="V166" i="40"/>
  <c r="U166" i="40"/>
  <c r="T166" i="40"/>
  <c r="R166" i="40"/>
  <c r="X149" i="40"/>
  <c r="V149" i="40"/>
  <c r="U149" i="40"/>
  <c r="T149" i="40"/>
  <c r="R149" i="40"/>
  <c r="X148" i="40"/>
  <c r="V148" i="40"/>
  <c r="U148" i="40"/>
  <c r="T148" i="40"/>
  <c r="R148" i="40"/>
  <c r="X147" i="40"/>
  <c r="V147" i="40"/>
  <c r="U147" i="40"/>
  <c r="T147" i="40"/>
  <c r="R147" i="40"/>
  <c r="X146" i="40"/>
  <c r="V146" i="40"/>
  <c r="U146" i="40"/>
  <c r="T146" i="40"/>
  <c r="R146" i="40"/>
  <c r="R123" i="40"/>
  <c r="T123" i="40"/>
  <c r="U123" i="40"/>
  <c r="V123" i="40"/>
  <c r="X123" i="40"/>
  <c r="R124" i="40"/>
  <c r="T124" i="40"/>
  <c r="U124" i="40"/>
  <c r="V124" i="40"/>
  <c r="X124" i="40"/>
  <c r="R126" i="40"/>
  <c r="T126" i="40"/>
  <c r="U126" i="40"/>
  <c r="V126" i="40"/>
  <c r="X126" i="40"/>
  <c r="R127" i="40"/>
  <c r="T127" i="40"/>
  <c r="U127" i="40"/>
  <c r="V127" i="40"/>
  <c r="X127" i="40"/>
  <c r="R128" i="40"/>
  <c r="T128" i="40"/>
  <c r="U128" i="40"/>
  <c r="V128" i="40"/>
  <c r="X128" i="40"/>
  <c r="R129" i="40"/>
  <c r="T129" i="40"/>
  <c r="U129" i="40"/>
  <c r="V129" i="40"/>
  <c r="X129" i="40"/>
  <c r="X125" i="40"/>
  <c r="V125" i="40"/>
  <c r="U125" i="40"/>
  <c r="T125" i="40"/>
  <c r="R125" i="40"/>
  <c r="X52" i="40"/>
  <c r="V52" i="40"/>
  <c r="U52" i="40"/>
  <c r="T52" i="40"/>
  <c r="R52" i="40"/>
  <c r="X104" i="40"/>
  <c r="V104" i="40"/>
  <c r="U104" i="40"/>
  <c r="T104" i="40"/>
  <c r="R104" i="40"/>
  <c r="X103" i="40"/>
  <c r="V103" i="40"/>
  <c r="U103" i="40"/>
  <c r="T103" i="40"/>
  <c r="R103" i="40"/>
  <c r="X102" i="40"/>
  <c r="V102" i="40"/>
  <c r="U102" i="40"/>
  <c r="T102" i="40"/>
  <c r="R102" i="40"/>
  <c r="X101" i="40"/>
  <c r="V101" i="40"/>
  <c r="U101" i="40"/>
  <c r="T101" i="40"/>
  <c r="R101" i="40"/>
  <c r="X100" i="40"/>
  <c r="V100" i="40"/>
  <c r="U100" i="40"/>
  <c r="T100" i="40"/>
  <c r="R100" i="40"/>
  <c r="A105" i="40"/>
  <c r="D105" i="40"/>
  <c r="E105" i="40"/>
  <c r="R48" i="40"/>
  <c r="T48" i="40"/>
  <c r="U48" i="40"/>
  <c r="V48" i="40"/>
  <c r="X48" i="40"/>
  <c r="R49" i="40"/>
  <c r="T49" i="40"/>
  <c r="U49" i="40"/>
  <c r="V49" i="40"/>
  <c r="X49" i="40"/>
  <c r="R50" i="40"/>
  <c r="T50" i="40"/>
  <c r="U50" i="40"/>
  <c r="V50" i="40"/>
  <c r="X50" i="40"/>
  <c r="R51" i="40"/>
  <c r="T51" i="40"/>
  <c r="U51" i="40"/>
  <c r="V51" i="40"/>
  <c r="X51" i="40"/>
  <c r="R225" i="40"/>
  <c r="T225" i="40"/>
  <c r="U225" i="40"/>
  <c r="V225" i="40"/>
  <c r="X225" i="40"/>
  <c r="R226" i="40"/>
  <c r="T226" i="40"/>
  <c r="U226" i="40"/>
  <c r="V226" i="40"/>
  <c r="X226" i="40"/>
  <c r="R73" i="40"/>
  <c r="T73" i="40"/>
  <c r="U73" i="40"/>
  <c r="V73" i="40"/>
  <c r="X73" i="40"/>
  <c r="R74" i="40"/>
  <c r="T74" i="40"/>
  <c r="U74" i="40"/>
  <c r="V74" i="40"/>
  <c r="X74" i="40"/>
  <c r="R75" i="40"/>
  <c r="T75" i="40"/>
  <c r="U75" i="40"/>
  <c r="V75" i="40"/>
  <c r="X75" i="40"/>
  <c r="R76" i="40"/>
  <c r="T76" i="40"/>
  <c r="U76" i="40"/>
  <c r="V76" i="40"/>
  <c r="X76" i="40"/>
  <c r="X77" i="40"/>
  <c r="V77" i="40"/>
  <c r="U77" i="40"/>
  <c r="T77" i="40"/>
  <c r="R77" i="40"/>
  <c r="X72" i="40"/>
  <c r="V72" i="40"/>
  <c r="U72" i="40"/>
  <c r="T72" i="40"/>
  <c r="R72" i="40"/>
  <c r="X333" i="40"/>
  <c r="V333" i="40"/>
  <c r="U333" i="40"/>
  <c r="T333" i="40"/>
  <c r="R333" i="40"/>
  <c r="X332" i="40"/>
  <c r="V332" i="40"/>
  <c r="U332" i="40"/>
  <c r="T332" i="40"/>
  <c r="R332" i="40"/>
  <c r="X331" i="40"/>
  <c r="V331" i="40"/>
  <c r="U331" i="40"/>
  <c r="T331" i="40"/>
  <c r="R331" i="40"/>
  <c r="X330" i="40"/>
  <c r="V330" i="40"/>
  <c r="U330" i="40"/>
  <c r="T330" i="40"/>
  <c r="R330" i="40"/>
  <c r="R224" i="40"/>
  <c r="T224" i="40"/>
  <c r="U224" i="40"/>
  <c r="V224" i="40"/>
  <c r="X224" i="40"/>
  <c r="R227" i="40"/>
  <c r="T227" i="40"/>
  <c r="U227" i="40"/>
  <c r="V227" i="40"/>
  <c r="X227" i="40"/>
  <c r="D108" i="55"/>
  <c r="D57" i="55"/>
  <c r="X272" i="40"/>
  <c r="V272" i="40"/>
  <c r="U272" i="40"/>
  <c r="T272" i="40"/>
  <c r="R272" i="40"/>
  <c r="X271" i="40"/>
  <c r="V271" i="40"/>
  <c r="U271" i="40"/>
  <c r="T271" i="40"/>
  <c r="R271" i="40"/>
  <c r="X270" i="40"/>
  <c r="V270" i="40"/>
  <c r="U270" i="40"/>
  <c r="T270" i="40"/>
  <c r="R270" i="40"/>
  <c r="R288" i="40"/>
  <c r="T288" i="40"/>
  <c r="U288" i="40"/>
  <c r="V288" i="40"/>
  <c r="X288" i="40"/>
  <c r="R289" i="40"/>
  <c r="T289" i="40"/>
  <c r="U289" i="40"/>
  <c r="V289" i="40"/>
  <c r="X289" i="40"/>
  <c r="R290" i="40"/>
  <c r="T290" i="40"/>
  <c r="U290" i="40"/>
  <c r="V290" i="40"/>
  <c r="X290" i="40"/>
  <c r="R291" i="40"/>
  <c r="T291" i="40"/>
  <c r="U291" i="40"/>
  <c r="V291" i="40"/>
  <c r="X291" i="40"/>
  <c r="D331" i="69"/>
  <c r="D328" i="69"/>
  <c r="D336" i="69"/>
  <c r="D248" i="69"/>
  <c r="D247" i="69"/>
  <c r="D281" i="69"/>
  <c r="D309" i="69"/>
  <c r="D280" i="69"/>
  <c r="D304" i="69"/>
  <c r="D301" i="69"/>
  <c r="D302" i="69" s="1"/>
  <c r="D271" i="69"/>
  <c r="D88" i="45"/>
  <c r="D195" i="69"/>
  <c r="D196" i="69"/>
  <c r="D193" i="69"/>
  <c r="D413" i="58"/>
  <c r="D119" i="58" s="1"/>
  <c r="B335" i="40" s="1"/>
  <c r="C48" i="65"/>
  <c r="C47" i="65"/>
  <c r="R320" i="40"/>
  <c r="T320" i="40"/>
  <c r="U320" i="40"/>
  <c r="V320" i="40"/>
  <c r="X320" i="40"/>
  <c r="R321" i="40"/>
  <c r="T321" i="40"/>
  <c r="U321" i="40"/>
  <c r="V321" i="40"/>
  <c r="X321" i="40"/>
  <c r="G320" i="40"/>
  <c r="A320" i="40" s="1"/>
  <c r="E320" i="40" s="1"/>
  <c r="D165" i="56"/>
  <c r="D117" i="56"/>
  <c r="J56" i="68"/>
  <c r="J53" i="68"/>
  <c r="D28" i="47"/>
  <c r="D24" i="47"/>
  <c r="D23" i="47"/>
  <c r="D20" i="47"/>
  <c r="D22" i="47" s="1"/>
  <c r="D27" i="48"/>
  <c r="D23" i="49"/>
  <c r="E60" i="68"/>
  <c r="D43" i="49" s="1"/>
  <c r="E57" i="68"/>
  <c r="D54" i="47" s="1"/>
  <c r="E54" i="68"/>
  <c r="D57" i="48" s="1"/>
  <c r="E56" i="68"/>
  <c r="D27" i="47" s="1"/>
  <c r="E50" i="68"/>
  <c r="E51" i="68"/>
  <c r="E44" i="68"/>
  <c r="D116" i="56" s="1"/>
  <c r="E45" i="68"/>
  <c r="D164" i="56" s="1"/>
  <c r="E46" i="68"/>
  <c r="D220" i="56" s="1"/>
  <c r="E47" i="68"/>
  <c r="D277" i="56" s="1"/>
  <c r="E39" i="68"/>
  <c r="D39" i="53" s="1"/>
  <c r="E40" i="68"/>
  <c r="D103" i="53" s="1"/>
  <c r="E41" i="68"/>
  <c r="D135" i="53" s="1"/>
  <c r="E30" i="68"/>
  <c r="D58" i="59" s="1"/>
  <c r="E31" i="68"/>
  <c r="D94" i="59" s="1"/>
  <c r="E32" i="68"/>
  <c r="D124" i="59" s="1"/>
  <c r="E33" i="68"/>
  <c r="E34" i="68"/>
  <c r="D149" i="59" s="1"/>
  <c r="E35" i="68"/>
  <c r="D172" i="59" s="1"/>
  <c r="E36" i="68"/>
  <c r="D190" i="59" s="1"/>
  <c r="E27" i="68"/>
  <c r="D37" i="57" s="1"/>
  <c r="E59" i="68"/>
  <c r="D22" i="49" s="1"/>
  <c r="E53" i="68"/>
  <c r="D30" i="48" s="1"/>
  <c r="E49" i="68"/>
  <c r="D40" i="52" s="1"/>
  <c r="E43" i="68"/>
  <c r="D65" i="56" s="1"/>
  <c r="E38" i="68"/>
  <c r="D71" i="53" s="1"/>
  <c r="E29" i="68"/>
  <c r="D31" i="59" s="1"/>
  <c r="E25" i="68"/>
  <c r="E20" i="68"/>
  <c r="D58" i="55" s="1"/>
  <c r="E21" i="68"/>
  <c r="D109" i="55" s="1"/>
  <c r="E22" i="68"/>
  <c r="E23" i="68"/>
  <c r="E19" i="68"/>
  <c r="D147" i="55" s="1"/>
  <c r="E14" i="68"/>
  <c r="D188" i="54" s="1"/>
  <c r="E15" i="68"/>
  <c r="E16" i="68"/>
  <c r="E17" i="68"/>
  <c r="E13" i="68"/>
  <c r="E9" i="68"/>
  <c r="D145" i="44" s="1"/>
  <c r="E10" i="68"/>
  <c r="D115" i="44" s="1"/>
  <c r="E8" i="68"/>
  <c r="E5" i="68"/>
  <c r="D67" i="45" s="1"/>
  <c r="E6" i="68"/>
  <c r="D94" i="45" s="1"/>
  <c r="E4" i="68"/>
  <c r="D45" i="45" s="1"/>
  <c r="D186" i="59"/>
  <c r="D126" i="59"/>
  <c r="D125" i="59"/>
  <c r="D86" i="44"/>
  <c r="D11" i="43"/>
  <c r="D13" i="43" s="1"/>
  <c r="D389" i="69" l="1"/>
  <c r="D72" i="57"/>
  <c r="D107" i="57"/>
  <c r="L335" i="40"/>
  <c r="K335" i="40"/>
  <c r="J335" i="40"/>
  <c r="D329" i="69"/>
  <c r="D332" i="69"/>
  <c r="D333" i="69" s="1"/>
  <c r="D303" i="69"/>
  <c r="D305" i="69"/>
  <c r="D197" i="69"/>
  <c r="D21" i="47"/>
  <c r="I59" i="68"/>
  <c r="D20" i="43"/>
  <c r="D15" i="43"/>
  <c r="D199" i="69" l="1"/>
  <c r="D204" i="69" s="1"/>
  <c r="D89" i="45" s="1"/>
  <c r="F81" i="6"/>
  <c r="D17" i="43"/>
  <c r="D25" i="43"/>
  <c r="D330" i="69"/>
  <c r="D334" i="69"/>
  <c r="D306" i="69"/>
  <c r="D307" i="69" s="1"/>
  <c r="D198" i="69"/>
  <c r="D21" i="43"/>
  <c r="D30" i="57"/>
  <c r="D189" i="56"/>
  <c r="D93" i="45"/>
  <c r="D200" i="69" l="1"/>
  <c r="D203" i="69"/>
  <c r="D90" i="45"/>
  <c r="D30" i="58"/>
  <c r="D29" i="58"/>
  <c r="D26" i="58"/>
  <c r="D25" i="58"/>
  <c r="D354" i="58"/>
  <c r="D28" i="58" l="1"/>
  <c r="D6" i="58"/>
  <c r="G46" i="63"/>
  <c r="G45" i="63"/>
  <c r="G44" i="63"/>
  <c r="G43" i="63"/>
  <c r="G42" i="63"/>
  <c r="G41" i="63"/>
  <c r="G40" i="63"/>
  <c r="G38" i="63"/>
  <c r="G37" i="63"/>
  <c r="G16" i="63"/>
  <c r="G5" i="63"/>
  <c r="G4" i="63"/>
  <c r="D44" i="49"/>
  <c r="D55" i="47"/>
  <c r="D3" i="47" s="1"/>
  <c r="D58" i="48"/>
  <c r="D31" i="48"/>
  <c r="D136" i="53"/>
  <c r="D104" i="53"/>
  <c r="D72" i="53"/>
  <c r="D40" i="53"/>
  <c r="D278" i="56"/>
  <c r="D221" i="56"/>
  <c r="D66" i="56"/>
  <c r="D38" i="57"/>
  <c r="D4" i="57" s="1"/>
  <c r="D191" i="59"/>
  <c r="D173" i="59"/>
  <c r="D150" i="59"/>
  <c r="D95" i="59"/>
  <c r="D59" i="59"/>
  <c r="D32" i="59"/>
  <c r="D148" i="55"/>
  <c r="D110" i="55"/>
  <c r="D55" i="55"/>
  <c r="D53" i="55"/>
  <c r="D51" i="55"/>
  <c r="D116" i="44"/>
  <c r="D189" i="54"/>
  <c r="D130" i="54"/>
  <c r="D61" i="54"/>
  <c r="D24" i="45"/>
  <c r="D25" i="45" s="1"/>
  <c r="D79" i="45"/>
  <c r="D80" i="45" s="1"/>
  <c r="D62" i="45"/>
  <c r="D63" i="45" s="1"/>
  <c r="X318" i="40"/>
  <c r="X319" i="40"/>
  <c r="X322" i="40"/>
  <c r="X317" i="40"/>
  <c r="D3" i="48" l="1"/>
  <c r="D3" i="57"/>
  <c r="D59" i="55"/>
  <c r="D3" i="55" s="1"/>
  <c r="D3" i="59"/>
  <c r="D3" i="49"/>
  <c r="D3" i="56"/>
  <c r="D3" i="53"/>
  <c r="V318" i="40"/>
  <c r="V319" i="40"/>
  <c r="V322" i="40"/>
  <c r="V317" i="40"/>
  <c r="U318" i="40"/>
  <c r="U319" i="40"/>
  <c r="U322" i="40"/>
  <c r="U317" i="40"/>
  <c r="T318" i="40"/>
  <c r="T319" i="40"/>
  <c r="T322" i="40"/>
  <c r="T317" i="40"/>
  <c r="R318" i="40"/>
  <c r="R319" i="40"/>
  <c r="R322" i="40"/>
  <c r="R317" i="40"/>
  <c r="D486" i="58" l="1"/>
  <c r="D502" i="58"/>
  <c r="D463" i="58"/>
  <c r="C42" i="65"/>
  <c r="C43" i="65"/>
  <c r="C44" i="65"/>
  <c r="C45" i="65"/>
  <c r="C46" i="65"/>
  <c r="C49" i="65"/>
  <c r="C50" i="65"/>
  <c r="C51" i="65"/>
  <c r="C52" i="65"/>
  <c r="C53" i="65"/>
  <c r="C54" i="65"/>
  <c r="C55" i="65"/>
  <c r="C56" i="65"/>
  <c r="C57" i="65"/>
  <c r="C58" i="65"/>
  <c r="C59" i="65"/>
  <c r="C60" i="65"/>
  <c r="C61" i="65"/>
  <c r="C62" i="65"/>
  <c r="C63" i="65"/>
  <c r="C64" i="65"/>
  <c r="C41" i="65"/>
  <c r="C16" i="65"/>
  <c r="C17" i="65"/>
  <c r="C18" i="65"/>
  <c r="C19" i="65"/>
  <c r="C20" i="65"/>
  <c r="C21" i="65"/>
  <c r="C22" i="65"/>
  <c r="C23" i="65"/>
  <c r="C24" i="65"/>
  <c r="C25" i="65"/>
  <c r="C26" i="65"/>
  <c r="C27" i="65"/>
  <c r="C28" i="65"/>
  <c r="C29" i="65"/>
  <c r="C30" i="65"/>
  <c r="C31" i="65"/>
  <c r="C32" i="65"/>
  <c r="C33" i="65"/>
  <c r="C34" i="65"/>
  <c r="C35" i="65"/>
  <c r="C36" i="65"/>
  <c r="C37" i="65"/>
  <c r="C38" i="65"/>
  <c r="C15" i="65"/>
  <c r="C12" i="65"/>
  <c r="C11" i="65"/>
  <c r="C10" i="65"/>
  <c r="C9" i="65"/>
  <c r="C8" i="65"/>
  <c r="C7" i="65"/>
  <c r="C6" i="65"/>
  <c r="C5" i="65"/>
  <c r="D50" i="47"/>
  <c r="D48" i="48"/>
  <c r="D38" i="49"/>
  <c r="D18" i="49"/>
  <c r="J59" i="68"/>
  <c r="D441" i="58"/>
  <c r="D49" i="48"/>
  <c r="D31" i="52"/>
  <c r="D146" i="44"/>
  <c r="D135" i="58"/>
  <c r="D136" i="58" s="1"/>
  <c r="G23" i="63"/>
  <c r="D43" i="47"/>
  <c r="D42" i="47"/>
  <c r="G56" i="68"/>
  <c r="G53" i="68"/>
  <c r="G40" i="68"/>
  <c r="I40" i="68" s="1"/>
  <c r="F31" i="63" s="1"/>
  <c r="I53" i="68" l="1"/>
  <c r="F41" i="63" s="1"/>
  <c r="H41" i="63" s="1"/>
  <c r="I56" i="68"/>
  <c r="F43" i="63" s="1"/>
  <c r="F45" i="63"/>
  <c r="H45" i="63" s="1"/>
  <c r="R192" i="40"/>
  <c r="T192" i="40"/>
  <c r="U192" i="40"/>
  <c r="V192" i="40"/>
  <c r="X192" i="40"/>
  <c r="G5" i="68"/>
  <c r="I5" i="68" s="1"/>
  <c r="D185" i="54"/>
  <c r="G14" i="68" s="1"/>
  <c r="D155" i="54"/>
  <c r="G13" i="68" s="1"/>
  <c r="I13" i="68" s="1"/>
  <c r="F9" i="68"/>
  <c r="F10" i="68"/>
  <c r="F11" i="68"/>
  <c r="F8" i="68"/>
  <c r="G33" i="63"/>
  <c r="G34" i="63"/>
  <c r="G35" i="63"/>
  <c r="G36" i="63"/>
  <c r="G32" i="63"/>
  <c r="G31" i="63"/>
  <c r="G29" i="63"/>
  <c r="J43" i="68"/>
  <c r="J38" i="68"/>
  <c r="J29" i="68"/>
  <c r="J25" i="68"/>
  <c r="J19" i="68"/>
  <c r="G30" i="63"/>
  <c r="G28" i="63"/>
  <c r="G27" i="63"/>
  <c r="G26" i="63"/>
  <c r="G25" i="63"/>
  <c r="G22" i="63"/>
  <c r="G24" i="63"/>
  <c r="G21" i="63"/>
  <c r="G20" i="63"/>
  <c r="G19" i="63"/>
  <c r="G18" i="63"/>
  <c r="G17" i="63"/>
  <c r="G15" i="63"/>
  <c r="G9" i="63"/>
  <c r="I14" i="68" l="1"/>
  <c r="H43" i="63"/>
  <c r="H31" i="63"/>
  <c r="R96" i="40"/>
  <c r="T96" i="40"/>
  <c r="U96" i="40"/>
  <c r="V96" i="40"/>
  <c r="X96" i="40"/>
  <c r="R97" i="40"/>
  <c r="T97" i="40"/>
  <c r="U97" i="40"/>
  <c r="V97" i="40"/>
  <c r="X97" i="40"/>
  <c r="R98" i="40"/>
  <c r="T98" i="40"/>
  <c r="U98" i="40"/>
  <c r="V98" i="40"/>
  <c r="X98" i="40"/>
  <c r="D183" i="54"/>
  <c r="D177" i="54"/>
  <c r="D179" i="54" s="1"/>
  <c r="D187" i="54"/>
  <c r="D158" i="54"/>
  <c r="D157" i="54"/>
  <c r="D522" i="58"/>
  <c r="D519" i="58"/>
  <c r="D520" i="58" s="1"/>
  <c r="D521" i="58"/>
  <c r="D505" i="58"/>
  <c r="D31" i="58" s="1"/>
  <c r="D489" i="58"/>
  <c r="D444" i="58"/>
  <c r="D22" i="58"/>
  <c r="D8" i="58"/>
  <c r="D123" i="54"/>
  <c r="D126" i="54" s="1"/>
  <c r="G17" i="68" s="1"/>
  <c r="I17" i="68" s="1"/>
  <c r="D118" i="54"/>
  <c r="D119" i="54" s="1"/>
  <c r="D129" i="54"/>
  <c r="D128" i="54"/>
  <c r="D91" i="54"/>
  <c r="D94" i="54" s="1"/>
  <c r="G16" i="68" s="1"/>
  <c r="I16" i="68" s="1"/>
  <c r="D97" i="54"/>
  <c r="D54" i="44"/>
  <c r="D96" i="54"/>
  <c r="D277" i="69"/>
  <c r="D274" i="69"/>
  <c r="D54" i="54"/>
  <c r="D60" i="54"/>
  <c r="D59" i="54"/>
  <c r="G12" i="63" s="1"/>
  <c r="D242" i="69"/>
  <c r="D239" i="69"/>
  <c r="D240" i="69" s="1"/>
  <c r="D236" i="69"/>
  <c r="D37" i="55"/>
  <c r="D104" i="55"/>
  <c r="R95" i="40"/>
  <c r="T95" i="40"/>
  <c r="U95" i="40"/>
  <c r="V95" i="40"/>
  <c r="X95" i="40"/>
  <c r="D237" i="69" l="1"/>
  <c r="D238" i="69" s="1"/>
  <c r="D115" i="54"/>
  <c r="D117" i="54" s="1"/>
  <c r="F11" i="63"/>
  <c r="G14" i="63"/>
  <c r="G13" i="63"/>
  <c r="G11" i="63"/>
  <c r="G10" i="63"/>
  <c r="D523" i="58"/>
  <c r="D9" i="58"/>
  <c r="D7" i="58"/>
  <c r="D272" i="69"/>
  <c r="D275" i="69"/>
  <c r="D243" i="69"/>
  <c r="D241" i="69"/>
  <c r="D73" i="52"/>
  <c r="D107" i="52"/>
  <c r="D64" i="52"/>
  <c r="D221" i="69"/>
  <c r="D220" i="69"/>
  <c r="D228" i="69" s="1"/>
  <c r="D65" i="52" s="1"/>
  <c r="D175" i="69"/>
  <c r="D174" i="69"/>
  <c r="A359" i="40"/>
  <c r="A361" i="40"/>
  <c r="A360" i="40"/>
  <c r="A358" i="40"/>
  <c r="A357" i="40"/>
  <c r="A356" i="40"/>
  <c r="A355" i="40"/>
  <c r="A354" i="40"/>
  <c r="A353" i="40"/>
  <c r="A352" i="40"/>
  <c r="A351" i="40"/>
  <c r="A350" i="40"/>
  <c r="A349" i="40"/>
  <c r="A348" i="40"/>
  <c r="D128" i="69"/>
  <c r="D126" i="69"/>
  <c r="D68" i="62"/>
  <c r="D47" i="62"/>
  <c r="D26" i="62"/>
  <c r="D5" i="62"/>
  <c r="D39" i="69"/>
  <c r="D36" i="69"/>
  <c r="D33" i="69"/>
  <c r="D43" i="69"/>
  <c r="D42" i="69"/>
  <c r="D41" i="69"/>
  <c r="R47" i="40"/>
  <c r="T47" i="40"/>
  <c r="U47" i="40"/>
  <c r="V47" i="40"/>
  <c r="X47" i="40"/>
  <c r="D105" i="44"/>
  <c r="D135" i="44"/>
  <c r="D144" i="44"/>
  <c r="D137" i="44"/>
  <c r="D134" i="44"/>
  <c r="D132" i="44"/>
  <c r="D153" i="69"/>
  <c r="D152" i="69"/>
  <c r="D148" i="69"/>
  <c r="D147" i="69"/>
  <c r="D114" i="44"/>
  <c r="G8" i="63" s="1"/>
  <c r="D107" i="44"/>
  <c r="D104" i="44"/>
  <c r="D112" i="44" s="1"/>
  <c r="G10" i="68" s="1"/>
  <c r="I10" i="68" s="1"/>
  <c r="D102" i="44"/>
  <c r="D276" i="69" l="1"/>
  <c r="D273" i="69"/>
  <c r="H11" i="63"/>
  <c r="D142" i="44"/>
  <c r="G9" i="68" s="1"/>
  <c r="I9" i="68" s="1"/>
  <c r="G7" i="63"/>
  <c r="D151" i="69"/>
  <c r="D517" i="58"/>
  <c r="D10" i="58"/>
  <c r="D244" i="69"/>
  <c r="D245" i="69" s="1"/>
  <c r="D32" i="52"/>
  <c r="D225" i="69"/>
  <c r="D127" i="69"/>
  <c r="D129" i="69" s="1"/>
  <c r="D149" i="69"/>
  <c r="D150" i="69" s="1"/>
  <c r="D44" i="69"/>
  <c r="F78" i="6" s="1"/>
  <c r="D37" i="69"/>
  <c r="D34" i="69"/>
  <c r="D154" i="69"/>
  <c r="F70" i="6" s="1"/>
  <c r="D216" i="69"/>
  <c r="D210" i="69" s="1"/>
  <c r="D218" i="69"/>
  <c r="D217" i="69"/>
  <c r="D211" i="69" s="1"/>
  <c r="D131" i="69"/>
  <c r="D172" i="69"/>
  <c r="D171" i="69"/>
  <c r="D170" i="69"/>
  <c r="D103" i="69"/>
  <c r="D104" i="69"/>
  <c r="F46" i="6"/>
  <c r="D100" i="69"/>
  <c r="D96" i="69"/>
  <c r="D93" i="69"/>
  <c r="E305" i="40"/>
  <c r="D305" i="40"/>
  <c r="A305" i="40"/>
  <c r="X304" i="40"/>
  <c r="V304" i="40"/>
  <c r="U304" i="40"/>
  <c r="T304" i="40"/>
  <c r="R304" i="40"/>
  <c r="G304" i="40"/>
  <c r="N5" i="64"/>
  <c r="E5" i="29"/>
  <c r="D47" i="48" s="1"/>
  <c r="E8" i="29"/>
  <c r="D308" i="69" l="1"/>
  <c r="D335" i="69"/>
  <c r="D278" i="69"/>
  <c r="D194" i="69"/>
  <c r="C4" i="63"/>
  <c r="J43" i="63" s="1"/>
  <c r="D145" i="54"/>
  <c r="D130" i="69"/>
  <c r="D132" i="69" s="1"/>
  <c r="F69" i="6" s="1"/>
  <c r="D279" i="69"/>
  <c r="D246" i="69"/>
  <c r="D249" i="69" s="1"/>
  <c r="F71" i="6" s="1"/>
  <c r="D51" i="69"/>
  <c r="D96" i="52"/>
  <c r="D212" i="69"/>
  <c r="D222" i="69" s="1"/>
  <c r="D229" i="69" s="1"/>
  <c r="D66" i="52" s="1"/>
  <c r="D46" i="69"/>
  <c r="D49" i="69"/>
  <c r="D48" i="69"/>
  <c r="D45" i="69"/>
  <c r="D157" i="69"/>
  <c r="D163" i="69" s="1"/>
  <c r="D158" i="69"/>
  <c r="D164" i="69" s="1"/>
  <c r="D98" i="69"/>
  <c r="D97" i="69"/>
  <c r="D99" i="69"/>
  <c r="D94" i="69"/>
  <c r="D38" i="69"/>
  <c r="D35" i="69"/>
  <c r="D47" i="69" s="1"/>
  <c r="D102" i="69"/>
  <c r="D105" i="69" s="1"/>
  <c r="D155" i="69"/>
  <c r="D138" i="44"/>
  <c r="D177" i="69"/>
  <c r="D214" i="69"/>
  <c r="D156" i="69"/>
  <c r="D173" i="69"/>
  <c r="D53" i="44"/>
  <c r="G6" i="63" s="1"/>
  <c r="D33" i="44"/>
  <c r="D36" i="44"/>
  <c r="D11" i="69"/>
  <c r="D13" i="69"/>
  <c r="D73" i="69"/>
  <c r="D12" i="69"/>
  <c r="D71" i="69"/>
  <c r="D72" i="69"/>
  <c r="D69" i="69"/>
  <c r="D66" i="69"/>
  <c r="D63" i="69"/>
  <c r="D102" i="52"/>
  <c r="D31" i="44"/>
  <c r="D9" i="69"/>
  <c r="D6" i="69"/>
  <c r="D3" i="69"/>
  <c r="D84" i="44"/>
  <c r="G11" i="68" s="1"/>
  <c r="I11" i="68" s="1"/>
  <c r="D83" i="44"/>
  <c r="D80" i="44"/>
  <c r="D106" i="52"/>
  <c r="G51" i="68" s="1"/>
  <c r="I51" i="68" s="1"/>
  <c r="R189" i="40"/>
  <c r="T189" i="40"/>
  <c r="U189" i="40"/>
  <c r="V189" i="40"/>
  <c r="X189" i="40"/>
  <c r="R190" i="40"/>
  <c r="T190" i="40"/>
  <c r="U190" i="40"/>
  <c r="V190" i="40"/>
  <c r="X190" i="40"/>
  <c r="R191" i="40"/>
  <c r="T191" i="40"/>
  <c r="U191" i="40"/>
  <c r="V191" i="40"/>
  <c r="X191" i="40"/>
  <c r="D266" i="56"/>
  <c r="D267" i="56"/>
  <c r="D54" i="56"/>
  <c r="D53" i="56"/>
  <c r="D56" i="56"/>
  <c r="D55" i="56"/>
  <c r="D210" i="56"/>
  <c r="D249" i="56"/>
  <c r="D273" i="56" s="1"/>
  <c r="D275" i="56" s="1"/>
  <c r="D265" i="56"/>
  <c r="D264" i="56"/>
  <c r="D263" i="56"/>
  <c r="D261" i="56"/>
  <c r="D259" i="56"/>
  <c r="D258" i="56"/>
  <c r="D247" i="56"/>
  <c r="D248" i="56" s="1"/>
  <c r="D203" i="56"/>
  <c r="D201" i="56"/>
  <c r="D198" i="56"/>
  <c r="D148" i="56"/>
  <c r="D187" i="56"/>
  <c r="D188" i="56" s="1"/>
  <c r="D137" i="56"/>
  <c r="D138" i="56" s="1"/>
  <c r="D88" i="56"/>
  <c r="D89" i="56" s="1"/>
  <c r="D37" i="56"/>
  <c r="D38" i="56" s="1"/>
  <c r="D216" i="56"/>
  <c r="D218" i="56" s="1"/>
  <c r="D208" i="56"/>
  <c r="D207" i="56"/>
  <c r="D206" i="56"/>
  <c r="D204" i="56"/>
  <c r="D199" i="56"/>
  <c r="D196" i="56"/>
  <c r="D195" i="56"/>
  <c r="D191" i="56"/>
  <c r="D190" i="56"/>
  <c r="D150" i="56"/>
  <c r="D155" i="56"/>
  <c r="D154" i="56"/>
  <c r="D107" i="56"/>
  <c r="D106" i="56"/>
  <c r="D141" i="56"/>
  <c r="D140" i="56"/>
  <c r="D139" i="56"/>
  <c r="D162" i="56" s="1"/>
  <c r="D161" i="56"/>
  <c r="D153" i="56"/>
  <c r="D151" i="56"/>
  <c r="D149" i="56"/>
  <c r="D146" i="56"/>
  <c r="D145" i="56"/>
  <c r="D101" i="56"/>
  <c r="D98" i="56"/>
  <c r="D100" i="56"/>
  <c r="D97" i="56"/>
  <c r="D92" i="56"/>
  <c r="D91" i="56"/>
  <c r="D105" i="56"/>
  <c r="D103" i="56"/>
  <c r="D90" i="56"/>
  <c r="D114" i="56" s="1"/>
  <c r="D113" i="56"/>
  <c r="D35" i="57"/>
  <c r="D70" i="57"/>
  <c r="G25" i="68" s="1"/>
  <c r="D62" i="56"/>
  <c r="D46" i="56"/>
  <c r="D45" i="56"/>
  <c r="D102" i="55"/>
  <c r="D45" i="55"/>
  <c r="D98" i="55"/>
  <c r="D95" i="55"/>
  <c r="D93" i="55"/>
  <c r="D100" i="55"/>
  <c r="D96" i="55"/>
  <c r="D35" i="55"/>
  <c r="D39" i="55"/>
  <c r="D41" i="55"/>
  <c r="D47" i="55"/>
  <c r="D46" i="55"/>
  <c r="D52" i="55" s="1"/>
  <c r="G20" i="68" s="1"/>
  <c r="D144" i="55"/>
  <c r="D25" i="59"/>
  <c r="D139" i="55"/>
  <c r="G6" i="68"/>
  <c r="I6" i="68" s="1"/>
  <c r="D187" i="59"/>
  <c r="D41" i="45"/>
  <c r="D44" i="45"/>
  <c r="G4" i="68" s="1"/>
  <c r="I4" i="68" s="1"/>
  <c r="D30" i="45"/>
  <c r="D65" i="57"/>
  <c r="D63" i="57"/>
  <c r="D28" i="57"/>
  <c r="D164" i="59"/>
  <c r="D165" i="59" s="1"/>
  <c r="D82" i="54" l="1"/>
  <c r="F68" i="6"/>
  <c r="D337" i="69"/>
  <c r="D339" i="69" s="1"/>
  <c r="D310" i="69"/>
  <c r="G27" i="68"/>
  <c r="I27" i="68" s="1"/>
  <c r="F21" i="63" s="1"/>
  <c r="H21" i="63" s="1"/>
  <c r="J21" i="63" s="1"/>
  <c r="D282" i="69"/>
  <c r="F72" i="6" s="1"/>
  <c r="D189" i="59"/>
  <c r="G36" i="68" s="1"/>
  <c r="I25" i="68"/>
  <c r="I20" i="68"/>
  <c r="F16" i="63" s="1"/>
  <c r="H16" i="63" s="1"/>
  <c r="J16" i="63" s="1"/>
  <c r="G47" i="68"/>
  <c r="I47" i="68" s="1"/>
  <c r="G46" i="68"/>
  <c r="I46" i="68" s="1"/>
  <c r="J45" i="63"/>
  <c r="J31" i="63"/>
  <c r="J41" i="63"/>
  <c r="J11" i="63"/>
  <c r="D50" i="55"/>
  <c r="G22" i="68" s="1"/>
  <c r="D54" i="55"/>
  <c r="G23" i="68" s="1"/>
  <c r="D150" i="54"/>
  <c r="D149" i="54"/>
  <c r="D147" i="54"/>
  <c r="D136" i="69"/>
  <c r="D110" i="44" s="1"/>
  <c r="D36" i="54"/>
  <c r="D180" i="69"/>
  <c r="D186" i="69" s="1"/>
  <c r="D29" i="45"/>
  <c r="D33" i="52"/>
  <c r="D213" i="69"/>
  <c r="D223" i="69" s="1"/>
  <c r="D139" i="44"/>
  <c r="D162" i="69"/>
  <c r="D159" i="69"/>
  <c r="D95" i="69"/>
  <c r="D101" i="69" s="1"/>
  <c r="D108" i="69"/>
  <c r="D107" i="69"/>
  <c r="D135" i="69"/>
  <c r="D112" i="69"/>
  <c r="D110" i="69"/>
  <c r="D117" i="69" s="1"/>
  <c r="D86" i="54" s="1"/>
  <c r="D111" i="69"/>
  <c r="D134" i="69"/>
  <c r="D64" i="69"/>
  <c r="D67" i="69"/>
  <c r="D40" i="69"/>
  <c r="D50" i="69"/>
  <c r="D52" i="69" s="1"/>
  <c r="D178" i="69"/>
  <c r="D179" i="69"/>
  <c r="D4" i="69"/>
  <c r="D7" i="69"/>
  <c r="D57" i="69" s="1"/>
  <c r="D100" i="52" s="1"/>
  <c r="D140" i="44"/>
  <c r="D51" i="44"/>
  <c r="G8" i="68" s="1"/>
  <c r="I8" i="68" s="1"/>
  <c r="D108" i="44"/>
  <c r="D133" i="69"/>
  <c r="D109" i="44" s="1"/>
  <c r="D113" i="69"/>
  <c r="D106" i="69"/>
  <c r="D109" i="69"/>
  <c r="D14" i="69"/>
  <c r="D74" i="69"/>
  <c r="F79" i="6" s="1"/>
  <c r="D163" i="56"/>
  <c r="D115" i="56"/>
  <c r="D107" i="55"/>
  <c r="D146" i="55"/>
  <c r="D120" i="59"/>
  <c r="D117" i="59"/>
  <c r="D143" i="59"/>
  <c r="D115" i="59"/>
  <c r="D91" i="59"/>
  <c r="D80" i="59"/>
  <c r="D28" i="59"/>
  <c r="D55" i="59"/>
  <c r="D145" i="59"/>
  <c r="D141" i="59" s="1"/>
  <c r="D82" i="59"/>
  <c r="D87" i="59"/>
  <c r="D86" i="59"/>
  <c r="D51" i="59"/>
  <c r="D24" i="59"/>
  <c r="R243" i="40"/>
  <c r="T243" i="40"/>
  <c r="U243" i="40"/>
  <c r="V243" i="40"/>
  <c r="X243" i="40"/>
  <c r="R244" i="40"/>
  <c r="T244" i="40"/>
  <c r="U244" i="40"/>
  <c r="V244" i="40"/>
  <c r="X244" i="40"/>
  <c r="R245" i="40"/>
  <c r="T245" i="40"/>
  <c r="U245" i="40"/>
  <c r="V245" i="40"/>
  <c r="X245" i="40"/>
  <c r="D93" i="52"/>
  <c r="D69" i="52"/>
  <c r="D71" i="52"/>
  <c r="D38" i="52"/>
  <c r="D39" i="52" s="1"/>
  <c r="D52" i="48"/>
  <c r="D44" i="48"/>
  <c r="D23" i="48" s="1"/>
  <c r="D46" i="48"/>
  <c r="D24" i="48"/>
  <c r="D26" i="48"/>
  <c r="R221" i="40"/>
  <c r="T221" i="40"/>
  <c r="U221" i="40"/>
  <c r="V221" i="40"/>
  <c r="X221" i="40"/>
  <c r="R222" i="40"/>
  <c r="T222" i="40"/>
  <c r="U222" i="40"/>
  <c r="V222" i="40"/>
  <c r="X222" i="40"/>
  <c r="D51" i="47"/>
  <c r="D44" i="47"/>
  <c r="D40" i="47"/>
  <c r="D39" i="47"/>
  <c r="D41" i="47"/>
  <c r="D127" i="53"/>
  <c r="D134" i="53" s="1"/>
  <c r="D95" i="53"/>
  <c r="D123" i="53"/>
  <c r="D120" i="53"/>
  <c r="D121" i="53" s="1"/>
  <c r="D91" i="53"/>
  <c r="D88" i="53"/>
  <c r="D89" i="53" s="1"/>
  <c r="D56" i="53"/>
  <c r="D57" i="53" s="1"/>
  <c r="D63" i="53"/>
  <c r="D70" i="53" s="1"/>
  <c r="D29" i="53"/>
  <c r="F20" i="63" l="1"/>
  <c r="H20" i="63" s="1"/>
  <c r="J20" i="63" s="1"/>
  <c r="D340" i="69"/>
  <c r="D311" i="69"/>
  <c r="F74" i="6"/>
  <c r="D338" i="69"/>
  <c r="F75" i="6"/>
  <c r="D21" i="69"/>
  <c r="D40" i="44" s="1"/>
  <c r="F77" i="6"/>
  <c r="D313" i="69"/>
  <c r="D347" i="69"/>
  <c r="D312" i="69"/>
  <c r="D320" i="69" s="1"/>
  <c r="D314" i="69"/>
  <c r="D315" i="69"/>
  <c r="D321" i="69" s="1"/>
  <c r="D316" i="69"/>
  <c r="D343" i="69"/>
  <c r="D341" i="69"/>
  <c r="D342" i="69"/>
  <c r="D348" i="69" s="1"/>
  <c r="D251" i="69"/>
  <c r="D283" i="69"/>
  <c r="D289" i="69"/>
  <c r="D284" i="69"/>
  <c r="D293" i="69" s="1"/>
  <c r="D252" i="69"/>
  <c r="D286" i="69"/>
  <c r="D287" i="69"/>
  <c r="D285" i="69"/>
  <c r="D288" i="69"/>
  <c r="D250" i="69"/>
  <c r="G38" i="68"/>
  <c r="I38" i="68" s="1"/>
  <c r="F29" i="63" s="1"/>
  <c r="H29" i="63" s="1"/>
  <c r="J29" i="63" s="1"/>
  <c r="G41" i="68"/>
  <c r="I41" i="68" s="1"/>
  <c r="F32" i="63" s="1"/>
  <c r="H32" i="63" s="1"/>
  <c r="J32" i="63" s="1"/>
  <c r="D37" i="53"/>
  <c r="D36" i="53"/>
  <c r="D38" i="53" s="1"/>
  <c r="G49" i="68"/>
  <c r="I49" i="68" s="1"/>
  <c r="D72" i="52"/>
  <c r="G50" i="68" s="1"/>
  <c r="I50" i="68" s="1"/>
  <c r="I36" i="68"/>
  <c r="F28" i="63" s="1"/>
  <c r="H28" i="63" s="1"/>
  <c r="J28" i="63" s="1"/>
  <c r="D122" i="59"/>
  <c r="G32" i="68" s="1"/>
  <c r="I32" i="68" s="1"/>
  <c r="F25" i="63" s="1"/>
  <c r="D123" i="59"/>
  <c r="G33" i="68" s="1"/>
  <c r="I33" i="68" s="1"/>
  <c r="F36" i="63"/>
  <c r="H36" i="63" s="1"/>
  <c r="J36" i="63" s="1"/>
  <c r="F37" i="63"/>
  <c r="H37" i="63" s="1"/>
  <c r="J37" i="63" s="1"/>
  <c r="I23" i="68"/>
  <c r="F19" i="63" s="1"/>
  <c r="H19" i="63" s="1"/>
  <c r="J19" i="63" s="1"/>
  <c r="D148" i="59"/>
  <c r="G34" i="68" s="1"/>
  <c r="I34" i="68" s="1"/>
  <c r="F26" i="63" s="1"/>
  <c r="H26" i="63" s="1"/>
  <c r="J26" i="63" s="1"/>
  <c r="I22" i="68"/>
  <c r="F18" i="63" s="1"/>
  <c r="H18" i="63" s="1"/>
  <c r="J18" i="63" s="1"/>
  <c r="G44" i="68"/>
  <c r="I44" i="68" s="1"/>
  <c r="G45" i="68"/>
  <c r="I45" i="68" s="1"/>
  <c r="D41" i="54"/>
  <c r="G21" i="68"/>
  <c r="G19" i="68"/>
  <c r="D56" i="55"/>
  <c r="D141" i="69"/>
  <c r="D38" i="54" s="1"/>
  <c r="D166" i="69"/>
  <c r="D148" i="54"/>
  <c r="D253" i="69"/>
  <c r="D256" i="69"/>
  <c r="D254" i="69"/>
  <c r="D257" i="69"/>
  <c r="D255" i="69"/>
  <c r="D258" i="69"/>
  <c r="D181" i="69"/>
  <c r="D26" i="45"/>
  <c r="D230" i="69"/>
  <c r="D67" i="52" s="1"/>
  <c r="D215" i="69"/>
  <c r="D185" i="69"/>
  <c r="D28" i="45"/>
  <c r="D184" i="69"/>
  <c r="D27" i="45"/>
  <c r="D114" i="69"/>
  <c r="D118" i="69"/>
  <c r="D85" i="54" s="1"/>
  <c r="D119" i="69"/>
  <c r="D87" i="54" s="1"/>
  <c r="D140" i="69"/>
  <c r="D137" i="69"/>
  <c r="D76" i="69"/>
  <c r="D79" i="69"/>
  <c r="D86" i="69" s="1"/>
  <c r="D68" i="69"/>
  <c r="D80" i="69" s="1"/>
  <c r="D65" i="69"/>
  <c r="D77" i="69" s="1"/>
  <c r="D5" i="69"/>
  <c r="D16" i="69"/>
  <c r="D19" i="69"/>
  <c r="D27" i="69" s="1"/>
  <c r="D8" i="69"/>
  <c r="D15" i="69"/>
  <c r="D38" i="44" s="1"/>
  <c r="D18" i="69"/>
  <c r="D39" i="44" s="1"/>
  <c r="D37" i="44"/>
  <c r="D75" i="69"/>
  <c r="D44" i="44" s="1"/>
  <c r="D43" i="44"/>
  <c r="D81" i="69"/>
  <c r="D78" i="69"/>
  <c r="D55" i="48"/>
  <c r="D4" i="48" s="1"/>
  <c r="D45" i="48"/>
  <c r="D349" i="69" l="1"/>
  <c r="D351" i="69" s="1"/>
  <c r="D322" i="69"/>
  <c r="D324" i="69" s="1"/>
  <c r="D317" i="69"/>
  <c r="D344" i="69"/>
  <c r="D265" i="69"/>
  <c r="D45" i="54" s="1"/>
  <c r="D264" i="69"/>
  <c r="D44" i="54" s="1"/>
  <c r="D263" i="69"/>
  <c r="D43" i="54" s="1"/>
  <c r="D262" i="69"/>
  <c r="D42" i="54" s="1"/>
  <c r="D259" i="69"/>
  <c r="D295" i="69"/>
  <c r="D294" i="69"/>
  <c r="D188" i="69"/>
  <c r="D206" i="69"/>
  <c r="G39" i="68"/>
  <c r="I39" i="68" s="1"/>
  <c r="F30" i="63" s="1"/>
  <c r="H30" i="63" s="1"/>
  <c r="J30" i="63" s="1"/>
  <c r="D4" i="53"/>
  <c r="H25" i="63"/>
  <c r="J25" i="63" s="1"/>
  <c r="I19" i="68"/>
  <c r="F15" i="63" s="1"/>
  <c r="H15" i="63" s="1"/>
  <c r="J15" i="63" s="1"/>
  <c r="I21" i="68"/>
  <c r="F17" i="63" s="1"/>
  <c r="H17" i="63" s="1"/>
  <c r="J17" i="63" s="1"/>
  <c r="F35" i="63"/>
  <c r="H35" i="63" s="1"/>
  <c r="J35" i="63" s="1"/>
  <c r="F34" i="63"/>
  <c r="H34" i="63" s="1"/>
  <c r="J34" i="63" s="1"/>
  <c r="D4" i="55"/>
  <c r="D56" i="48"/>
  <c r="I54" i="68"/>
  <c r="D290" i="69"/>
  <c r="D143" i="69"/>
  <c r="D37" i="54"/>
  <c r="D34" i="52"/>
  <c r="D232" i="69"/>
  <c r="D10" i="69"/>
  <c r="D121" i="69"/>
  <c r="D46" i="44"/>
  <c r="D87" i="69"/>
  <c r="D70" i="69"/>
  <c r="D82" i="69"/>
  <c r="D85" i="69"/>
  <c r="D17" i="69"/>
  <c r="D56" i="69"/>
  <c r="D101" i="52" s="1"/>
  <c r="D20" i="69"/>
  <c r="D55" i="69"/>
  <c r="D99" i="52" s="1"/>
  <c r="D25" i="69"/>
  <c r="D45" i="44"/>
  <c r="D50" i="54"/>
  <c r="D58" i="54" s="1"/>
  <c r="G15" i="68" s="1"/>
  <c r="D297" i="69" l="1"/>
  <c r="D267" i="69"/>
  <c r="D89" i="69"/>
  <c r="I15" i="68"/>
  <c r="F12" i="63" s="1"/>
  <c r="H12" i="63" s="1"/>
  <c r="J12" i="63" s="1"/>
  <c r="F42" i="63"/>
  <c r="H42" i="63" s="1"/>
  <c r="J42" i="63" s="1"/>
  <c r="D22" i="69"/>
  <c r="D59" i="69"/>
  <c r="D26" i="69"/>
  <c r="D29" i="69" s="1"/>
  <c r="X118" i="40" l="1"/>
  <c r="V118" i="40"/>
  <c r="U118" i="40"/>
  <c r="T118" i="40"/>
  <c r="R118" i="40"/>
  <c r="D59" i="53" l="1"/>
  <c r="D22" i="48" l="1"/>
  <c r="D25" i="48"/>
  <c r="N73" i="64" l="1"/>
  <c r="M73" i="64"/>
  <c r="L73" i="64"/>
  <c r="N72" i="64"/>
  <c r="M72" i="64"/>
  <c r="L72" i="64"/>
  <c r="N71" i="64"/>
  <c r="M71" i="64"/>
  <c r="L71" i="64"/>
  <c r="N70" i="64"/>
  <c r="M70" i="64"/>
  <c r="L70" i="64"/>
  <c r="N69" i="64"/>
  <c r="M69" i="64"/>
  <c r="L69" i="64"/>
  <c r="N68" i="64"/>
  <c r="M68" i="64"/>
  <c r="L68" i="64"/>
  <c r="N67" i="64"/>
  <c r="M67" i="64"/>
  <c r="L67" i="64"/>
  <c r="N66" i="64"/>
  <c r="M66" i="64"/>
  <c r="L66" i="64"/>
  <c r="N65" i="64"/>
  <c r="M65" i="64"/>
  <c r="L65" i="64"/>
  <c r="N64" i="64"/>
  <c r="M64" i="64"/>
  <c r="L64" i="64"/>
  <c r="N63" i="64"/>
  <c r="M63" i="64"/>
  <c r="L63" i="64"/>
  <c r="N62" i="64"/>
  <c r="M62" i="64"/>
  <c r="L62" i="64"/>
  <c r="N61" i="64"/>
  <c r="M61" i="64"/>
  <c r="L61" i="64"/>
  <c r="N60" i="64"/>
  <c r="M60" i="64"/>
  <c r="L60" i="64"/>
  <c r="N59" i="64"/>
  <c r="M59" i="64"/>
  <c r="L59" i="64"/>
  <c r="N58" i="64"/>
  <c r="M58" i="64"/>
  <c r="L58" i="64"/>
  <c r="N57" i="64"/>
  <c r="M57" i="64"/>
  <c r="L57" i="64"/>
  <c r="N56" i="64"/>
  <c r="M56" i="64"/>
  <c r="L56" i="64"/>
  <c r="N55" i="64"/>
  <c r="M55" i="64"/>
  <c r="L55" i="64"/>
  <c r="N54" i="64"/>
  <c r="M54" i="64"/>
  <c r="L54" i="64"/>
  <c r="N53" i="64"/>
  <c r="M53" i="64"/>
  <c r="L53" i="64"/>
  <c r="N52" i="64"/>
  <c r="M52" i="64"/>
  <c r="L52" i="64"/>
  <c r="N51" i="64"/>
  <c r="M51" i="64"/>
  <c r="L51" i="64"/>
  <c r="F51" i="64"/>
  <c r="N50" i="64"/>
  <c r="M50" i="64"/>
  <c r="L50" i="64"/>
  <c r="N49" i="64"/>
  <c r="M49" i="64"/>
  <c r="L49" i="64"/>
  <c r="N48" i="64"/>
  <c r="M48" i="64"/>
  <c r="L48" i="64"/>
  <c r="N47" i="64"/>
  <c r="M47" i="64"/>
  <c r="L47" i="64"/>
  <c r="N46" i="64"/>
  <c r="M46" i="64"/>
  <c r="L46" i="64"/>
  <c r="N45" i="64"/>
  <c r="M45" i="64"/>
  <c r="L45" i="64"/>
  <c r="N44" i="64"/>
  <c r="M44" i="64"/>
  <c r="L44" i="64"/>
  <c r="N43" i="64"/>
  <c r="M43" i="64"/>
  <c r="L43" i="64"/>
  <c r="N42" i="64"/>
  <c r="M42" i="64"/>
  <c r="L42" i="64"/>
  <c r="N41" i="64"/>
  <c r="M41" i="64"/>
  <c r="L41" i="64"/>
  <c r="N40" i="64"/>
  <c r="M40" i="64"/>
  <c r="L40" i="64"/>
  <c r="N39" i="64"/>
  <c r="M39" i="64"/>
  <c r="L39" i="64"/>
  <c r="N38" i="64"/>
  <c r="M38" i="64"/>
  <c r="L38" i="64"/>
  <c r="N37" i="64"/>
  <c r="M37" i="64"/>
  <c r="L37" i="64"/>
  <c r="N36" i="64"/>
  <c r="M36" i="64"/>
  <c r="L36" i="64"/>
  <c r="N35" i="64"/>
  <c r="M35" i="64"/>
  <c r="L35" i="64"/>
  <c r="N34" i="64"/>
  <c r="M34" i="64"/>
  <c r="L34" i="64"/>
  <c r="N33" i="64"/>
  <c r="M33" i="64"/>
  <c r="L33" i="64"/>
  <c r="N32" i="64"/>
  <c r="M32" i="64"/>
  <c r="L32" i="64"/>
  <c r="N31" i="64"/>
  <c r="M31" i="64"/>
  <c r="L31" i="64"/>
  <c r="N30" i="64"/>
  <c r="M30" i="64"/>
  <c r="L30" i="64"/>
  <c r="N29" i="64"/>
  <c r="M29" i="64"/>
  <c r="L29" i="64"/>
  <c r="N28" i="64"/>
  <c r="M28" i="64"/>
  <c r="L28" i="64"/>
  <c r="F28" i="64"/>
  <c r="N27" i="64"/>
  <c r="M27" i="64"/>
  <c r="L27" i="64"/>
  <c r="N26" i="64"/>
  <c r="M26" i="64"/>
  <c r="L26" i="64"/>
  <c r="N25" i="64"/>
  <c r="M25" i="64"/>
  <c r="L25" i="64"/>
  <c r="N24" i="64"/>
  <c r="M24" i="64"/>
  <c r="L24" i="64"/>
  <c r="N23" i="64"/>
  <c r="M23" i="64"/>
  <c r="L23" i="64"/>
  <c r="N22" i="64"/>
  <c r="M22" i="64"/>
  <c r="L22" i="64"/>
  <c r="N21" i="64"/>
  <c r="M21" i="64"/>
  <c r="L21" i="64"/>
  <c r="N20" i="64"/>
  <c r="M20" i="64"/>
  <c r="L20" i="64"/>
  <c r="N19" i="64"/>
  <c r="M19" i="64"/>
  <c r="L19" i="64"/>
  <c r="N18" i="64"/>
  <c r="M18" i="64"/>
  <c r="L18" i="64"/>
  <c r="N17" i="64"/>
  <c r="M17" i="64"/>
  <c r="L17" i="64"/>
  <c r="N16" i="64"/>
  <c r="M16" i="64"/>
  <c r="L16" i="64"/>
  <c r="N15" i="64"/>
  <c r="M15" i="64"/>
  <c r="L15" i="64"/>
  <c r="N14" i="64"/>
  <c r="M14" i="64"/>
  <c r="L14" i="64"/>
  <c r="N13" i="64"/>
  <c r="M13" i="64"/>
  <c r="L13" i="64"/>
  <c r="N12" i="64"/>
  <c r="M12" i="64"/>
  <c r="L12" i="64"/>
  <c r="N11" i="64"/>
  <c r="M11" i="64"/>
  <c r="L11" i="64"/>
  <c r="N10" i="64"/>
  <c r="M10" i="64"/>
  <c r="L10" i="64"/>
  <c r="N9" i="64"/>
  <c r="M9" i="64"/>
  <c r="L9" i="64"/>
  <c r="N8" i="64"/>
  <c r="M8" i="64"/>
  <c r="L8" i="64"/>
  <c r="N7" i="64"/>
  <c r="M7" i="64"/>
  <c r="L7" i="64"/>
  <c r="N6" i="64"/>
  <c r="M6" i="64"/>
  <c r="L6" i="64"/>
  <c r="M5" i="64"/>
  <c r="L5" i="64"/>
  <c r="F5" i="64"/>
  <c r="F88" i="62"/>
  <c r="F87" i="62"/>
  <c r="F86" i="62"/>
  <c r="F85" i="62"/>
  <c r="F84" i="62"/>
  <c r="F83" i="62"/>
  <c r="F82" i="62"/>
  <c r="F81" i="62"/>
  <c r="F80" i="62"/>
  <c r="F79" i="62"/>
  <c r="F78" i="62"/>
  <c r="F77" i="62"/>
  <c r="F76" i="62"/>
  <c r="F75" i="62"/>
  <c r="F74" i="62"/>
  <c r="F73" i="62"/>
  <c r="F72" i="62"/>
  <c r="F71" i="62"/>
  <c r="F70" i="62"/>
  <c r="F69" i="62"/>
  <c r="F68" i="62"/>
  <c r="F67" i="62"/>
  <c r="F66" i="62"/>
  <c r="F65" i="62"/>
  <c r="F64" i="62"/>
  <c r="F63" i="62"/>
  <c r="F62" i="62"/>
  <c r="F61" i="62"/>
  <c r="F60" i="62"/>
  <c r="F59" i="62"/>
  <c r="F58" i="62"/>
  <c r="F57" i="62"/>
  <c r="F56" i="62"/>
  <c r="F55" i="62"/>
  <c r="F54" i="62"/>
  <c r="F53" i="62"/>
  <c r="F52" i="62"/>
  <c r="F51" i="62"/>
  <c r="F50" i="62"/>
  <c r="F49" i="62"/>
  <c r="F48" i="62"/>
  <c r="F47" i="62"/>
  <c r="F46" i="62"/>
  <c r="F45" i="62"/>
  <c r="F44" i="62"/>
  <c r="F43" i="62"/>
  <c r="F42" i="62"/>
  <c r="F41" i="62"/>
  <c r="F40" i="62"/>
  <c r="F39" i="62"/>
  <c r="F38" i="62"/>
  <c r="F37" i="62"/>
  <c r="F36" i="62"/>
  <c r="F35" i="62"/>
  <c r="F34" i="62"/>
  <c r="F33" i="62"/>
  <c r="F32" i="62"/>
  <c r="F31" i="62"/>
  <c r="F30" i="62"/>
  <c r="F29" i="62"/>
  <c r="F28" i="62"/>
  <c r="F27" i="62"/>
  <c r="F26" i="62"/>
  <c r="F25" i="62"/>
  <c r="F24" i="62"/>
  <c r="F23" i="62"/>
  <c r="F22" i="62"/>
  <c r="F21" i="62"/>
  <c r="F20" i="62"/>
  <c r="F19" i="62"/>
  <c r="F18" i="62"/>
  <c r="F17" i="62"/>
  <c r="F16" i="62"/>
  <c r="F15" i="62"/>
  <c r="F14" i="62"/>
  <c r="F13" i="62"/>
  <c r="F12" i="62"/>
  <c r="F11" i="62"/>
  <c r="F10" i="62"/>
  <c r="F9" i="62"/>
  <c r="F8" i="62"/>
  <c r="F7" i="62"/>
  <c r="F6" i="62"/>
  <c r="F5" i="62"/>
  <c r="A362" i="40"/>
  <c r="E336" i="40"/>
  <c r="D336" i="40"/>
  <c r="A336" i="40"/>
  <c r="G322" i="40"/>
  <c r="G319" i="40"/>
  <c r="G318" i="40"/>
  <c r="A318" i="40" s="1"/>
  <c r="E318" i="40" s="1"/>
  <c r="G317" i="40"/>
  <c r="A317" i="40" s="1"/>
  <c r="E317" i="40" s="1"/>
  <c r="E292" i="40"/>
  <c r="D292" i="40"/>
  <c r="A292" i="40"/>
  <c r="X287" i="40"/>
  <c r="V287" i="40"/>
  <c r="U287" i="40"/>
  <c r="T287" i="40"/>
  <c r="R287" i="40"/>
  <c r="X286" i="40"/>
  <c r="V286" i="40"/>
  <c r="U286" i="40"/>
  <c r="T286" i="40"/>
  <c r="R286" i="40"/>
  <c r="X285" i="40"/>
  <c r="V285" i="40"/>
  <c r="U285" i="40"/>
  <c r="T285" i="40"/>
  <c r="R285" i="40"/>
  <c r="G285" i="40"/>
  <c r="E273" i="40"/>
  <c r="D273" i="40"/>
  <c r="A273" i="40"/>
  <c r="X269" i="40"/>
  <c r="V269" i="40"/>
  <c r="U269" i="40"/>
  <c r="T269" i="40"/>
  <c r="R269" i="40"/>
  <c r="X268" i="40"/>
  <c r="V268" i="40"/>
  <c r="U268" i="40"/>
  <c r="T268" i="40"/>
  <c r="R268" i="40"/>
  <c r="X267" i="40"/>
  <c r="V267" i="40"/>
  <c r="U267" i="40"/>
  <c r="T267" i="40"/>
  <c r="R267" i="40"/>
  <c r="X266" i="40"/>
  <c r="V266" i="40"/>
  <c r="U266" i="40"/>
  <c r="T266" i="40"/>
  <c r="R266" i="40"/>
  <c r="G266" i="40"/>
  <c r="A266" i="40" s="1"/>
  <c r="E304" i="40" s="1"/>
  <c r="E254" i="40"/>
  <c r="D254" i="40"/>
  <c r="A254" i="40"/>
  <c r="X242" i="40"/>
  <c r="V242" i="40"/>
  <c r="U242" i="40"/>
  <c r="T242" i="40"/>
  <c r="R242" i="40"/>
  <c r="X241" i="40"/>
  <c r="V241" i="40"/>
  <c r="U241" i="40"/>
  <c r="T241" i="40"/>
  <c r="R241" i="40"/>
  <c r="X240" i="40"/>
  <c r="V240" i="40"/>
  <c r="U240" i="40"/>
  <c r="T240" i="40"/>
  <c r="R240" i="40"/>
  <c r="G240" i="40"/>
  <c r="E228" i="40"/>
  <c r="D228" i="40"/>
  <c r="A228" i="40"/>
  <c r="X223" i="40"/>
  <c r="V223" i="40"/>
  <c r="U223" i="40"/>
  <c r="T223" i="40"/>
  <c r="R223" i="40"/>
  <c r="X220" i="40"/>
  <c r="V220" i="40"/>
  <c r="U220" i="40"/>
  <c r="T220" i="40"/>
  <c r="R220" i="40"/>
  <c r="X219" i="40"/>
  <c r="V219" i="40"/>
  <c r="U219" i="40"/>
  <c r="T219" i="40"/>
  <c r="R219" i="40"/>
  <c r="X218" i="40"/>
  <c r="V218" i="40"/>
  <c r="U218" i="40"/>
  <c r="T218" i="40"/>
  <c r="R218" i="40"/>
  <c r="G218" i="40"/>
  <c r="A218" i="40" s="1"/>
  <c r="E218" i="40" s="1"/>
  <c r="E206" i="40"/>
  <c r="D206" i="40"/>
  <c r="A206" i="40"/>
  <c r="X188" i="40"/>
  <c r="V188" i="40"/>
  <c r="U188" i="40"/>
  <c r="T188" i="40"/>
  <c r="R188" i="40"/>
  <c r="X187" i="40"/>
  <c r="V187" i="40"/>
  <c r="U187" i="40"/>
  <c r="T187" i="40"/>
  <c r="R187" i="40"/>
  <c r="X186" i="40"/>
  <c r="V186" i="40"/>
  <c r="U186" i="40"/>
  <c r="T186" i="40"/>
  <c r="R186" i="40"/>
  <c r="X185" i="40"/>
  <c r="V185" i="40"/>
  <c r="U185" i="40"/>
  <c r="T185" i="40"/>
  <c r="R185" i="40"/>
  <c r="X183" i="40"/>
  <c r="V183" i="40"/>
  <c r="U183" i="40"/>
  <c r="T183" i="40"/>
  <c r="R183" i="40"/>
  <c r="G183" i="40"/>
  <c r="A183" i="40" s="1"/>
  <c r="E183" i="40" s="1"/>
  <c r="E171" i="40"/>
  <c r="D171" i="40"/>
  <c r="A171" i="40"/>
  <c r="X165" i="40"/>
  <c r="V165" i="40"/>
  <c r="U165" i="40"/>
  <c r="T165" i="40"/>
  <c r="R165" i="40"/>
  <c r="X164" i="40"/>
  <c r="V164" i="40"/>
  <c r="U164" i="40"/>
  <c r="T164" i="40"/>
  <c r="R164" i="40"/>
  <c r="X163" i="40"/>
  <c r="V163" i="40"/>
  <c r="U163" i="40"/>
  <c r="T163" i="40"/>
  <c r="R163" i="40"/>
  <c r="X162" i="40"/>
  <c r="V162" i="40"/>
  <c r="U162" i="40"/>
  <c r="T162" i="40"/>
  <c r="R162" i="40"/>
  <c r="G162" i="40"/>
  <c r="A162" i="40" s="1"/>
  <c r="E162" i="40" s="1"/>
  <c r="E150" i="40"/>
  <c r="D150" i="40"/>
  <c r="A150" i="40"/>
  <c r="X145" i="40"/>
  <c r="V145" i="40"/>
  <c r="U145" i="40"/>
  <c r="T145" i="40"/>
  <c r="R145" i="40"/>
  <c r="X144" i="40"/>
  <c r="V144" i="40"/>
  <c r="U144" i="40"/>
  <c r="T144" i="40"/>
  <c r="R144" i="40"/>
  <c r="X143" i="40"/>
  <c r="V143" i="40"/>
  <c r="U143" i="40"/>
  <c r="T143" i="40"/>
  <c r="R143" i="40"/>
  <c r="X142" i="40"/>
  <c r="V142" i="40"/>
  <c r="U142" i="40"/>
  <c r="T142" i="40"/>
  <c r="R142" i="40"/>
  <c r="G142" i="40"/>
  <c r="A142" i="40" s="1"/>
  <c r="E142" i="40" s="1"/>
  <c r="E130" i="40"/>
  <c r="D130" i="40"/>
  <c r="A130" i="40"/>
  <c r="X122" i="40"/>
  <c r="V122" i="40"/>
  <c r="U122" i="40"/>
  <c r="T122" i="40"/>
  <c r="R122" i="40"/>
  <c r="X121" i="40"/>
  <c r="V121" i="40"/>
  <c r="U121" i="40"/>
  <c r="T121" i="40"/>
  <c r="R121" i="40"/>
  <c r="X120" i="40"/>
  <c r="V120" i="40"/>
  <c r="U120" i="40"/>
  <c r="T120" i="40"/>
  <c r="R120" i="40"/>
  <c r="X119" i="40"/>
  <c r="V119" i="40"/>
  <c r="U119" i="40"/>
  <c r="T119" i="40"/>
  <c r="R119" i="40"/>
  <c r="X117" i="40"/>
  <c r="V117" i="40"/>
  <c r="U117" i="40"/>
  <c r="T117" i="40"/>
  <c r="R117" i="40"/>
  <c r="G117" i="40"/>
  <c r="X99" i="40"/>
  <c r="V99" i="40"/>
  <c r="U99" i="40"/>
  <c r="T99" i="40"/>
  <c r="R99" i="40"/>
  <c r="X94" i="40"/>
  <c r="V94" i="40"/>
  <c r="U94" i="40"/>
  <c r="T94" i="40"/>
  <c r="R94" i="40"/>
  <c r="X93" i="40"/>
  <c r="V93" i="40"/>
  <c r="U93" i="40"/>
  <c r="T93" i="40"/>
  <c r="R93" i="40"/>
  <c r="X92" i="40"/>
  <c r="V92" i="40"/>
  <c r="U92" i="40"/>
  <c r="T92" i="40"/>
  <c r="R92" i="40"/>
  <c r="X91" i="40"/>
  <c r="V91" i="40"/>
  <c r="U91" i="40"/>
  <c r="T91" i="40"/>
  <c r="R91" i="40"/>
  <c r="X90" i="40"/>
  <c r="V90" i="40"/>
  <c r="U90" i="40"/>
  <c r="T90" i="40"/>
  <c r="R90" i="40"/>
  <c r="G90" i="40"/>
  <c r="E78" i="40"/>
  <c r="D78" i="40"/>
  <c r="A78" i="40"/>
  <c r="X71" i="40"/>
  <c r="V71" i="40"/>
  <c r="U71" i="40"/>
  <c r="T71" i="40"/>
  <c r="R71" i="40"/>
  <c r="X70" i="40"/>
  <c r="V70" i="40"/>
  <c r="U70" i="40"/>
  <c r="T70" i="40"/>
  <c r="R70" i="40"/>
  <c r="X69" i="40"/>
  <c r="V69" i="40"/>
  <c r="U69" i="40"/>
  <c r="T69" i="40"/>
  <c r="R69" i="40"/>
  <c r="X68" i="40"/>
  <c r="V68" i="40"/>
  <c r="U68" i="40"/>
  <c r="T68" i="40"/>
  <c r="R68" i="40"/>
  <c r="X67" i="40"/>
  <c r="V67" i="40"/>
  <c r="U67" i="40"/>
  <c r="T67" i="40"/>
  <c r="R67" i="40"/>
  <c r="X66" i="40"/>
  <c r="V66" i="40"/>
  <c r="U66" i="40"/>
  <c r="T66" i="40"/>
  <c r="R66" i="40"/>
  <c r="X65" i="40"/>
  <c r="V65" i="40"/>
  <c r="U65" i="40"/>
  <c r="T65" i="40"/>
  <c r="R65" i="40"/>
  <c r="G65" i="40"/>
  <c r="A65" i="40" s="1"/>
  <c r="E65" i="40" s="1"/>
  <c r="E53" i="40"/>
  <c r="D53" i="40"/>
  <c r="A53" i="40"/>
  <c r="X46" i="40"/>
  <c r="V46" i="40"/>
  <c r="U46" i="40"/>
  <c r="T46" i="40"/>
  <c r="R46" i="40"/>
  <c r="X45" i="40"/>
  <c r="V45" i="40"/>
  <c r="U45" i="40"/>
  <c r="T45" i="40"/>
  <c r="R45" i="40"/>
  <c r="X44" i="40"/>
  <c r="V44" i="40"/>
  <c r="U44" i="40"/>
  <c r="T44" i="40"/>
  <c r="R44" i="40"/>
  <c r="X43" i="40"/>
  <c r="V43" i="40"/>
  <c r="U43" i="40"/>
  <c r="T43" i="40"/>
  <c r="R43" i="40"/>
  <c r="X42" i="40"/>
  <c r="V42" i="40"/>
  <c r="U42" i="40"/>
  <c r="T42" i="40"/>
  <c r="R42" i="40"/>
  <c r="X41" i="40"/>
  <c r="V41" i="40"/>
  <c r="U41" i="40"/>
  <c r="T41" i="40"/>
  <c r="R41" i="40"/>
  <c r="X40" i="40"/>
  <c r="V40" i="40"/>
  <c r="U40" i="40"/>
  <c r="T40" i="40"/>
  <c r="R40" i="40"/>
  <c r="G40" i="40"/>
  <c r="A40" i="40" s="1"/>
  <c r="E40" i="40" s="1"/>
  <c r="E28" i="40"/>
  <c r="D28" i="40"/>
  <c r="A28" i="40"/>
  <c r="V27" i="40"/>
  <c r="U27" i="40"/>
  <c r="T27" i="40"/>
  <c r="R27" i="40"/>
  <c r="V26" i="40"/>
  <c r="U26" i="40"/>
  <c r="T26" i="40"/>
  <c r="R26" i="40"/>
  <c r="V25" i="40"/>
  <c r="U25" i="40"/>
  <c r="T25" i="40"/>
  <c r="R25" i="40"/>
  <c r="V24" i="40"/>
  <c r="U24" i="40"/>
  <c r="T24" i="40"/>
  <c r="R24" i="40"/>
  <c r="V23" i="40"/>
  <c r="U23" i="40"/>
  <c r="T23" i="40"/>
  <c r="R23" i="40"/>
  <c r="V22" i="40"/>
  <c r="U22" i="40"/>
  <c r="T22" i="40"/>
  <c r="R22" i="40"/>
  <c r="V21" i="40"/>
  <c r="U21" i="40"/>
  <c r="T21" i="40"/>
  <c r="R21" i="40"/>
  <c r="V20" i="40"/>
  <c r="U20" i="40"/>
  <c r="T20" i="40"/>
  <c r="R20" i="40"/>
  <c r="V19" i="40"/>
  <c r="U19" i="40"/>
  <c r="T19" i="40"/>
  <c r="R19" i="40"/>
  <c r="V18" i="40"/>
  <c r="U18" i="40"/>
  <c r="T18" i="40"/>
  <c r="R18" i="40"/>
  <c r="V17" i="40"/>
  <c r="U17" i="40"/>
  <c r="T17" i="40"/>
  <c r="R17" i="40"/>
  <c r="V16" i="40"/>
  <c r="U16" i="40"/>
  <c r="T16" i="40"/>
  <c r="R16" i="40"/>
  <c r="V15" i="40"/>
  <c r="U15" i="40"/>
  <c r="T15" i="40"/>
  <c r="R15" i="40"/>
  <c r="V14" i="40"/>
  <c r="U14" i="40"/>
  <c r="T14" i="40"/>
  <c r="R14" i="40"/>
  <c r="V13" i="40"/>
  <c r="U13" i="40"/>
  <c r="T13" i="40"/>
  <c r="R13" i="40"/>
  <c r="X12" i="40"/>
  <c r="V12" i="40"/>
  <c r="U12" i="40"/>
  <c r="T12" i="40"/>
  <c r="R12" i="40"/>
  <c r="G12" i="40"/>
  <c r="A12" i="40" s="1"/>
  <c r="E12" i="40" s="1"/>
  <c r="D353" i="58"/>
  <c r="D439" i="58"/>
  <c r="D423" i="58"/>
  <c r="D169" i="58"/>
  <c r="D165" i="58"/>
  <c r="D161" i="58"/>
  <c r="D157" i="58"/>
  <c r="D20" i="58"/>
  <c r="D5" i="58"/>
  <c r="D4" i="58"/>
  <c r="D3" i="58"/>
  <c r="D58" i="53"/>
  <c r="D24" i="53"/>
  <c r="D23" i="53"/>
  <c r="D21" i="53"/>
  <c r="D22" i="53" s="1"/>
  <c r="D63" i="56"/>
  <c r="D51" i="56"/>
  <c r="D41" i="56"/>
  <c r="D40" i="56"/>
  <c r="D90" i="59"/>
  <c r="D81" i="59"/>
  <c r="D83" i="59" s="1"/>
  <c r="D85" i="59" s="1"/>
  <c r="D88" i="59" s="1"/>
  <c r="D54" i="59"/>
  <c r="D57" i="59" s="1"/>
  <c r="G30" i="68" s="1"/>
  <c r="I30" i="68" s="1"/>
  <c r="F23" i="63" s="1"/>
  <c r="H23" i="63" s="1"/>
  <c r="J23" i="63" s="1"/>
  <c r="D52" i="59"/>
  <c r="D27" i="59"/>
  <c r="D30" i="59" s="1"/>
  <c r="G29" i="68" s="1"/>
  <c r="I29" i="68" s="1"/>
  <c r="D43" i="55"/>
  <c r="D84" i="54"/>
  <c r="D79" i="44"/>
  <c r="D48" i="43"/>
  <c r="B18" i="38"/>
  <c r="F16" i="38"/>
  <c r="E16" i="38"/>
  <c r="D16" i="38"/>
  <c r="C16" i="38"/>
  <c r="B16" i="38"/>
  <c r="C20" i="39"/>
  <c r="E27" i="29"/>
  <c r="D130" i="58" s="1"/>
  <c r="E25" i="29"/>
  <c r="E13" i="29"/>
  <c r="E9" i="29"/>
  <c r="E11" i="29" s="1"/>
  <c r="A329" i="40" l="1"/>
  <c r="E329" i="40" s="1"/>
  <c r="A327" i="40"/>
  <c r="E327" i="40" s="1"/>
  <c r="A322" i="40"/>
  <c r="E322" i="40" s="1"/>
  <c r="A319" i="40"/>
  <c r="D27" i="53"/>
  <c r="F22" i="63"/>
  <c r="H22" i="63" s="1"/>
  <c r="J22" i="63" s="1"/>
  <c r="D446" i="58"/>
  <c r="D27" i="58" s="1"/>
  <c r="B19" i="38"/>
  <c r="B20" i="38" s="1"/>
  <c r="B20" i="39"/>
  <c r="D20" i="39" s="1"/>
  <c r="E18" i="29" s="1"/>
  <c r="A240" i="40"/>
  <c r="E240" i="40" s="1"/>
  <c r="A90" i="40"/>
  <c r="E90" i="40" s="1"/>
  <c r="D170" i="58"/>
  <c r="D21" i="58" s="1"/>
  <c r="E14" i="29"/>
  <c r="E15" i="29"/>
  <c r="A285" i="40"/>
  <c r="A304" i="40"/>
  <c r="D64" i="56"/>
  <c r="D4" i="56" s="1"/>
  <c r="D51" i="48"/>
  <c r="D50" i="48"/>
  <c r="A117" i="40"/>
  <c r="E117" i="40" s="1"/>
  <c r="E266" i="40"/>
  <c r="E285" i="40"/>
  <c r="E319" i="40" l="1"/>
  <c r="G43" i="68"/>
  <c r="I43" i="68" s="1"/>
  <c r="F33" i="63" s="1"/>
  <c r="H33" i="63" s="1"/>
  <c r="J33" i="63" s="1"/>
  <c r="D22" i="39"/>
  <c r="D21" i="39"/>
  <c r="D23" i="39"/>
  <c r="D39" i="49"/>
  <c r="D42" i="49" s="1"/>
  <c r="D19" i="49"/>
  <c r="E21" i="29"/>
  <c r="E23" i="29" s="1"/>
  <c r="D142" i="56"/>
  <c r="D192" i="56"/>
  <c r="D252" i="56"/>
  <c r="D93" i="56"/>
  <c r="D45" i="47"/>
  <c r="D168" i="59"/>
  <c r="D93" i="53"/>
  <c r="D125" i="53"/>
  <c r="D42" i="56"/>
  <c r="D120" i="56" l="1"/>
  <c r="D74" i="56"/>
  <c r="D284" i="56"/>
  <c r="D286" i="56"/>
  <c r="D283" i="56"/>
  <c r="D291" i="56" s="1"/>
  <c r="D121" i="56"/>
  <c r="D10" i="56" s="1"/>
  <c r="B187" i="40" s="1"/>
  <c r="D280" i="56"/>
  <c r="D285" i="56"/>
  <c r="D282" i="56"/>
  <c r="D293" i="56" s="1"/>
  <c r="D281" i="56"/>
  <c r="D224" i="56"/>
  <c r="D225" i="56"/>
  <c r="D169" i="56"/>
  <c r="D168" i="56"/>
  <c r="D69" i="56"/>
  <c r="D7" i="56" s="1"/>
  <c r="B184" i="40" s="1"/>
  <c r="D70" i="56"/>
  <c r="D9" i="56" s="1"/>
  <c r="B186" i="40" s="1"/>
  <c r="D4" i="49"/>
  <c r="G60" i="68"/>
  <c r="I60" i="68" s="1"/>
  <c r="F46" i="63" s="1"/>
  <c r="H46" i="63" s="1"/>
  <c r="J46" i="63" s="1"/>
  <c r="D113" i="57"/>
  <c r="D115" i="57"/>
  <c r="D111" i="57"/>
  <c r="D118" i="57" s="1"/>
  <c r="D112" i="57"/>
  <c r="D119" i="57" s="1"/>
  <c r="D114" i="57"/>
  <c r="D110" i="57"/>
  <c r="D46" i="47"/>
  <c r="D48" i="47" s="1"/>
  <c r="D58" i="47" s="1"/>
  <c r="D63" i="47" s="1"/>
  <c r="D62" i="47"/>
  <c r="D11" i="47" s="1"/>
  <c r="D339" i="58" s="1"/>
  <c r="D345" i="58" s="1"/>
  <c r="D106" i="53"/>
  <c r="D119" i="56"/>
  <c r="D167" i="56"/>
  <c r="D74" i="53"/>
  <c r="D138" i="53"/>
  <c r="D45" i="53"/>
  <c r="D42" i="53"/>
  <c r="D46" i="53"/>
  <c r="D44" i="53"/>
  <c r="D68" i="56"/>
  <c r="D64" i="55"/>
  <c r="D74" i="55" s="1"/>
  <c r="D63" i="43"/>
  <c r="B23" i="40" s="1"/>
  <c r="D59" i="43"/>
  <c r="B19" i="40" s="1"/>
  <c r="D64" i="43"/>
  <c r="D58" i="43"/>
  <c r="B18" i="40" s="1"/>
  <c r="D65" i="43"/>
  <c r="B24" i="40" s="1"/>
  <c r="D38" i="43"/>
  <c r="B17" i="40" s="1"/>
  <c r="D66" i="43"/>
  <c r="B25" i="40" s="1"/>
  <c r="D37" i="43"/>
  <c r="B16" i="40" s="1"/>
  <c r="D34" i="43"/>
  <c r="B13" i="40" s="1"/>
  <c r="D70" i="43"/>
  <c r="D33" i="43"/>
  <c r="D62" i="43"/>
  <c r="B22" i="40" s="1"/>
  <c r="D61" i="43"/>
  <c r="B21" i="40" s="1"/>
  <c r="D72" i="43"/>
  <c r="D71" i="43"/>
  <c r="D60" i="43"/>
  <c r="B20" i="40" s="1"/>
  <c r="D67" i="43"/>
  <c r="B26" i="40" s="1"/>
  <c r="D36" i="43"/>
  <c r="B15" i="40" s="1"/>
  <c r="D68" i="43"/>
  <c r="B27" i="40" s="1"/>
  <c r="D35" i="43"/>
  <c r="B14" i="40" s="1"/>
  <c r="D69" i="43"/>
  <c r="D31" i="47"/>
  <c r="D8" i="47" s="1"/>
  <c r="D30" i="47"/>
  <c r="D128" i="59"/>
  <c r="D32" i="43"/>
  <c r="B12" i="40" s="1"/>
  <c r="D153" i="55"/>
  <c r="D119" i="55"/>
  <c r="D118" i="55"/>
  <c r="D116" i="55"/>
  <c r="D126" i="55" s="1"/>
  <c r="D115" i="55"/>
  <c r="D125" i="55" s="1"/>
  <c r="D114" i="55"/>
  <c r="D123" i="55" s="1"/>
  <c r="D150" i="55"/>
  <c r="D120" i="55"/>
  <c r="D113" i="55"/>
  <c r="D124" i="55" s="1"/>
  <c r="D112" i="55"/>
  <c r="D117" i="55"/>
  <c r="D127" i="55" s="1"/>
  <c r="D133" i="54"/>
  <c r="D137" i="54" s="1"/>
  <c r="D67" i="54"/>
  <c r="D75" i="54" s="1"/>
  <c r="D66" i="54"/>
  <c r="D74" i="54" s="1"/>
  <c r="D65" i="54"/>
  <c r="D73" i="54" s="1"/>
  <c r="D64" i="54"/>
  <c r="D72" i="54" s="1"/>
  <c r="D68" i="54"/>
  <c r="D71" i="54" s="1"/>
  <c r="D63" i="54"/>
  <c r="D134" i="54"/>
  <c r="D138" i="54" s="1"/>
  <c r="D193" i="54"/>
  <c r="D197" i="54" s="1"/>
  <c r="D148" i="44"/>
  <c r="D125" i="56"/>
  <c r="D173" i="56"/>
  <c r="D231" i="56"/>
  <c r="D69" i="55"/>
  <c r="D80" i="57"/>
  <c r="D45" i="57"/>
  <c r="D65" i="48"/>
  <c r="D12" i="48" s="1"/>
  <c r="D337" i="58" s="1"/>
  <c r="D344" i="58" s="1"/>
  <c r="D61" i="48"/>
  <c r="D66" i="48" s="1"/>
  <c r="D46" i="49"/>
  <c r="D171" i="59"/>
  <c r="D516" i="58"/>
  <c r="D518" i="58" s="1"/>
  <c r="D524" i="58" s="1"/>
  <c r="D525" i="58" s="1"/>
  <c r="D528" i="58" s="1"/>
  <c r="D118" i="58" s="1"/>
  <c r="B334" i="40" s="1"/>
  <c r="E22" i="29"/>
  <c r="D33" i="45"/>
  <c r="D36" i="45" s="1"/>
  <c r="D32" i="45"/>
  <c r="D35" i="45" s="1"/>
  <c r="D61" i="53"/>
  <c r="D11" i="56" l="1"/>
  <c r="B188" i="40" s="1"/>
  <c r="D290" i="56"/>
  <c r="D27" i="56" s="1"/>
  <c r="D223" i="58" s="1"/>
  <c r="D270" i="58" s="1"/>
  <c r="D107" i="58" s="1"/>
  <c r="B204" i="40" s="1"/>
  <c r="J204" i="40" s="1"/>
  <c r="D15" i="56"/>
  <c r="B192" i="40" s="1"/>
  <c r="D36" i="66" s="1"/>
  <c r="L184" i="40"/>
  <c r="K184" i="40" s="1"/>
  <c r="J184" i="40"/>
  <c r="D8" i="56"/>
  <c r="B185" i="40" s="1"/>
  <c r="K334" i="40"/>
  <c r="J334" i="40"/>
  <c r="L334" i="40"/>
  <c r="D64" i="58"/>
  <c r="B288" i="40" s="1"/>
  <c r="D61" i="58"/>
  <c r="B270" i="40" s="1"/>
  <c r="D28" i="56"/>
  <c r="D224" i="58" s="1"/>
  <c r="D271" i="58" s="1"/>
  <c r="D108" i="58" s="1"/>
  <c r="B205" i="40" s="1"/>
  <c r="D289" i="56"/>
  <c r="D13" i="48"/>
  <c r="D338" i="58" s="1"/>
  <c r="D12" i="47"/>
  <c r="D340" i="58" s="1"/>
  <c r="D7" i="47"/>
  <c r="D49" i="47"/>
  <c r="D4" i="47" s="1"/>
  <c r="G35" i="68"/>
  <c r="D77" i="53"/>
  <c r="D99" i="59"/>
  <c r="D105" i="59" s="1"/>
  <c r="D13" i="59" s="1"/>
  <c r="D212" i="58" s="1"/>
  <c r="D259" i="58" s="1"/>
  <c r="D92" i="58" s="1"/>
  <c r="B149" i="40" s="1"/>
  <c r="D50" i="53"/>
  <c r="D67" i="55"/>
  <c r="D61" i="55"/>
  <c r="D154" i="59"/>
  <c r="D153" i="59"/>
  <c r="D157" i="59" s="1"/>
  <c r="D76" i="53"/>
  <c r="D82" i="53" s="1"/>
  <c r="D129" i="59"/>
  <c r="D126" i="53"/>
  <c r="D72" i="56"/>
  <c r="D60" i="48"/>
  <c r="D71" i="56"/>
  <c r="D75" i="57"/>
  <c r="D124" i="56"/>
  <c r="D142" i="53"/>
  <c r="D110" i="53"/>
  <c r="D68" i="55"/>
  <c r="D44" i="57"/>
  <c r="D172" i="56"/>
  <c r="D170" i="56"/>
  <c r="D178" i="56" s="1"/>
  <c r="D175" i="59"/>
  <c r="D193" i="59"/>
  <c r="D226" i="56"/>
  <c r="D236" i="56" s="1"/>
  <c r="D11" i="58"/>
  <c r="D12" i="58" s="1"/>
  <c r="D28" i="53"/>
  <c r="D43" i="53" s="1"/>
  <c r="D49" i="53" s="1"/>
  <c r="D101" i="59"/>
  <c r="D37" i="59"/>
  <c r="D65" i="55"/>
  <c r="D75" i="55" s="1"/>
  <c r="D94" i="53"/>
  <c r="D107" i="53" s="1"/>
  <c r="D113" i="53" s="1"/>
  <c r="D41" i="57"/>
  <c r="D78" i="53"/>
  <c r="D100" i="59"/>
  <c r="D40" i="57"/>
  <c r="D43" i="57"/>
  <c r="D230" i="56"/>
  <c r="D35" i="48"/>
  <c r="D34" i="47" s="1"/>
  <c r="D33" i="48"/>
  <c r="D122" i="56"/>
  <c r="D130" i="56" s="1"/>
  <c r="D34" i="48"/>
  <c r="D108" i="53"/>
  <c r="D114" i="53" s="1"/>
  <c r="D76" i="57"/>
  <c r="D176" i="56"/>
  <c r="D292" i="56"/>
  <c r="D66" i="55"/>
  <c r="D76" i="55" s="1"/>
  <c r="D18" i="55" s="1"/>
  <c r="D210" i="58" s="1"/>
  <c r="D257" i="58" s="1"/>
  <c r="D88" i="58" s="1"/>
  <c r="B129" i="40" s="1"/>
  <c r="D35" i="59"/>
  <c r="D141" i="53"/>
  <c r="D152" i="59"/>
  <c r="D109" i="53"/>
  <c r="D73" i="56"/>
  <c r="D177" i="56"/>
  <c r="D123" i="56"/>
  <c r="D66" i="59"/>
  <c r="D130" i="59"/>
  <c r="D79" i="57"/>
  <c r="D227" i="56"/>
  <c r="D13" i="56" s="1"/>
  <c r="B190" i="40" s="1"/>
  <c r="D228" i="56"/>
  <c r="D62" i="55"/>
  <c r="D72" i="55" s="1"/>
  <c r="D63" i="55"/>
  <c r="D73" i="55" s="1"/>
  <c r="D61" i="59"/>
  <c r="D140" i="53"/>
  <c r="D146" i="53" s="1"/>
  <c r="D36" i="59"/>
  <c r="D152" i="55"/>
  <c r="D157" i="55" s="1"/>
  <c r="D77" i="57"/>
  <c r="D84" i="57" s="1"/>
  <c r="D62" i="53"/>
  <c r="D75" i="53" s="1"/>
  <c r="D81" i="53" s="1"/>
  <c r="D34" i="59"/>
  <c r="D64" i="47"/>
  <c r="D78" i="57"/>
  <c r="D223" i="56"/>
  <c r="D62" i="59"/>
  <c r="D65" i="59"/>
  <c r="D234" i="56"/>
  <c r="D229" i="56"/>
  <c r="D151" i="55"/>
  <c r="D156" i="55" s="1"/>
  <c r="D16" i="55" s="1"/>
  <c r="D208" i="58" s="1"/>
  <c r="D255" i="58" s="1"/>
  <c r="D86" i="58" s="1"/>
  <c r="B127" i="40" s="1"/>
  <c r="D42" i="57"/>
  <c r="D171" i="56"/>
  <c r="D235" i="56"/>
  <c r="D62" i="48"/>
  <c r="D191" i="54"/>
  <c r="D192" i="54"/>
  <c r="D196" i="54" s="1"/>
  <c r="L204" i="40" l="1"/>
  <c r="K204" i="40" s="1"/>
  <c r="D238" i="56"/>
  <c r="D26" i="56" s="1"/>
  <c r="D222" i="58" s="1"/>
  <c r="D269" i="58" s="1"/>
  <c r="D106" i="58" s="1"/>
  <c r="B203" i="40" s="1"/>
  <c r="D14" i="56"/>
  <c r="B191" i="40" s="1"/>
  <c r="D6" i="56"/>
  <c r="B183" i="40" s="1"/>
  <c r="D27" i="65" s="1"/>
  <c r="D79" i="56"/>
  <c r="D20" i="56" s="1"/>
  <c r="D216" i="58" s="1"/>
  <c r="D263" i="58" s="1"/>
  <c r="D100" i="58" s="1"/>
  <c r="B197" i="40" s="1"/>
  <c r="D12" i="56"/>
  <c r="B189" i="40" s="1"/>
  <c r="D9" i="57"/>
  <c r="B165" i="40" s="1"/>
  <c r="D83" i="57"/>
  <c r="D13" i="57" s="1"/>
  <c r="D226" i="58" s="1"/>
  <c r="D8" i="57"/>
  <c r="B164" i="40" s="1"/>
  <c r="D6" i="57"/>
  <c r="B162" i="40" s="1"/>
  <c r="D25" i="65" s="1"/>
  <c r="D48" i="57"/>
  <c r="D12" i="57" s="1"/>
  <c r="D225" i="58" s="1"/>
  <c r="D272" i="58" s="1"/>
  <c r="D111" i="58" s="1"/>
  <c r="B168" i="40" s="1"/>
  <c r="D49" i="57"/>
  <c r="D14" i="57" s="1"/>
  <c r="J149" i="40"/>
  <c r="L149" i="40"/>
  <c r="K149" i="40" s="1"/>
  <c r="J205" i="40"/>
  <c r="L205" i="40"/>
  <c r="K205" i="40" s="1"/>
  <c r="J129" i="40"/>
  <c r="L129" i="40"/>
  <c r="K129" i="40" s="1"/>
  <c r="J127" i="40"/>
  <c r="L127" i="40"/>
  <c r="K127" i="40" s="1"/>
  <c r="D13" i="47"/>
  <c r="B291" i="40" s="1"/>
  <c r="L270" i="40"/>
  <c r="K270" i="40"/>
  <c r="J270" i="40"/>
  <c r="K288" i="40"/>
  <c r="J288" i="40"/>
  <c r="L288" i="40"/>
  <c r="D348" i="58"/>
  <c r="D372" i="58" s="1"/>
  <c r="D347" i="58"/>
  <c r="D371" i="58" s="1"/>
  <c r="D17" i="55"/>
  <c r="D209" i="58" s="1"/>
  <c r="D256" i="58" s="1"/>
  <c r="D87" i="58" s="1"/>
  <c r="B128" i="40" s="1"/>
  <c r="D7" i="57"/>
  <c r="B163" i="40" s="1"/>
  <c r="J163" i="40" s="1"/>
  <c r="D15" i="55"/>
  <c r="D207" i="58" s="1"/>
  <c r="D254" i="58" s="1"/>
  <c r="D85" i="58" s="1"/>
  <c r="B126" i="40" s="1"/>
  <c r="D14" i="55"/>
  <c r="D206" i="58" s="1"/>
  <c r="D237" i="56"/>
  <c r="D6" i="48"/>
  <c r="B266" i="40" s="1"/>
  <c r="D33" i="65" s="1"/>
  <c r="D131" i="56"/>
  <c r="D128" i="56"/>
  <c r="D24" i="56"/>
  <c r="D220" i="58" s="1"/>
  <c r="D267" i="58" s="1"/>
  <c r="D104" i="58" s="1"/>
  <c r="B201" i="40" s="1"/>
  <c r="D80" i="56"/>
  <c r="D21" i="56" s="1"/>
  <c r="D217" i="58" s="1"/>
  <c r="D264" i="58" s="1"/>
  <c r="D101" i="58" s="1"/>
  <c r="B198" i="40" s="1"/>
  <c r="D77" i="56"/>
  <c r="L186" i="40"/>
  <c r="K186" i="40" s="1"/>
  <c r="D78" i="56"/>
  <c r="D19" i="56" s="1"/>
  <c r="D215" i="58" s="1"/>
  <c r="D262" i="58" s="1"/>
  <c r="D99" i="58" s="1"/>
  <c r="B196" i="40" s="1"/>
  <c r="J187" i="40"/>
  <c r="D129" i="56"/>
  <c r="D23" i="56" s="1"/>
  <c r="D219" i="58" s="1"/>
  <c r="D266" i="58" s="1"/>
  <c r="D103" i="58" s="1"/>
  <c r="B200" i="40" s="1"/>
  <c r="D239" i="56"/>
  <c r="D139" i="53"/>
  <c r="D145" i="53" s="1"/>
  <c r="D9" i="59"/>
  <c r="B145" i="40" s="1"/>
  <c r="D30" i="66" s="1"/>
  <c r="D133" i="59"/>
  <c r="D12" i="59" s="1"/>
  <c r="D211" i="58" s="1"/>
  <c r="D8" i="59"/>
  <c r="B144" i="40" s="1"/>
  <c r="I35" i="68"/>
  <c r="B287" i="40"/>
  <c r="D43" i="66" s="1"/>
  <c r="J192" i="40"/>
  <c r="L192" i="40"/>
  <c r="K192" i="40" s="1"/>
  <c r="D8" i="48"/>
  <c r="B268" i="40" s="1"/>
  <c r="D41" i="66" s="1"/>
  <c r="D7" i="48"/>
  <c r="B267" i="40" s="1"/>
  <c r="D9" i="48"/>
  <c r="B269" i="40" s="1"/>
  <c r="D42" i="66" s="1"/>
  <c r="D15" i="54"/>
  <c r="D26" i="54" s="1"/>
  <c r="D203" i="58" s="1"/>
  <c r="D229" i="58" s="1"/>
  <c r="D241" i="58" s="1"/>
  <c r="D11" i="54"/>
  <c r="D11" i="55"/>
  <c r="B122" i="40" s="1"/>
  <c r="G57" i="68"/>
  <c r="I57" i="68" s="1"/>
  <c r="D9" i="53"/>
  <c r="B221" i="40" s="1"/>
  <c r="D38" i="66" s="1"/>
  <c r="D7" i="53"/>
  <c r="B219" i="40" s="1"/>
  <c r="D35" i="66" s="1"/>
  <c r="D70" i="66"/>
  <c r="D81" i="56"/>
  <c r="D34" i="66"/>
  <c r="D6" i="53"/>
  <c r="B218" i="40" s="1"/>
  <c r="D29" i="65" s="1"/>
  <c r="D9" i="55"/>
  <c r="D6" i="55"/>
  <c r="D7" i="55"/>
  <c r="D8" i="53"/>
  <c r="B220" i="40" s="1"/>
  <c r="D37" i="66" s="1"/>
  <c r="D179" i="56"/>
  <c r="D10" i="55"/>
  <c r="D15" i="53"/>
  <c r="D213" i="58" s="1"/>
  <c r="D11" i="53"/>
  <c r="B223" i="40" s="1"/>
  <c r="D10" i="54"/>
  <c r="D21" i="54" s="1"/>
  <c r="D14" i="54"/>
  <c r="D25" i="54" s="1"/>
  <c r="D8" i="55"/>
  <c r="B119" i="40" s="1"/>
  <c r="D29" i="66" s="1"/>
  <c r="D59" i="47"/>
  <c r="D57" i="47"/>
  <c r="D25" i="56" l="1"/>
  <c r="D221" i="58" s="1"/>
  <c r="D268" i="58" s="1"/>
  <c r="D105" i="58" s="1"/>
  <c r="B202" i="40" s="1"/>
  <c r="F27" i="63"/>
  <c r="H27" i="63" s="1"/>
  <c r="J27" i="63" s="1"/>
  <c r="D227" i="58"/>
  <c r="D274" i="58" s="1"/>
  <c r="D113" i="58" s="1"/>
  <c r="B170" i="40" s="1"/>
  <c r="L170" i="40" s="1"/>
  <c r="K170" i="40" s="1"/>
  <c r="D273" i="58"/>
  <c r="D112" i="58" s="1"/>
  <c r="B169" i="40" s="1"/>
  <c r="L169" i="40" s="1"/>
  <c r="K169" i="40" s="1"/>
  <c r="J168" i="40"/>
  <c r="L168" i="40"/>
  <c r="K168" i="40" s="1"/>
  <c r="J197" i="40"/>
  <c r="L197" i="40"/>
  <c r="K197" i="40" s="1"/>
  <c r="J128" i="40"/>
  <c r="L128" i="40"/>
  <c r="K128" i="40" s="1"/>
  <c r="J200" i="40"/>
  <c r="L200" i="40"/>
  <c r="K200" i="40" s="1"/>
  <c r="J203" i="40"/>
  <c r="L203" i="40"/>
  <c r="K203" i="40" s="1"/>
  <c r="J198" i="40"/>
  <c r="L198" i="40"/>
  <c r="K198" i="40" s="1"/>
  <c r="J126" i="40"/>
  <c r="L126" i="40"/>
  <c r="K126" i="40" s="1"/>
  <c r="L201" i="40"/>
  <c r="K201" i="40" s="1"/>
  <c r="J201" i="40"/>
  <c r="J196" i="40"/>
  <c r="L196" i="40"/>
  <c r="K196" i="40" s="1"/>
  <c r="D357" i="58"/>
  <c r="D260" i="58"/>
  <c r="D234" i="58"/>
  <c r="D253" i="58"/>
  <c r="D84" i="58" s="1"/>
  <c r="B125" i="40" s="1"/>
  <c r="D232" i="58"/>
  <c r="D258" i="58"/>
  <c r="D91" i="58" s="1"/>
  <c r="B148" i="40" s="1"/>
  <c r="D233" i="58"/>
  <c r="D250" i="58"/>
  <c r="D71" i="58" s="1"/>
  <c r="B104" i="40" s="1"/>
  <c r="D407" i="58"/>
  <c r="D65" i="58" s="1"/>
  <c r="B289" i="40" s="1"/>
  <c r="D408" i="58"/>
  <c r="D66" i="58" s="1"/>
  <c r="B290" i="40" s="1"/>
  <c r="D405" i="58"/>
  <c r="D62" i="58" s="1"/>
  <c r="B271" i="40" s="1"/>
  <c r="D406" i="58"/>
  <c r="D63" i="58" s="1"/>
  <c r="B272" i="40" s="1"/>
  <c r="D14" i="53"/>
  <c r="B224" i="40" s="1"/>
  <c r="J291" i="40"/>
  <c r="K291" i="40"/>
  <c r="L291" i="40"/>
  <c r="D10" i="53"/>
  <c r="B222" i="40" s="1"/>
  <c r="D39" i="66" s="1"/>
  <c r="J186" i="40"/>
  <c r="L187" i="40"/>
  <c r="K187" i="40" s="1"/>
  <c r="D18" i="56"/>
  <c r="D214" i="58" s="1"/>
  <c r="D22" i="56"/>
  <c r="D218" i="58" s="1"/>
  <c r="D265" i="58" s="1"/>
  <c r="D102" i="58" s="1"/>
  <c r="B199" i="40" s="1"/>
  <c r="J189" i="40"/>
  <c r="D6" i="47"/>
  <c r="B285" i="40" s="1"/>
  <c r="D35" i="65" s="1"/>
  <c r="F44" i="63"/>
  <c r="H44" i="63" s="1"/>
  <c r="J44" i="63" s="1"/>
  <c r="D33" i="66"/>
  <c r="D67" i="66" s="1"/>
  <c r="D31" i="66"/>
  <c r="D65" i="66" s="1"/>
  <c r="D32" i="66"/>
  <c r="D66" i="66" s="1"/>
  <c r="D22" i="54"/>
  <c r="D289" i="58" s="1"/>
  <c r="L163" i="40"/>
  <c r="K163" i="40" s="1"/>
  <c r="L164" i="40"/>
  <c r="K164" i="40" s="1"/>
  <c r="J164" i="40"/>
  <c r="J22" i="40"/>
  <c r="L22" i="40"/>
  <c r="K22" i="40" s="1"/>
  <c r="L25" i="40"/>
  <c r="K25" i="40" s="1"/>
  <c r="J25" i="40"/>
  <c r="J165" i="40"/>
  <c r="L165" i="40"/>
  <c r="K165" i="40" s="1"/>
  <c r="J16" i="40"/>
  <c r="L16" i="40"/>
  <c r="K16" i="40" s="1"/>
  <c r="J287" i="40"/>
  <c r="L287" i="40"/>
  <c r="K287" i="40" s="1"/>
  <c r="J27" i="40"/>
  <c r="L27" i="40"/>
  <c r="K27" i="40" s="1"/>
  <c r="J266" i="40"/>
  <c r="L266" i="40"/>
  <c r="K266" i="40" s="1"/>
  <c r="L21" i="40"/>
  <c r="K21" i="40" s="1"/>
  <c r="J21" i="40"/>
  <c r="J185" i="40"/>
  <c r="L185" i="40"/>
  <c r="K185" i="40" s="1"/>
  <c r="J14" i="40"/>
  <c r="L14" i="40"/>
  <c r="K14" i="40" s="1"/>
  <c r="J119" i="40"/>
  <c r="L119" i="40"/>
  <c r="K119" i="40" s="1"/>
  <c r="L13" i="40"/>
  <c r="K13" i="40" s="1"/>
  <c r="J13" i="40"/>
  <c r="J190" i="40"/>
  <c r="L190" i="40"/>
  <c r="K190" i="40" s="1"/>
  <c r="D7" i="65"/>
  <c r="D8" i="65" s="1"/>
  <c r="J12" i="40"/>
  <c r="L12" i="40"/>
  <c r="K12" i="40" s="1"/>
  <c r="J162" i="40"/>
  <c r="L162" i="40"/>
  <c r="K162" i="40" s="1"/>
  <c r="J267" i="40"/>
  <c r="L267" i="40"/>
  <c r="K267" i="40" s="1"/>
  <c r="J26" i="40"/>
  <c r="L26" i="40"/>
  <c r="K26" i="40" s="1"/>
  <c r="D69" i="66"/>
  <c r="J219" i="40"/>
  <c r="L219" i="40"/>
  <c r="K219" i="40" s="1"/>
  <c r="L24" i="40"/>
  <c r="K24" i="40" s="1"/>
  <c r="J24" i="40"/>
  <c r="J268" i="40"/>
  <c r="L268" i="40"/>
  <c r="K268" i="40" s="1"/>
  <c r="J220" i="40"/>
  <c r="L220" i="40"/>
  <c r="K220" i="40" s="1"/>
  <c r="J223" i="40"/>
  <c r="L223" i="40"/>
  <c r="K223" i="40" s="1"/>
  <c r="J15" i="40"/>
  <c r="L15" i="40"/>
  <c r="K15" i="40" s="1"/>
  <c r="J188" i="40"/>
  <c r="L188" i="40"/>
  <c r="K188" i="40" s="1"/>
  <c r="J145" i="40"/>
  <c r="L145" i="40"/>
  <c r="K145" i="40" s="1"/>
  <c r="J144" i="40"/>
  <c r="L144" i="40"/>
  <c r="K144" i="40" s="1"/>
  <c r="J183" i="40"/>
  <c r="L183" i="40"/>
  <c r="K183" i="40" s="1"/>
  <c r="J19" i="40"/>
  <c r="L19" i="40"/>
  <c r="K19" i="40" s="1"/>
  <c r="J221" i="40"/>
  <c r="L221" i="40"/>
  <c r="K221" i="40" s="1"/>
  <c r="J23" i="40"/>
  <c r="L23" i="40"/>
  <c r="K23" i="40" s="1"/>
  <c r="J269" i="40"/>
  <c r="L269" i="40"/>
  <c r="K269" i="40" s="1"/>
  <c r="J191" i="40"/>
  <c r="L191" i="40"/>
  <c r="K191" i="40" s="1"/>
  <c r="J122" i="40"/>
  <c r="L122" i="40"/>
  <c r="K122" i="40" s="1"/>
  <c r="J20" i="40"/>
  <c r="L20" i="40"/>
  <c r="K20" i="40" s="1"/>
  <c r="J218" i="40"/>
  <c r="L218" i="40"/>
  <c r="K218" i="40" s="1"/>
  <c r="J18" i="40"/>
  <c r="L18" i="40"/>
  <c r="K18" i="40" s="1"/>
  <c r="B120" i="40"/>
  <c r="B118" i="40"/>
  <c r="D28" i="66" s="1"/>
  <c r="D62" i="66" s="1"/>
  <c r="B117" i="40"/>
  <c r="D21" i="65" s="1"/>
  <c r="B121" i="40"/>
  <c r="B286" i="40"/>
  <c r="D72" i="66"/>
  <c r="B95" i="40"/>
  <c r="D26" i="66" s="1"/>
  <c r="D75" i="66"/>
  <c r="D74" i="66"/>
  <c r="B98" i="40"/>
  <c r="D25" i="66" s="1"/>
  <c r="D292" i="58"/>
  <c r="B94" i="40"/>
  <c r="D24" i="66" s="1"/>
  <c r="D288" i="58"/>
  <c r="D71" i="66"/>
  <c r="D63" i="66"/>
  <c r="B99" i="40"/>
  <c r="D76" i="66"/>
  <c r="J202" i="40" l="1"/>
  <c r="L202" i="40"/>
  <c r="K202" i="40" s="1"/>
  <c r="D235" i="58"/>
  <c r="D236" i="58"/>
  <c r="D248" i="58" s="1"/>
  <c r="D364" i="58" s="1"/>
  <c r="J170" i="40"/>
  <c r="J169" i="40"/>
  <c r="D377" i="58"/>
  <c r="D67" i="58" s="1"/>
  <c r="B100" i="40" s="1"/>
  <c r="J100" i="40" s="1"/>
  <c r="L104" i="40"/>
  <c r="K104" i="40" s="1"/>
  <c r="J104" i="40"/>
  <c r="L148" i="40"/>
  <c r="K148" i="40" s="1"/>
  <c r="J148" i="40"/>
  <c r="J125" i="40"/>
  <c r="L125" i="40"/>
  <c r="K125" i="40" s="1"/>
  <c r="J199" i="40"/>
  <c r="L199" i="40"/>
  <c r="K199" i="40" s="1"/>
  <c r="D245" i="58"/>
  <c r="D361" i="58" s="1"/>
  <c r="D244" i="58"/>
  <c r="D360" i="58" s="1"/>
  <c r="D246" i="58"/>
  <c r="D362" i="58" s="1"/>
  <c r="D378" i="58"/>
  <c r="D68" i="58" s="1"/>
  <c r="B101" i="40" s="1"/>
  <c r="D95" i="58"/>
  <c r="B227" i="40" s="1"/>
  <c r="D261" i="58"/>
  <c r="D98" i="58" s="1"/>
  <c r="B195" i="40" s="1"/>
  <c r="J224" i="40"/>
  <c r="K224" i="40"/>
  <c r="L224" i="40"/>
  <c r="J271" i="40"/>
  <c r="L271" i="40"/>
  <c r="K271" i="40"/>
  <c r="L272" i="40"/>
  <c r="K272" i="40"/>
  <c r="J272" i="40"/>
  <c r="J290" i="40"/>
  <c r="K290" i="40"/>
  <c r="L290" i="40"/>
  <c r="K289" i="40"/>
  <c r="J289" i="40"/>
  <c r="L289" i="40"/>
  <c r="L222" i="40"/>
  <c r="K222" i="40" s="1"/>
  <c r="J222" i="40"/>
  <c r="L189" i="40"/>
  <c r="K189" i="40" s="1"/>
  <c r="J99" i="40"/>
  <c r="L99" i="40"/>
  <c r="K99" i="40" s="1"/>
  <c r="J121" i="40"/>
  <c r="L121" i="40"/>
  <c r="K121" i="40" s="1"/>
  <c r="J98" i="40"/>
  <c r="L98" i="40"/>
  <c r="K98" i="40" s="1"/>
  <c r="J117" i="40"/>
  <c r="L117" i="40"/>
  <c r="K117" i="40" s="1"/>
  <c r="J94" i="40"/>
  <c r="L94" i="40"/>
  <c r="K94" i="40" s="1"/>
  <c r="J286" i="40"/>
  <c r="L286" i="40"/>
  <c r="K286" i="40" s="1"/>
  <c r="J95" i="40"/>
  <c r="L95" i="40"/>
  <c r="K95" i="40" s="1"/>
  <c r="J285" i="40"/>
  <c r="L285" i="40"/>
  <c r="K285" i="40" s="1"/>
  <c r="J118" i="40"/>
  <c r="L118" i="40"/>
  <c r="K118" i="40" s="1"/>
  <c r="J120" i="40"/>
  <c r="L120" i="40"/>
  <c r="K120" i="40" s="1"/>
  <c r="D61" i="66"/>
  <c r="D59" i="66"/>
  <c r="D60" i="66"/>
  <c r="D68" i="66"/>
  <c r="K100" i="40" l="1"/>
  <c r="L100" i="40"/>
  <c r="L101" i="40"/>
  <c r="J101" i="40"/>
  <c r="K101" i="40"/>
  <c r="J195" i="40"/>
  <c r="L195" i="40"/>
  <c r="K195" i="40" s="1"/>
  <c r="D392" i="58"/>
  <c r="D110" i="58" s="1"/>
  <c r="B167" i="40" s="1"/>
  <c r="D391" i="58"/>
  <c r="D109" i="58" s="1"/>
  <c r="B166" i="40" s="1"/>
  <c r="D388" i="58"/>
  <c r="D94" i="58" s="1"/>
  <c r="B226" i="40" s="1"/>
  <c r="D387" i="58"/>
  <c r="D93" i="58" s="1"/>
  <c r="B225" i="40" s="1"/>
  <c r="D384" i="58"/>
  <c r="D83" i="58" s="1"/>
  <c r="B124" i="40" s="1"/>
  <c r="D383" i="58"/>
  <c r="D82" i="58" s="1"/>
  <c r="B123" i="40" s="1"/>
  <c r="D386" i="58"/>
  <c r="D90" i="58" s="1"/>
  <c r="B147" i="40" s="1"/>
  <c r="D385" i="58"/>
  <c r="D89" i="58" s="1"/>
  <c r="B146" i="40" s="1"/>
  <c r="D247" i="58"/>
  <c r="D363" i="58" s="1"/>
  <c r="D93" i="59"/>
  <c r="J123" i="40" l="1"/>
  <c r="K123" i="40"/>
  <c r="L123" i="40"/>
  <c r="J167" i="40"/>
  <c r="L167" i="40"/>
  <c r="K167" i="40"/>
  <c r="J124" i="40"/>
  <c r="L124" i="40"/>
  <c r="K124" i="40"/>
  <c r="J226" i="40"/>
  <c r="L226" i="40"/>
  <c r="K226" i="40"/>
  <c r="K147" i="40"/>
  <c r="L147" i="40"/>
  <c r="J147" i="40"/>
  <c r="K225" i="40"/>
  <c r="L225" i="40"/>
  <c r="J225" i="40"/>
  <c r="K166" i="40"/>
  <c r="L166" i="40"/>
  <c r="J166" i="40"/>
  <c r="L146" i="40"/>
  <c r="J146" i="40"/>
  <c r="K146" i="40"/>
  <c r="D390" i="58"/>
  <c r="D97" i="58" s="1"/>
  <c r="B194" i="40" s="1"/>
  <c r="D389" i="58"/>
  <c r="D96" i="58" s="1"/>
  <c r="B193" i="40" s="1"/>
  <c r="G31" i="68"/>
  <c r="I31" i="68" s="1"/>
  <c r="H63" i="68" s="1"/>
  <c r="D4" i="59"/>
  <c r="D97" i="59"/>
  <c r="D6" i="59" s="1"/>
  <c r="D98" i="59"/>
  <c r="D7" i="59" s="1"/>
  <c r="D64" i="66"/>
  <c r="L193" i="40" l="1"/>
  <c r="K193" i="40"/>
  <c r="J193" i="40"/>
  <c r="L194" i="40"/>
  <c r="J194" i="40"/>
  <c r="K194" i="40"/>
  <c r="F24" i="63"/>
  <c r="H24" i="63" s="1"/>
  <c r="J24" i="63" s="1"/>
  <c r="B142" i="40"/>
  <c r="D23" i="65" s="1"/>
  <c r="B143" i="40"/>
  <c r="D22" i="66" s="1"/>
  <c r="J143" i="40" l="1"/>
  <c r="L143" i="40"/>
  <c r="K143" i="40" s="1"/>
  <c r="J142" i="40"/>
  <c r="L142" i="40"/>
  <c r="K142" i="40" s="1"/>
  <c r="D57" i="66"/>
  <c r="D149" i="44" l="1"/>
  <c r="D154" i="44" s="1"/>
  <c r="D151" i="44"/>
  <c r="F7" i="63"/>
  <c r="H7" i="63" s="1"/>
  <c r="J7" i="63" s="1"/>
  <c r="D150" i="44"/>
  <c r="D155" i="44" s="1"/>
  <c r="F13" i="63"/>
  <c r="H13" i="63" s="1"/>
  <c r="J13" i="63" s="1"/>
  <c r="F9" i="63"/>
  <c r="H9" i="63" s="1"/>
  <c r="J9" i="63" s="1"/>
  <c r="F10" i="63"/>
  <c r="J4" i="68"/>
  <c r="J8" i="68"/>
  <c r="D19" i="58"/>
  <c r="F8" i="63"/>
  <c r="H8" i="63" s="1"/>
  <c r="J8" i="63" s="1"/>
  <c r="F5" i="63"/>
  <c r="H5" i="63" s="1"/>
  <c r="J5" i="63" s="1"/>
  <c r="D68" i="45"/>
  <c r="D70" i="45" s="1"/>
  <c r="D159" i="54"/>
  <c r="D4" i="54" s="1"/>
  <c r="J13" i="68"/>
  <c r="F39" i="63"/>
  <c r="D132" i="54"/>
  <c r="F14" i="63"/>
  <c r="H14" i="63" s="1"/>
  <c r="J14" i="63" s="1"/>
  <c r="F6" i="63"/>
  <c r="H6" i="63" s="1"/>
  <c r="J6" i="63" s="1"/>
  <c r="D119" i="44"/>
  <c r="D98" i="54"/>
  <c r="D41" i="52"/>
  <c r="D48" i="52" s="1"/>
  <c r="J49" i="68"/>
  <c r="D87" i="44"/>
  <c r="D89" i="44" s="1"/>
  <c r="D95" i="45"/>
  <c r="D74" i="52"/>
  <c r="D81" i="52" s="1"/>
  <c r="D108" i="52"/>
  <c r="D114" i="52" s="1"/>
  <c r="D55" i="44"/>
  <c r="D65" i="44" s="1"/>
  <c r="D46" i="45"/>
  <c r="F38" i="63" l="1"/>
  <c r="H38" i="63" s="1"/>
  <c r="J38" i="63" s="1"/>
  <c r="F40" i="63"/>
  <c r="H40" i="63" s="1"/>
  <c r="J40" i="63" s="1"/>
  <c r="D98" i="45"/>
  <c r="D10" i="45" s="1"/>
  <c r="B69" i="40" s="1"/>
  <c r="D97" i="45"/>
  <c r="F4" i="63"/>
  <c r="D60" i="44"/>
  <c r="D164" i="54"/>
  <c r="D163" i="54"/>
  <c r="D162" i="54"/>
  <c r="H10" i="63"/>
  <c r="J10" i="63" s="1"/>
  <c r="D102" i="54"/>
  <c r="D103" i="54"/>
  <c r="D101" i="54"/>
  <c r="D156" i="44"/>
  <c r="D23" i="44" s="1"/>
  <c r="D299" i="58" s="1"/>
  <c r="D59" i="44"/>
  <c r="D8" i="44" s="1"/>
  <c r="B42" i="40" s="1"/>
  <c r="D3" i="44"/>
  <c r="H39" i="63"/>
  <c r="J39" i="63" s="1"/>
  <c r="D100" i="54"/>
  <c r="D3" i="54"/>
  <c r="D48" i="45"/>
  <c r="D51" i="45"/>
  <c r="D50" i="45"/>
  <c r="D7" i="45" s="1"/>
  <c r="B66" i="40" s="1"/>
  <c r="D18" i="66" s="1"/>
  <c r="D49" i="45"/>
  <c r="D9" i="45" s="1"/>
  <c r="B68" i="40" s="1"/>
  <c r="D20" i="66" s="1"/>
  <c r="D25" i="49"/>
  <c r="D6" i="49" s="1"/>
  <c r="B304" i="40" s="1"/>
  <c r="D3" i="45"/>
  <c r="D79" i="52"/>
  <c r="D118" i="44"/>
  <c r="D112" i="52"/>
  <c r="D119" i="52" s="1"/>
  <c r="D18" i="52" s="1"/>
  <c r="D303" i="58" s="1"/>
  <c r="D77" i="52"/>
  <c r="D84" i="52" s="1"/>
  <c r="D113" i="52"/>
  <c r="D120" i="52" s="1"/>
  <c r="D19" i="52" s="1"/>
  <c r="D304" i="58" s="1"/>
  <c r="D4" i="52"/>
  <c r="D3" i="52"/>
  <c r="D78" i="52"/>
  <c r="D85" i="52" s="1"/>
  <c r="D46" i="52"/>
  <c r="D76" i="52"/>
  <c r="D115" i="52"/>
  <c r="D121" i="44"/>
  <c r="D125" i="44" s="1"/>
  <c r="D91" i="44"/>
  <c r="D13" i="44"/>
  <c r="B47" i="40" s="1"/>
  <c r="D17" i="66" s="1"/>
  <c r="D120" i="44"/>
  <c r="D124" i="44" s="1"/>
  <c r="D64" i="44"/>
  <c r="D57" i="44"/>
  <c r="D63" i="44"/>
  <c r="D61" i="44"/>
  <c r="D4" i="44"/>
  <c r="D62" i="44"/>
  <c r="D71" i="44" s="1"/>
  <c r="D58" i="44"/>
  <c r="D100" i="45"/>
  <c r="D101" i="45"/>
  <c r="D99" i="45"/>
  <c r="D4" i="45"/>
  <c r="D45" i="52"/>
  <c r="D111" i="52"/>
  <c r="D52" i="45"/>
  <c r="D80" i="52"/>
  <c r="D161" i="54"/>
  <c r="D90" i="44"/>
  <c r="D95" i="44" s="1"/>
  <c r="D16" i="44" s="1"/>
  <c r="D43" i="52"/>
  <c r="D110" i="52"/>
  <c r="D44" i="52"/>
  <c r="D47" i="52"/>
  <c r="D37" i="65" l="1"/>
  <c r="F49" i="63"/>
  <c r="D104" i="45"/>
  <c r="D16" i="45"/>
  <c r="D300" i="58" s="1"/>
  <c r="H4" i="63"/>
  <c r="J4" i="63" s="1"/>
  <c r="L4" i="63" s="1"/>
  <c r="D6" i="45"/>
  <c r="B65" i="40" s="1"/>
  <c r="J69" i="40"/>
  <c r="D21" i="66"/>
  <c r="D56" i="66" s="1"/>
  <c r="D12" i="44"/>
  <c r="D108" i="54"/>
  <c r="D7" i="54"/>
  <c r="D107" i="54"/>
  <c r="D9" i="54"/>
  <c r="D106" i="54"/>
  <c r="D8" i="54"/>
  <c r="D169" i="54"/>
  <c r="D167" i="54"/>
  <c r="D12" i="54"/>
  <c r="D168" i="54"/>
  <c r="D13" i="54"/>
  <c r="D72" i="44"/>
  <c r="D21" i="44" s="1"/>
  <c r="D297" i="58" s="1"/>
  <c r="D69" i="44"/>
  <c r="D18" i="44" s="1"/>
  <c r="D294" i="58" s="1"/>
  <c r="D68" i="44"/>
  <c r="D17" i="44" s="1"/>
  <c r="D293" i="58" s="1"/>
  <c r="D70" i="44"/>
  <c r="D19" i="44" s="1"/>
  <c r="D295" i="58" s="1"/>
  <c r="D6" i="54"/>
  <c r="B90" i="40" s="1"/>
  <c r="D15" i="45"/>
  <c r="B72" i="40" s="1"/>
  <c r="J68" i="40"/>
  <c r="L68" i="40"/>
  <c r="K68" i="40" s="1"/>
  <c r="D55" i="66"/>
  <c r="J66" i="40"/>
  <c r="L66" i="40"/>
  <c r="K66" i="40" s="1"/>
  <c r="D53" i="66"/>
  <c r="J304" i="40"/>
  <c r="L304" i="40"/>
  <c r="K304" i="40" s="1"/>
  <c r="L69" i="40"/>
  <c r="K69" i="40" s="1"/>
  <c r="D86" i="52"/>
  <c r="D205" i="58"/>
  <c r="D105" i="45"/>
  <c r="D17" i="45"/>
  <c r="D301" i="58" s="1"/>
  <c r="D6" i="52"/>
  <c r="B240" i="40" s="1"/>
  <c r="D31" i="65" s="1"/>
  <c r="D118" i="52"/>
  <c r="D17" i="52" s="1"/>
  <c r="D302" i="58" s="1"/>
  <c r="D10" i="52"/>
  <c r="D121" i="52"/>
  <c r="D20" i="52" s="1"/>
  <c r="D11" i="52"/>
  <c r="D228" i="58" s="1"/>
  <c r="D52" i="52"/>
  <c r="D15" i="52" s="1"/>
  <c r="D335" i="58" s="1"/>
  <c r="D8" i="52"/>
  <c r="D9" i="52"/>
  <c r="D7" i="52"/>
  <c r="B241" i="40" s="1"/>
  <c r="D40" i="66" s="1"/>
  <c r="D51" i="52"/>
  <c r="D14" i="52" s="1"/>
  <c r="D334" i="58" s="1"/>
  <c r="D343" i="58" s="1"/>
  <c r="D333" i="58" s="1"/>
  <c r="D63" i="65" s="1"/>
  <c r="D53" i="52"/>
  <c r="J47" i="40"/>
  <c r="L47" i="40"/>
  <c r="K47" i="40" s="1"/>
  <c r="J42" i="40"/>
  <c r="L42" i="40"/>
  <c r="K42" i="40" s="1"/>
  <c r="D6" i="44"/>
  <c r="B40" i="40" s="1"/>
  <c r="D15" i="65" s="1"/>
  <c r="D7" i="44"/>
  <c r="B41" i="40" s="1"/>
  <c r="D22" i="44"/>
  <c r="D298" i="58" s="1"/>
  <c r="D11" i="44"/>
  <c r="B45" i="40" s="1"/>
  <c r="D94" i="44"/>
  <c r="D24" i="44" s="1"/>
  <c r="D204" i="58" s="1"/>
  <c r="D10" i="44"/>
  <c r="B44" i="40" s="1"/>
  <c r="D15" i="66" s="1"/>
  <c r="D20" i="44"/>
  <c r="D296" i="58" s="1"/>
  <c r="D9" i="44"/>
  <c r="B43" i="40" s="1"/>
  <c r="D11" i="45"/>
  <c r="B70" i="40" s="1"/>
  <c r="D8" i="45"/>
  <c r="B67" i="40" s="1"/>
  <c r="D19" i="66" s="1"/>
  <c r="D12" i="45"/>
  <c r="B71" i="40" s="1"/>
  <c r="D230" i="58" l="1"/>
  <c r="D242" i="58" s="1"/>
  <c r="D358" i="58" s="1"/>
  <c r="D198" i="58"/>
  <c r="D200" i="58" s="1"/>
  <c r="D23" i="58" s="1"/>
  <c r="D275" i="58"/>
  <c r="D237" i="58"/>
  <c r="D252" i="58"/>
  <c r="D81" i="58" s="1"/>
  <c r="B77" i="40" s="1"/>
  <c r="D231" i="58"/>
  <c r="D315" i="58"/>
  <c r="D316" i="58"/>
  <c r="D314" i="58"/>
  <c r="D313" i="58"/>
  <c r="D312" i="58"/>
  <c r="D311" i="58"/>
  <c r="D307" i="58"/>
  <c r="D308" i="58" s="1"/>
  <c r="D251" i="58"/>
  <c r="D76" i="58" s="1"/>
  <c r="B52" i="40" s="1"/>
  <c r="J227" i="40"/>
  <c r="L227" i="40"/>
  <c r="K227" i="40" s="1"/>
  <c r="D17" i="65"/>
  <c r="J90" i="40"/>
  <c r="D19" i="65"/>
  <c r="H49" i="63"/>
  <c r="J65" i="40"/>
  <c r="L65" i="40"/>
  <c r="K65" i="40" s="1"/>
  <c r="D24" i="54"/>
  <c r="D291" i="58" s="1"/>
  <c r="B97" i="40"/>
  <c r="D23" i="54"/>
  <c r="D290" i="58" s="1"/>
  <c r="B96" i="40"/>
  <c r="D27" i="66" s="1"/>
  <c r="D19" i="54"/>
  <c r="D286" i="58" s="1"/>
  <c r="B92" i="40"/>
  <c r="D20" i="54"/>
  <c r="D287" i="58" s="1"/>
  <c r="B93" i="40"/>
  <c r="D18" i="54"/>
  <c r="D285" i="58" s="1"/>
  <c r="B91" i="40"/>
  <c r="L90" i="40"/>
  <c r="K90" i="40" s="1"/>
  <c r="D16" i="52"/>
  <c r="D336" i="58" s="1"/>
  <c r="D421" i="58"/>
  <c r="D53" i="58"/>
  <c r="B246" i="40" s="1"/>
  <c r="J67" i="40"/>
  <c r="L67" i="40"/>
  <c r="K67" i="40" s="1"/>
  <c r="J45" i="40"/>
  <c r="L45" i="40"/>
  <c r="K45" i="40" s="1"/>
  <c r="J41" i="40"/>
  <c r="L41" i="40"/>
  <c r="K41" i="40" s="1"/>
  <c r="J43" i="40"/>
  <c r="L43" i="40"/>
  <c r="K43" i="40" s="1"/>
  <c r="J40" i="40"/>
  <c r="L40" i="40"/>
  <c r="K40" i="40" s="1"/>
  <c r="J71" i="40"/>
  <c r="L71" i="40"/>
  <c r="K71" i="40" s="1"/>
  <c r="J70" i="40"/>
  <c r="L70" i="40"/>
  <c r="K70" i="40" s="1"/>
  <c r="J241" i="40"/>
  <c r="L241" i="40"/>
  <c r="K241" i="40" s="1"/>
  <c r="J240" i="40"/>
  <c r="L240" i="40"/>
  <c r="K240" i="40" s="1"/>
  <c r="D51" i="66"/>
  <c r="J44" i="40"/>
  <c r="L44" i="40"/>
  <c r="K44" i="40" s="1"/>
  <c r="B244" i="40"/>
  <c r="B242" i="40"/>
  <c r="B245" i="40"/>
  <c r="D16" i="66" s="1"/>
  <c r="B243" i="40"/>
  <c r="D73" i="66"/>
  <c r="D54" i="66"/>
  <c r="B46" i="40"/>
  <c r="J49" i="63"/>
  <c r="D16" i="58" s="1"/>
  <c r="D184" i="58" s="1"/>
  <c r="D185" i="58" s="1"/>
  <c r="D5" i="66" l="1"/>
  <c r="D6" i="66" s="1"/>
  <c r="D7" i="66"/>
  <c r="D8" i="66" s="1"/>
  <c r="J246" i="40"/>
  <c r="K246" i="40"/>
  <c r="L246" i="40"/>
  <c r="D479" i="58"/>
  <c r="D238" i="58"/>
  <c r="D40" i="58" s="1"/>
  <c r="B320" i="40" s="1"/>
  <c r="D11" i="65" s="1"/>
  <c r="D5" i="65" s="1"/>
  <c r="J77" i="40"/>
  <c r="L77" i="40"/>
  <c r="K77" i="40" s="1"/>
  <c r="J52" i="40"/>
  <c r="L52" i="40"/>
  <c r="K52" i="40" s="1"/>
  <c r="D249" i="58"/>
  <c r="D365" i="58" s="1"/>
  <c r="D60" i="58"/>
  <c r="B253" i="40" s="1"/>
  <c r="D380" i="58"/>
  <c r="D73" i="58" s="1"/>
  <c r="B49" i="40" s="1"/>
  <c r="D379" i="58"/>
  <c r="D72" i="58" s="1"/>
  <c r="B48" i="40" s="1"/>
  <c r="D41" i="58"/>
  <c r="B321" i="40" s="1"/>
  <c r="L72" i="40"/>
  <c r="K72" i="40"/>
  <c r="J72" i="40"/>
  <c r="D322" i="58"/>
  <c r="D368" i="58" s="1"/>
  <c r="D399" i="58" s="1"/>
  <c r="D79" i="58" s="1"/>
  <c r="B75" i="40" s="1"/>
  <c r="D323" i="58"/>
  <c r="D369" i="58" s="1"/>
  <c r="D321" i="58"/>
  <c r="D367" i="58" s="1"/>
  <c r="D305" i="58"/>
  <c r="D310" i="58"/>
  <c r="D309" i="58"/>
  <c r="D44" i="58" s="1"/>
  <c r="B324" i="40" s="1"/>
  <c r="D346" i="58"/>
  <c r="D370" i="58" s="1"/>
  <c r="D13" i="66"/>
  <c r="D49" i="66" s="1"/>
  <c r="J92" i="40"/>
  <c r="L92" i="40"/>
  <c r="K92" i="40" s="1"/>
  <c r="J96" i="40"/>
  <c r="L96" i="40"/>
  <c r="K96" i="40" s="1"/>
  <c r="L91" i="40"/>
  <c r="K91" i="40" s="1"/>
  <c r="J91" i="40"/>
  <c r="D23" i="66"/>
  <c r="D58" i="66" s="1"/>
  <c r="J93" i="40"/>
  <c r="L93" i="40"/>
  <c r="K93" i="40" s="1"/>
  <c r="D14" i="66"/>
  <c r="D50" i="66" s="1"/>
  <c r="J97" i="40"/>
  <c r="L97" i="40"/>
  <c r="K97" i="40" s="1"/>
  <c r="J242" i="40"/>
  <c r="L242" i="40"/>
  <c r="K242" i="40" s="1"/>
  <c r="J244" i="40"/>
  <c r="L244" i="40"/>
  <c r="K244" i="40" s="1"/>
  <c r="J245" i="40"/>
  <c r="L245" i="40"/>
  <c r="K245" i="40" s="1"/>
  <c r="J46" i="40"/>
  <c r="L46" i="40"/>
  <c r="K46" i="40" s="1"/>
  <c r="J243" i="40"/>
  <c r="L243" i="40"/>
  <c r="K243" i="40" s="1"/>
  <c r="D52" i="66"/>
  <c r="D442" i="58"/>
  <c r="D443" i="58" s="1"/>
  <c r="D445" i="58" s="1"/>
  <c r="D428" i="58"/>
  <c r="D424" i="58"/>
  <c r="D422" i="58"/>
  <c r="D13" i="58"/>
  <c r="E29" i="29"/>
  <c r="D501" i="58"/>
  <c r="D484" i="58"/>
  <c r="D503" i="58" s="1"/>
  <c r="D461" i="58"/>
  <c r="D464" i="58" s="1"/>
  <c r="D44" i="66" l="1"/>
  <c r="D77" i="66" s="1"/>
  <c r="J253" i="40"/>
  <c r="L253" i="40"/>
  <c r="K253" i="40" s="1"/>
  <c r="D480" i="58"/>
  <c r="D481" i="58" s="1"/>
  <c r="D493" i="58"/>
  <c r="D483" i="58"/>
  <c r="D61" i="65" s="1"/>
  <c r="L320" i="40"/>
  <c r="K320" i="40" s="1"/>
  <c r="J320" i="40"/>
  <c r="D47" i="65"/>
  <c r="D48" i="65" s="1"/>
  <c r="J324" i="40"/>
  <c r="L324" i="40"/>
  <c r="K324" i="40" s="1"/>
  <c r="D306" i="58"/>
  <c r="D45" i="58" s="1"/>
  <c r="B325" i="40" s="1"/>
  <c r="D43" i="58"/>
  <c r="B323" i="40" s="1"/>
  <c r="K48" i="40"/>
  <c r="L48" i="40"/>
  <c r="J48" i="40"/>
  <c r="L49" i="40"/>
  <c r="K49" i="40"/>
  <c r="J49" i="40"/>
  <c r="J75" i="40"/>
  <c r="L75" i="40"/>
  <c r="K75" i="40"/>
  <c r="D394" i="58"/>
  <c r="D393" i="58"/>
  <c r="D400" i="58"/>
  <c r="D80" i="58" s="1"/>
  <c r="B76" i="40" s="1"/>
  <c r="D397" i="58"/>
  <c r="D74" i="58" s="1"/>
  <c r="B50" i="40" s="1"/>
  <c r="D398" i="58"/>
  <c r="D75" i="58" s="1"/>
  <c r="B51" i="40" s="1"/>
  <c r="D402" i="58"/>
  <c r="D59" i="58" s="1"/>
  <c r="B252" i="40" s="1"/>
  <c r="D401" i="58"/>
  <c r="D58" i="58" s="1"/>
  <c r="B251" i="40" s="1"/>
  <c r="D281" i="58"/>
  <c r="D283" i="58" s="1"/>
  <c r="D317" i="58" s="1"/>
  <c r="D42" i="58" s="1"/>
  <c r="D403" i="58"/>
  <c r="D54" i="58" s="1"/>
  <c r="B247" i="40" s="1"/>
  <c r="D404" i="58"/>
  <c r="D55" i="58" s="1"/>
  <c r="B248" i="40" s="1"/>
  <c r="D431" i="58"/>
  <c r="D373" i="58" s="1"/>
  <c r="D427" i="58"/>
  <c r="J321" i="40"/>
  <c r="L321" i="40"/>
  <c r="K321" i="40" s="1"/>
  <c r="D55" i="65"/>
  <c r="D10" i="66"/>
  <c r="D9" i="66"/>
  <c r="D46" i="66"/>
  <c r="D79" i="66" s="1"/>
  <c r="D186" i="58"/>
  <c r="D187" i="58" s="1"/>
  <c r="D189" i="58" s="1"/>
  <c r="D39" i="58" s="1"/>
  <c r="D467" i="58"/>
  <c r="D468" i="58" s="1"/>
  <c r="D58" i="65" s="1"/>
  <c r="D57" i="65" s="1"/>
  <c r="D465" i="58"/>
  <c r="D470" i="58" s="1"/>
  <c r="D48" i="58" s="1"/>
  <c r="B328" i="40" s="1"/>
  <c r="D15" i="58"/>
  <c r="D125" i="58"/>
  <c r="D127" i="58" s="1"/>
  <c r="D131" i="58" s="1"/>
  <c r="D449" i="58"/>
  <c r="D450" i="58" s="1"/>
  <c r="D453" i="58" s="1"/>
  <c r="D47" i="58" s="1"/>
  <c r="D447" i="58"/>
  <c r="D487" i="58"/>
  <c r="D506" i="58"/>
  <c r="D507" i="58" s="1"/>
  <c r="D509" i="58" s="1"/>
  <c r="D59" i="65" s="1"/>
  <c r="D425" i="58"/>
  <c r="J247" i="40" l="1"/>
  <c r="L247" i="40"/>
  <c r="K247" i="40"/>
  <c r="J251" i="40"/>
  <c r="L251" i="40"/>
  <c r="K251" i="40"/>
  <c r="J252" i="40"/>
  <c r="K252" i="40"/>
  <c r="L252" i="40"/>
  <c r="J248" i="40"/>
  <c r="K248" i="40"/>
  <c r="L248" i="40"/>
  <c r="D320" i="58"/>
  <c r="D366" i="58" s="1"/>
  <c r="D396" i="58" s="1"/>
  <c r="D70" i="58" s="1"/>
  <c r="B103" i="40" s="1"/>
  <c r="B319" i="40"/>
  <c r="J319" i="40" s="1"/>
  <c r="B322" i="40"/>
  <c r="L322" i="40" s="1"/>
  <c r="K322" i="40" s="1"/>
  <c r="B327" i="40"/>
  <c r="J327" i="40" s="1"/>
  <c r="D53" i="65"/>
  <c r="L323" i="40"/>
  <c r="K323" i="40" s="1"/>
  <c r="J323" i="40"/>
  <c r="J325" i="40"/>
  <c r="L325" i="40"/>
  <c r="K325" i="40" s="1"/>
  <c r="J328" i="40"/>
  <c r="L328" i="40"/>
  <c r="K328" i="40" s="1"/>
  <c r="K76" i="40"/>
  <c r="L76" i="40"/>
  <c r="J76" i="40"/>
  <c r="L51" i="40"/>
  <c r="K51" i="40"/>
  <c r="J51" i="40"/>
  <c r="J50" i="40"/>
  <c r="L50" i="40"/>
  <c r="K50" i="40"/>
  <c r="D56" i="58"/>
  <c r="B249" i="40" s="1"/>
  <c r="D57" i="58"/>
  <c r="B250" i="40" s="1"/>
  <c r="D409" i="58"/>
  <c r="D114" i="58" s="1"/>
  <c r="B330" i="40" s="1"/>
  <c r="D410" i="58"/>
  <c r="D115" i="58" s="1"/>
  <c r="B331" i="40" s="1"/>
  <c r="D448" i="58"/>
  <c r="D452" i="58" s="1"/>
  <c r="D24" i="58"/>
  <c r="D243" i="58" s="1"/>
  <c r="D359" i="58" s="1"/>
  <c r="D50" i="58"/>
  <c r="B329" i="40" s="1"/>
  <c r="D45" i="66"/>
  <c r="D78" i="66" s="1"/>
  <c r="D488" i="58"/>
  <c r="D49" i="58" s="1"/>
  <c r="D504" i="58"/>
  <c r="D490" i="58"/>
  <c r="D491" i="58" s="1"/>
  <c r="D137" i="58"/>
  <c r="D154" i="58"/>
  <c r="D171" i="58" s="1"/>
  <c r="D134" i="58"/>
  <c r="D132" i="58"/>
  <c r="D133" i="58"/>
  <c r="J322" i="40" l="1"/>
  <c r="D395" i="58"/>
  <c r="D69" i="58" s="1"/>
  <c r="B102" i="40" s="1"/>
  <c r="J102" i="40" s="1"/>
  <c r="J250" i="40"/>
  <c r="K250" i="40"/>
  <c r="L250" i="40"/>
  <c r="J249" i="40"/>
  <c r="K249" i="40"/>
  <c r="L249" i="40"/>
  <c r="L319" i="40"/>
  <c r="K319" i="40" s="1"/>
  <c r="L327" i="40"/>
  <c r="K327" i="40" s="1"/>
  <c r="J329" i="40"/>
  <c r="L329" i="40"/>
  <c r="K329" i="40" s="1"/>
  <c r="K103" i="40"/>
  <c r="J103" i="40"/>
  <c r="L103" i="40"/>
  <c r="D382" i="58"/>
  <c r="D78" i="58" s="1"/>
  <c r="B74" i="40" s="1"/>
  <c r="D381" i="58"/>
  <c r="D77" i="58" s="1"/>
  <c r="B73" i="40" s="1"/>
  <c r="L331" i="40"/>
  <c r="K331" i="40"/>
  <c r="J331" i="40"/>
  <c r="L330" i="40"/>
  <c r="K330" i="40"/>
  <c r="J330" i="40"/>
  <c r="D456" i="58"/>
  <c r="D374" i="58" s="1"/>
  <c r="D356" i="58" s="1"/>
  <c r="D46" i="58"/>
  <c r="B326" i="40" s="1"/>
  <c r="D172" i="58"/>
  <c r="D174" i="58" s="1"/>
  <c r="D38" i="58" s="1"/>
  <c r="D138" i="58"/>
  <c r="D141" i="58" s="1"/>
  <c r="D139" i="58"/>
  <c r="K102" i="40" l="1"/>
  <c r="L102" i="40"/>
  <c r="B318" i="40"/>
  <c r="J318" i="40" s="1"/>
  <c r="J326" i="40"/>
  <c r="L326" i="40"/>
  <c r="K326" i="40" s="1"/>
  <c r="K73" i="40"/>
  <c r="J73" i="40"/>
  <c r="L73" i="40"/>
  <c r="J74" i="40"/>
  <c r="K74" i="40"/>
  <c r="L74" i="40"/>
  <c r="D412" i="58"/>
  <c r="D117" i="58" s="1"/>
  <c r="B333" i="40" s="1"/>
  <c r="D411" i="58"/>
  <c r="D116" i="58" s="1"/>
  <c r="B332" i="40" s="1"/>
  <c r="D37" i="58"/>
  <c r="L318" i="40" l="1"/>
  <c r="K318" i="40" s="1"/>
  <c r="D51" i="65"/>
  <c r="L333" i="40"/>
  <c r="K333" i="40"/>
  <c r="J333" i="40"/>
  <c r="K332" i="40"/>
  <c r="J332" i="40"/>
  <c r="L332" i="40"/>
  <c r="D34" i="58"/>
  <c r="D32" i="58" s="1"/>
  <c r="D35" i="58" s="1"/>
  <c r="B317" i="40"/>
  <c r="D12" i="65" l="1"/>
  <c r="D6" i="65" s="1"/>
  <c r="L317" i="40"/>
  <c r="K317" i="40" s="1"/>
  <c r="J317" i="40"/>
  <c r="D33" i="58"/>
  <c r="J17" i="40" l="1"/>
  <c r="L17" i="40"/>
  <c r="K17" i="40"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<sst xmlns="http://schemas.openxmlformats.org/spreadsheetml/2006/main" count="12500" uniqueCount="2634">
  <si>
    <t>HF</t>
  </si>
  <si>
    <t>N2</t>
  </si>
  <si>
    <t>Ar</t>
  </si>
  <si>
    <t>O2</t>
  </si>
  <si>
    <t>He</t>
  </si>
  <si>
    <t>CHF3</t>
  </si>
  <si>
    <t>SF6</t>
  </si>
  <si>
    <t>SiH4</t>
  </si>
  <si>
    <t>PH3</t>
  </si>
  <si>
    <t>HNO3</t>
  </si>
  <si>
    <t>NH3</t>
  </si>
  <si>
    <t>HMDS</t>
  </si>
  <si>
    <t>HCl</t>
  </si>
  <si>
    <t>Water</t>
  </si>
  <si>
    <t>PGME</t>
  </si>
  <si>
    <t>PGMEA</t>
  </si>
  <si>
    <t>TMAH</t>
  </si>
  <si>
    <t>Acids</t>
  </si>
  <si>
    <t>PI</t>
  </si>
  <si>
    <t>SiO2</t>
  </si>
  <si>
    <t>H2SO4</t>
  </si>
  <si>
    <t>H2O2</t>
  </si>
  <si>
    <t>NaOH</t>
  </si>
  <si>
    <t>Ca(OH)2</t>
  </si>
  <si>
    <t>Tungsten</t>
  </si>
  <si>
    <t>Solvents</t>
  </si>
  <si>
    <t>H3PO4</t>
  </si>
  <si>
    <t>CO</t>
  </si>
  <si>
    <t>NO</t>
  </si>
  <si>
    <t>Output gases</t>
  </si>
  <si>
    <t>CAS Number</t>
  </si>
  <si>
    <t>Nitrogen</t>
  </si>
  <si>
    <t>Argon</t>
  </si>
  <si>
    <t>Helium</t>
  </si>
  <si>
    <t>Carbon monoxyde</t>
  </si>
  <si>
    <t>Carbon dioxyde</t>
  </si>
  <si>
    <t>Methane</t>
  </si>
  <si>
    <t>Silane</t>
  </si>
  <si>
    <t>Phosphine</t>
  </si>
  <si>
    <t>Arsine</t>
  </si>
  <si>
    <t>Phosphoric acid</t>
  </si>
  <si>
    <t>Nitric acid</t>
  </si>
  <si>
    <t>Sulfuric acid</t>
  </si>
  <si>
    <t>Ammonia</t>
  </si>
  <si>
    <t>Sodium hydroxide</t>
  </si>
  <si>
    <t>Hydrogen peroxide</t>
  </si>
  <si>
    <t>Calcium hydroxide</t>
  </si>
  <si>
    <t>Polyimide</t>
  </si>
  <si>
    <t>Silicium dioxyde (silica)</t>
  </si>
  <si>
    <t>Aluminum trioxyde (alumina)</t>
  </si>
  <si>
    <t>007782-41-4</t>
  </si>
  <si>
    <t>Nitrogen dioxyde</t>
  </si>
  <si>
    <t>Acetone</t>
  </si>
  <si>
    <t>Octafluorocyclobutane</t>
  </si>
  <si>
    <t>007782-50-5</t>
  </si>
  <si>
    <t>000075-73-0</t>
  </si>
  <si>
    <t>000076-16-4</t>
  </si>
  <si>
    <t>000115-25-3</t>
  </si>
  <si>
    <t>Trifluoromethane</t>
  </si>
  <si>
    <t>Propylene glycol monomethyl ether acetate</t>
  </si>
  <si>
    <t>007782-44-7</t>
  </si>
  <si>
    <t>007727-37-9</t>
  </si>
  <si>
    <t>007783-54-2</t>
  </si>
  <si>
    <t>010024-97-2</t>
  </si>
  <si>
    <t>007440-37-1</t>
  </si>
  <si>
    <t>007440-59-7</t>
  </si>
  <si>
    <t>000074-82-8</t>
  </si>
  <si>
    <t>000630-08-0</t>
  </si>
  <si>
    <t>000124-38-9</t>
  </si>
  <si>
    <t>Nitric oxyde</t>
  </si>
  <si>
    <t>010102-43-9</t>
  </si>
  <si>
    <t>010102-44-0</t>
  </si>
  <si>
    <t>007631-86-9</t>
  </si>
  <si>
    <t>019287-45-7</t>
  </si>
  <si>
    <t>007784-42-1</t>
  </si>
  <si>
    <t>007803-62-5</t>
  </si>
  <si>
    <t>007803-51-2</t>
  </si>
  <si>
    <t>SiF4</t>
  </si>
  <si>
    <t>H2</t>
  </si>
  <si>
    <t>Formaldehyde</t>
  </si>
  <si>
    <t>Tetrafluroethylene</t>
  </si>
  <si>
    <t>000050-00-0</t>
  </si>
  <si>
    <t>001333-74-0</t>
  </si>
  <si>
    <t>007722-84-1</t>
  </si>
  <si>
    <t>007783-61-1</t>
  </si>
  <si>
    <t>010026-04-7</t>
  </si>
  <si>
    <t>Silicon tetrafluoride (tetrafluorosilane)</t>
  </si>
  <si>
    <t>Tetrafluoromethane</t>
  </si>
  <si>
    <t>000116-14-3</t>
  </si>
  <si>
    <t>000353-50-4</t>
  </si>
  <si>
    <t>000075-46-7</t>
  </si>
  <si>
    <t>002551-62-4</t>
  </si>
  <si>
    <t>007783-60-0</t>
  </si>
  <si>
    <t>007664-39-3</t>
  </si>
  <si>
    <t>007664-38-2</t>
  </si>
  <si>
    <t>000064-18-6</t>
  </si>
  <si>
    <t>007664-93-9</t>
  </si>
  <si>
    <t>007697-37-2</t>
  </si>
  <si>
    <t>007647-01-0</t>
  </si>
  <si>
    <t>Hydrochloric acid</t>
  </si>
  <si>
    <t>007664-41-7</t>
  </si>
  <si>
    <t>000075-59-2</t>
  </si>
  <si>
    <t>001336-21-6</t>
  </si>
  <si>
    <t>001310-73-2</t>
  </si>
  <si>
    <t>000067-64-1</t>
  </si>
  <si>
    <t>000067-63-0</t>
  </si>
  <si>
    <t>C3H8O</t>
  </si>
  <si>
    <t>000999-97-3</t>
  </si>
  <si>
    <t>000107-98-2</t>
  </si>
  <si>
    <t>000108-65-6</t>
  </si>
  <si>
    <t>001305-62-0</t>
  </si>
  <si>
    <t>001344-28-1</t>
  </si>
  <si>
    <t>BF3</t>
  </si>
  <si>
    <t>Hydrobromic acid</t>
  </si>
  <si>
    <t>010035-10-6</t>
  </si>
  <si>
    <t>Boron trifluoride</t>
  </si>
  <si>
    <t>Carbonyle fluoride</t>
  </si>
  <si>
    <t>Nitrogen trifluoride</t>
  </si>
  <si>
    <t>007637-07-2</t>
  </si>
  <si>
    <t>Group</t>
  </si>
  <si>
    <t>Plating chemicals</t>
  </si>
  <si>
    <t>Abatement chemicals</t>
  </si>
  <si>
    <t>Caustics</t>
  </si>
  <si>
    <t>HCOOH</t>
  </si>
  <si>
    <t>PCW</t>
  </si>
  <si>
    <t>UPW</t>
  </si>
  <si>
    <t>Ammonium hydroxide</t>
  </si>
  <si>
    <t>Wafer dicing</t>
  </si>
  <si>
    <t>kg</t>
  </si>
  <si>
    <t>kg/m3</t>
  </si>
  <si>
    <t>m</t>
  </si>
  <si>
    <t>kW</t>
  </si>
  <si>
    <t>kWh</t>
  </si>
  <si>
    <t>m3</t>
  </si>
  <si>
    <t>process</t>
  </si>
  <si>
    <t>skip</t>
  </si>
  <si>
    <t>N2 - Nitrogen</t>
  </si>
  <si>
    <t>O2 - Oxygen</t>
  </si>
  <si>
    <t>Backgrinding</t>
  </si>
  <si>
    <t>KOH</t>
  </si>
  <si>
    <t>Direction</t>
  </si>
  <si>
    <t>Dispatching / receiving system</t>
  </si>
  <si>
    <t>Unit</t>
  </si>
  <si>
    <t>Inflow</t>
  </si>
  <si>
    <t>Internal flow</t>
  </si>
  <si>
    <t>Outflow</t>
  </si>
  <si>
    <t>Buffered HF, at plant</t>
  </si>
  <si>
    <t>reference product</t>
  </si>
  <si>
    <t>GSD</t>
  </si>
  <si>
    <t>Technosphere</t>
  </si>
  <si>
    <t>Product material input</t>
  </si>
  <si>
    <t>Energy input</t>
  </si>
  <si>
    <t>MJ</t>
  </si>
  <si>
    <t>kilogram</t>
  </si>
  <si>
    <t>technosphere</t>
  </si>
  <si>
    <t>ammonia, anhydrous, liquid</t>
  </si>
  <si>
    <t>RER</t>
  </si>
  <si>
    <t>hydrogen fluoride</t>
  </si>
  <si>
    <t>water production, ultrapure</t>
  </si>
  <si>
    <t>water, ultrapure</t>
  </si>
  <si>
    <t>nitric acid, without water, in 50% solution state</t>
  </si>
  <si>
    <t>hydrogen peroxide, without water, in 50% solution state</t>
  </si>
  <si>
    <t>hydrochloric acid, without water, in 30% solution state</t>
  </si>
  <si>
    <t>comment</t>
  </si>
  <si>
    <t>Wafer probing</t>
  </si>
  <si>
    <t>Local oxidation of silicon (LOCOS)</t>
  </si>
  <si>
    <t>Macro process step</t>
  </si>
  <si>
    <t>Trench processing</t>
  </si>
  <si>
    <t>Oxide patterning</t>
  </si>
  <si>
    <t>Topside passivation patterning</t>
  </si>
  <si>
    <t>Frontside P/N implants</t>
  </si>
  <si>
    <t>Wafer thinning &amp; backside planarization</t>
  </si>
  <si>
    <t>Backside P/N implants</t>
  </si>
  <si>
    <t>Backside metallization</t>
  </si>
  <si>
    <t>Wafer prober</t>
  </si>
  <si>
    <t>Polyimide (PI)</t>
  </si>
  <si>
    <t>Frontside metal contacts patterning</t>
  </si>
  <si>
    <t>CMP</t>
  </si>
  <si>
    <t>Back-end</t>
  </si>
  <si>
    <t>Al</t>
  </si>
  <si>
    <t>Ti</t>
  </si>
  <si>
    <t>PE-CVD-Oxide (SiO2)</t>
  </si>
  <si>
    <t>LP-CVD - Silicon Nitride (SiN)</t>
  </si>
  <si>
    <t>Guard ring 1</t>
  </si>
  <si>
    <t>Guard ring 2</t>
  </si>
  <si>
    <t>Trench</t>
  </si>
  <si>
    <t>W</t>
  </si>
  <si>
    <t>Ni</t>
  </si>
  <si>
    <t>Wafer diameter</t>
  </si>
  <si>
    <t>Die area</t>
  </si>
  <si>
    <t>Dual-spindle dicing saw</t>
  </si>
  <si>
    <t>Dichlorosilane</t>
  </si>
  <si>
    <t>Sulfur hexafluoride</t>
  </si>
  <si>
    <t>Sulfur tetrafluoride</t>
  </si>
  <si>
    <t>Ethanoic (acetic) acid</t>
  </si>
  <si>
    <t>Methanoic (formic) acid</t>
  </si>
  <si>
    <t>000064-19-7</t>
  </si>
  <si>
    <t>Potassium hydroxide</t>
  </si>
  <si>
    <t>Colloidal slurries</t>
  </si>
  <si>
    <t>Ammonium fluoride</t>
  </si>
  <si>
    <t xml:space="preserve"> 	12125-01-8</t>
  </si>
  <si>
    <t>1310-58-3</t>
  </si>
  <si>
    <t>Organic passivations</t>
  </si>
  <si>
    <t>BCB</t>
  </si>
  <si>
    <t>Titanium</t>
  </si>
  <si>
    <t>Nickel</t>
  </si>
  <si>
    <t>Dopant &amp; deposition gases</t>
  </si>
  <si>
    <t>Al etchant</t>
  </si>
  <si>
    <t>Ti etchant</t>
  </si>
  <si>
    <t>W etchant</t>
  </si>
  <si>
    <t>-</t>
  </si>
  <si>
    <t>Inputs</t>
  </si>
  <si>
    <t>Data source</t>
  </si>
  <si>
    <t>Outputs</t>
  </si>
  <si>
    <t>%</t>
  </si>
  <si>
    <t>Isopropanol / 2-propanol (IPA)</t>
  </si>
  <si>
    <t>[2003MUR]</t>
  </si>
  <si>
    <t>004109-96-0</t>
  </si>
  <si>
    <t>7732-18-5</t>
  </si>
  <si>
    <t>Name or composition</t>
  </si>
  <si>
    <t>G</t>
  </si>
  <si>
    <t>L</t>
  </si>
  <si>
    <t>S</t>
  </si>
  <si>
    <t>Sub process steps</t>
  </si>
  <si>
    <t>unit</t>
  </si>
  <si>
    <t>[.]</t>
  </si>
  <si>
    <t>s</t>
  </si>
  <si>
    <t>location</t>
  </si>
  <si>
    <t>Process input</t>
  </si>
  <si>
    <t>Emission to air</t>
  </si>
  <si>
    <t>Within system boundary</t>
  </si>
  <si>
    <t>m²</t>
  </si>
  <si>
    <t>Calculated</t>
  </si>
  <si>
    <t>Emission to water</t>
  </si>
  <si>
    <t>Silicon density</t>
  </si>
  <si>
    <t>Wafer area</t>
  </si>
  <si>
    <t>Value</t>
  </si>
  <si>
    <t xml:space="preserve">Calculated </t>
  </si>
  <si>
    <t>A</t>
  </si>
  <si>
    <t>Titanium density</t>
  </si>
  <si>
    <t>Initial wafer thickness</t>
  </si>
  <si>
    <t>Initial wafer mass</t>
  </si>
  <si>
    <t>Final wafer mass</t>
  </si>
  <si>
    <t>Silicon</t>
  </si>
  <si>
    <t>Polysilicon</t>
  </si>
  <si>
    <t>Silicon dioxide</t>
  </si>
  <si>
    <t>Number of iterations along wafer process flow</t>
  </si>
  <si>
    <t>Number of processed wafer per process pass</t>
  </si>
  <si>
    <t>Methanol</t>
  </si>
  <si>
    <t>Ethane</t>
  </si>
  <si>
    <t>Particles emission</t>
  </si>
  <si>
    <t>Output product</t>
  </si>
  <si>
    <t>Data sources</t>
  </si>
  <si>
    <t>[2011PRA], [2002WIL], [2012BOY], [2009KRI]</t>
  </si>
  <si>
    <t>Estimated growth rate</t>
  </si>
  <si>
    <t>µm/h</t>
  </si>
  <si>
    <t>Def. / Hypotheses</t>
  </si>
  <si>
    <t>Hydrogen fluoride / Fluorhydric acid (50 vol.%)</t>
  </si>
  <si>
    <t>Step cut blade sawing process</t>
  </si>
  <si>
    <t>kWh / wafer</t>
  </si>
  <si>
    <t>Final wafer thickness</t>
  </si>
  <si>
    <t>µm</t>
  </si>
  <si>
    <t>[2003EVE]</t>
  </si>
  <si>
    <t>[2000 - 20000]</t>
  </si>
  <si>
    <t>µm/s</t>
  </si>
  <si>
    <t>Process hypothesis</t>
  </si>
  <si>
    <t>Process hypotheses</t>
  </si>
  <si>
    <t>PHOTOLITHOGRAPHY</t>
  </si>
  <si>
    <t>Process pressure</t>
  </si>
  <si>
    <t>Process temperature</t>
  </si>
  <si>
    <t>°C</t>
  </si>
  <si>
    <t>nm/min</t>
  </si>
  <si>
    <t>[350 - 600]</t>
  </si>
  <si>
    <t>[2018BAP]</t>
  </si>
  <si>
    <t>mbar</t>
  </si>
  <si>
    <t>[10-6 - 10-3]</t>
  </si>
  <si>
    <t>Target material: Al</t>
  </si>
  <si>
    <t>Target material: Ti</t>
  </si>
  <si>
    <t>mm/s</t>
  </si>
  <si>
    <r>
      <t xml:space="preserve">CH1: Z1+Z2 sawing / CH2: Z1+Z2 sawing / Dual-spindle equipment </t>
    </r>
    <r>
      <rPr>
        <sz val="11"/>
        <rFont val="Calibri"/>
        <family val="2"/>
      </rPr>
      <t>→</t>
    </r>
    <r>
      <rPr>
        <sz val="9.35"/>
        <rFont val="Calibri"/>
        <family val="2"/>
      </rPr>
      <t xml:space="preserve"> </t>
    </r>
    <r>
      <rPr>
        <sz val="11"/>
        <rFont val="Calibri"/>
        <family val="2"/>
      </rPr>
      <t>simultaneous Z1 &amp; Z2 sawing is possible</t>
    </r>
  </si>
  <si>
    <t>Process &amp; equipment hypotheses</t>
  </si>
  <si>
    <t>nm</t>
  </si>
  <si>
    <t>Oxygen plasma to generate radicals</t>
  </si>
  <si>
    <t>[0,1 - 2,5]</t>
  </si>
  <si>
    <t>UPW used for grinding water flow, height gauge cooling, and post-grinding wafer rinsing</t>
  </si>
  <si>
    <t>UPW used for polishing water flow, height gauge cooling, and post-polishing wafer rinsing</t>
  </si>
  <si>
    <t>Depends on process conditions &amp; process recipe</t>
  </si>
  <si>
    <t>Oxygen as oxidizing agent for SiO2 growth</t>
  </si>
  <si>
    <t>SiH4 as precursor gas</t>
  </si>
  <si>
    <t>Use of DCS rather than silane (SiH4) improves deposition uniformity and allows closer wf spacing in the chamber</t>
  </si>
  <si>
    <t>High growth rate technique + low deposition temperature prevents pre-deposited metal layers from degradation</t>
  </si>
  <si>
    <t>INPUTS - Scaled to cm² of good die</t>
  </si>
  <si>
    <t>OUTPUTS - Scaled to cm² of good die</t>
  </si>
  <si>
    <t>cm²</t>
  </si>
  <si>
    <t>Processed cm² of good die</t>
  </si>
  <si>
    <t>Tetramethyl ammonium hydroxide</t>
  </si>
  <si>
    <t>µm/min</t>
  </si>
  <si>
    <r>
      <t xml:space="preserve">Chemical reaction : Si + 2 OH- + 2 H2O </t>
    </r>
    <r>
      <rPr>
        <sz val="11"/>
        <color theme="1"/>
        <rFont val="Calibri"/>
        <family val="2"/>
      </rPr>
      <t>→ Si(OH)4 + H2 → SiO2(OH)2 + 2 H2</t>
    </r>
  </si>
  <si>
    <t>Secondary vacuum</t>
  </si>
  <si>
    <t>[0,001 - 1]</t>
  </si>
  <si>
    <t>Initial wafer thickness: 725 µm</t>
  </si>
  <si>
    <t xml:space="preserve">Step 2: Anisotropic etching of the bottom film using fluorine radicals + bias </t>
  </si>
  <si>
    <t>Step 1: Deposition of a fluorinated polymer layer (CFx radicals) acting as a passivation films</t>
  </si>
  <si>
    <t>Step 3: Isotropic etching of the exposed silicon using fluorine radicals</t>
  </si>
  <si>
    <r>
      <t>Deep Reactive Ion Etching (DRIE) for trench creation into silicon</t>
    </r>
    <r>
      <rPr>
        <sz val="9.35"/>
        <color theme="1"/>
        <rFont val="Calibri"/>
        <family val="2"/>
      </rPr>
      <t xml:space="preserve"> </t>
    </r>
  </si>
  <si>
    <t>PHOTOLITHOGRAPHY - AGGREGATED PROCESS MODEL</t>
  </si>
  <si>
    <t>WET CLEAN &amp; RINSE - AGGREGATED PROCESS MODEL</t>
  </si>
  <si>
    <t>Die size X</t>
  </si>
  <si>
    <t>Die size Y</t>
  </si>
  <si>
    <t>mm</t>
  </si>
  <si>
    <t>Gross die (die count per wafer)</t>
  </si>
  <si>
    <t>Good die count per wafer</t>
  </si>
  <si>
    <t>Fab location</t>
  </si>
  <si>
    <t>Europe</t>
  </si>
  <si>
    <t>Clean Dry Air (CDA)</t>
  </si>
  <si>
    <t>INPUTS - Scaled to 1 kg of output Si wafer</t>
  </si>
  <si>
    <t>OUTPUTS - Scaled to 1 kg of output Si wafer</t>
  </si>
  <si>
    <t>Emission to soil</t>
  </si>
  <si>
    <t>1 frontside implant + 1 backside implant</t>
  </si>
  <si>
    <t>PH3 doping gas is dissociated in high-energy e-beams into ionic form and implanted into single-crystal silicon</t>
  </si>
  <si>
    <t>Emission to air, soil, water</t>
  </si>
  <si>
    <t>Waste (solid, liquid, gaseous)</t>
  </si>
  <si>
    <t>Processed good die area</t>
  </si>
  <si>
    <t>Biosphere</t>
  </si>
  <si>
    <t>Fab ISO class</t>
  </si>
  <si>
    <t>Flow description</t>
  </si>
  <si>
    <t>Activity</t>
  </si>
  <si>
    <t>type</t>
  </si>
  <si>
    <t>Exchanges</t>
  </si>
  <si>
    <t>name</t>
  </si>
  <si>
    <t>amount</t>
  </si>
  <si>
    <t>database</t>
  </si>
  <si>
    <t>categories</t>
  </si>
  <si>
    <t>Reference product</t>
  </si>
  <si>
    <t>Ni sulfate</t>
  </si>
  <si>
    <t xml:space="preserve">10101-97-0 </t>
  </si>
  <si>
    <t>Ni chloride</t>
  </si>
  <si>
    <t>Boric acid</t>
  </si>
  <si>
    <t>7791-20-0</t>
  </si>
  <si>
    <t>Single wafer processing</t>
  </si>
  <si>
    <t>Si in other by-products</t>
  </si>
  <si>
    <t>Remaining Si used for solar cells</t>
  </si>
  <si>
    <t>kilowatt hour</t>
  </si>
  <si>
    <t>DE</t>
  </si>
  <si>
    <t>Photolithgraphy steps carried out using UV-photomask in wafer stepper equipment</t>
  </si>
  <si>
    <t>Phenolic resin</t>
  </si>
  <si>
    <t>GLO</t>
  </si>
  <si>
    <t>WET ETCH</t>
  </si>
  <si>
    <t>DRY ETCH</t>
  </si>
  <si>
    <t>IMPLANT</t>
  </si>
  <si>
    <t>WET ETCH - AGGREGATED PROCESS MODEL</t>
  </si>
  <si>
    <t>Equipment electrical power</t>
  </si>
  <si>
    <t>Duration of process step</t>
  </si>
  <si>
    <t xml:space="preserve">Process temperature </t>
  </si>
  <si>
    <t>[800 - 1100]</t>
  </si>
  <si>
    <t>Model description</t>
  </si>
  <si>
    <t>Trench aspect ratio</t>
  </si>
  <si>
    <t>Typical gas DCS / NH3 flow rates ratio: [3 - 6] ; increase of DCS to NH3 mass flow ratio allows to decrease the level of residual stress in the deposited film</t>
  </si>
  <si>
    <t>[0,1 - 1]</t>
  </si>
  <si>
    <t>Database</t>
  </si>
  <si>
    <t>IGBT LCI dtb</t>
  </si>
  <si>
    <t>PVD process temperature is lower wrt LP-CVD process temperature</t>
  </si>
  <si>
    <t>Ambiant gaseous atmosphere</t>
  </si>
  <si>
    <t>Ar / Xe / N2</t>
  </si>
  <si>
    <t>[2018KOL]</t>
  </si>
  <si>
    <t>Acceleration beam energy</t>
  </si>
  <si>
    <t>keV</t>
  </si>
  <si>
    <t>[2013LEE]</t>
  </si>
  <si>
    <t>CMP process sequence:  idling / conditionning / wetting / wf loading / head dropping / polishing / rinsing / wf unloading</t>
  </si>
  <si>
    <t>Film thickness to be removed</t>
  </si>
  <si>
    <t>market group for electricity, medium voltage</t>
  </si>
  <si>
    <t>(Unknown)</t>
  </si>
  <si>
    <t>uncertainty type</t>
  </si>
  <si>
    <t>loc</t>
  </si>
  <si>
    <t>scale</t>
  </si>
  <si>
    <t>market for oxygen, liquid</t>
  </si>
  <si>
    <t>dipropylene glycol monomethyl ether</t>
  </si>
  <si>
    <t>market for nitrogen, liquid</t>
  </si>
  <si>
    <t>market for sulfur hexafluoride, liquid</t>
  </si>
  <si>
    <t>market for phosphane</t>
  </si>
  <si>
    <t>market for ammonia, anhydrous, liquid</t>
  </si>
  <si>
    <t>market for argon, liquid</t>
  </si>
  <si>
    <t>market for nitrous oxide</t>
  </si>
  <si>
    <t>production</t>
  </si>
  <si>
    <t>electricity, medium voltage</t>
  </si>
  <si>
    <t>ecoinvent_3.9.1_cutoff</t>
  </si>
  <si>
    <t>trimethylamine</t>
  </si>
  <si>
    <t>Estimated average material removal rate (MRR)</t>
  </si>
  <si>
    <t>Mass of removed silicon</t>
  </si>
  <si>
    <t>Per wafer processed</t>
  </si>
  <si>
    <t>hexamethyldisilazane</t>
  </si>
  <si>
    <t>phenolic resin</t>
  </si>
  <si>
    <t>nitrogen, liquid</t>
  </si>
  <si>
    <t>oxygen, liquid</t>
  </si>
  <si>
    <t>UPH mass flow rate</t>
  </si>
  <si>
    <t>Glass wafer carrier thickness</t>
  </si>
  <si>
    <t>acetic acid, without water, in 98% solution state</t>
  </si>
  <si>
    <t>sulfur hexafluoride, liquid</t>
  </si>
  <si>
    <t>User input</t>
  </si>
  <si>
    <t>Temporary bonding tape lamination (temperature &amp; pressure-sensitive) for patterned frontside protection &amp; temporary bonding to wafer carrier</t>
  </si>
  <si>
    <t>market for polyester resin, unsaturated</t>
  </si>
  <si>
    <t>phosphane</t>
  </si>
  <si>
    <t>UPW used for cutting water flow and wafer spin-rinsing</t>
  </si>
  <si>
    <t>UPW mass flow rate</t>
  </si>
  <si>
    <t>market for polyvinylchloride, bulk polymerised</t>
  </si>
  <si>
    <t>argon, liquid</t>
  </si>
  <si>
    <t>titanium</t>
  </si>
  <si>
    <t>activated silica</t>
  </si>
  <si>
    <t>Estimated cleanroom area</t>
  </si>
  <si>
    <t>GWP</t>
  </si>
  <si>
    <t>OD</t>
  </si>
  <si>
    <t>HT</t>
  </si>
  <si>
    <t>HTNC</t>
  </si>
  <si>
    <t>PMF</t>
  </si>
  <si>
    <t>IR</t>
  </si>
  <si>
    <t>POF</t>
  </si>
  <si>
    <t>TAP</t>
  </si>
  <si>
    <t>TE</t>
  </si>
  <si>
    <t>FE</t>
  </si>
  <si>
    <t>ME</t>
  </si>
  <si>
    <t>FET</t>
  </si>
  <si>
    <t>WD</t>
  </si>
  <si>
    <t>MRD</t>
  </si>
  <si>
    <t>FD</t>
  </si>
  <si>
    <t>LU</t>
  </si>
  <si>
    <r>
      <t>cm</t>
    </r>
    <r>
      <rPr>
        <vertAlign val="superscript"/>
        <sz val="11"/>
        <color theme="1"/>
        <rFont val="Calibri"/>
        <family val="2"/>
        <scheme val="minor"/>
      </rPr>
      <t>-2</t>
    </r>
  </si>
  <si>
    <t>CTUh</t>
  </si>
  <si>
    <t>CTUe</t>
  </si>
  <si>
    <t>production amount</t>
  </si>
  <si>
    <t>RoW</t>
  </si>
  <si>
    <t>market for hydrogen peroxide, without water, in 50% solution state</t>
  </si>
  <si>
    <t>market for hydrochloric acid, without water, in 30% solution state</t>
  </si>
  <si>
    <t>HMDS - Hexamethylidsilazane - Adhesion promoter → HMDS coating make silicon surface hydrophobic, which leads to better resist coverage &amp; adhesion</t>
  </si>
  <si>
    <t xml:space="preserve">nitrogen, liquid </t>
  </si>
  <si>
    <t>scc</t>
  </si>
  <si>
    <t>Front-end (FE) yield model</t>
  </si>
  <si>
    <t>Model output</t>
  </si>
  <si>
    <t>wfs/month</t>
  </si>
  <si>
    <t>Murphy, triangular</t>
  </si>
  <si>
    <t>I/O type</t>
  </si>
  <si>
    <t>1200 A-thick gate oxide</t>
  </si>
  <si>
    <t>Hypothesis : 200 nm-thick SiN layer</t>
  </si>
  <si>
    <t>Yield models comparison: Boakes et al., 2003</t>
  </si>
  <si>
    <t>Murphy's and Seed's formulas: C. Stapper, 1991</t>
  </si>
  <si>
    <t>Die area: calculated</t>
  </si>
  <si>
    <t>Resulting front-end yields: calculated based on models</t>
  </si>
  <si>
    <t>l/min</t>
  </si>
  <si>
    <t>market for trimethylamine</t>
  </si>
  <si>
    <t>Die area A (cm²)</t>
  </si>
  <si>
    <t>Graphite electrode</t>
  </si>
  <si>
    <t>Edge exclusion width</t>
  </si>
  <si>
    <r>
      <t xml:space="preserve">Defect density </t>
    </r>
    <r>
      <rPr>
        <b/>
        <i/>
        <sz val="11"/>
        <color theme="1"/>
        <rFont val="Calibri"/>
        <family val="2"/>
        <scheme val="minor"/>
      </rPr>
      <t>D</t>
    </r>
    <r>
      <rPr>
        <b/>
        <i/>
        <vertAlign val="subscript"/>
        <sz val="11"/>
        <color theme="1"/>
        <rFont val="Calibri"/>
        <family val="2"/>
        <scheme val="minor"/>
      </rPr>
      <t>0</t>
    </r>
    <r>
      <rPr>
        <b/>
        <sz val="11"/>
        <color theme="1"/>
        <rFont val="Calibri"/>
        <family val="2"/>
        <scheme val="minor"/>
      </rPr>
      <t xml:space="preserve"> (cm</t>
    </r>
    <r>
      <rPr>
        <b/>
        <vertAlign val="superscript"/>
        <sz val="11"/>
        <color theme="1"/>
        <rFont val="Calibri"/>
        <family val="2"/>
        <scheme val="minor"/>
      </rPr>
      <t>-2</t>
    </r>
    <r>
      <rPr>
        <b/>
        <sz val="11"/>
        <color theme="1"/>
        <rFont val="Calibri"/>
        <family val="2"/>
        <scheme val="minor"/>
      </rPr>
      <t>)</t>
    </r>
  </si>
  <si>
    <t>[2003WIL]</t>
  </si>
  <si>
    <t>Equivalent to trench depth in silicon</t>
  </si>
  <si>
    <t>Film thickness to be grown</t>
  </si>
  <si>
    <t>1 µm-thick LOCOS oxide</t>
  </si>
  <si>
    <t>hydrogen, gaseous</t>
  </si>
  <si>
    <t>Thickness to be doped</t>
  </si>
  <si>
    <t xml:space="preserve">Dopant concentration </t>
  </si>
  <si>
    <t>[2023BOA]</t>
  </si>
  <si>
    <t>Deposition efficiency for CVD</t>
  </si>
  <si>
    <t>Chemical reaction: SiH4 → Si + 2H2</t>
  </si>
  <si>
    <t>Chemical reaction: 3 SiH2Cl2 (g) + 4 NH3 (g) → Si3N4 (g) + 6 HCl (g) + 6 H2 (g)</t>
  </si>
  <si>
    <t>silicon tetrahydride</t>
  </si>
  <si>
    <t>High vacuum / Secondary vacuum - PVD vacuum level is lower wrt CVD deposition process</t>
  </si>
  <si>
    <t>aluminium, primary ingot</t>
  </si>
  <si>
    <t>Informations</t>
  </si>
  <si>
    <t>Acronym</t>
  </si>
  <si>
    <t>Method name</t>
  </si>
  <si>
    <t>Impact category</t>
  </si>
  <si>
    <t>Specific context</t>
  </si>
  <si>
    <t>The methods selected for LCA.</t>
  </si>
  <si>
    <t>climate change no LT</t>
  </si>
  <si>
    <t>global warming potential (GWP100) no LT</t>
  </si>
  <si>
    <t>kg CO2 eq</t>
  </si>
  <si>
    <t>ozone depletion no LT</t>
  </si>
  <si>
    <t>ozone depletion potential (ODP) no LT</t>
  </si>
  <si>
    <t>kg CFC-11 eq</t>
  </si>
  <si>
    <t>human toxicity: carcinogenic no LT</t>
  </si>
  <si>
    <t>comparative toxic unit for human (CTUh) no LT</t>
  </si>
  <si>
    <t>human toxicity: non-carcinogenic no LT</t>
  </si>
  <si>
    <t>particulate matter formation no LT</t>
  </si>
  <si>
    <t>impact on human health no LT</t>
  </si>
  <si>
    <t>disease incidence</t>
  </si>
  <si>
    <t>ionising radiation: human health no LT</t>
  </si>
  <si>
    <t>human exposure efficiency relative to u235 no LT</t>
  </si>
  <si>
    <t>kBq U-235 eq</t>
  </si>
  <si>
    <t>tropospheric ozone concentration increase no LT</t>
  </si>
  <si>
    <t>kg NMVOC eq</t>
  </si>
  <si>
    <t>acidification no LT</t>
  </si>
  <si>
    <t>accumulated exceedance (AE) no LT</t>
  </si>
  <si>
    <t>mol H+ eq</t>
  </si>
  <si>
    <t>eutrophication: terrestrial no LT</t>
  </si>
  <si>
    <t>mol N eq</t>
  </si>
  <si>
    <t>eutrophication: freshwater no LT</t>
  </si>
  <si>
    <t>fraction of nutrients reaching freshwater end compartment (P) no LT</t>
  </si>
  <si>
    <t>kg P eq</t>
  </si>
  <si>
    <t>eutrophication: marine no LT</t>
  </si>
  <si>
    <t>fraction of nutrients reaching marine end compartment (N) no LT</t>
  </si>
  <si>
    <t>kg N eq</t>
  </si>
  <si>
    <t>ecotoxicity: freshwater no LT</t>
  </si>
  <si>
    <t>comparative toxic unit for ecosystems (CTUe) no LT</t>
  </si>
  <si>
    <t>water use no LT</t>
  </si>
  <si>
    <t>user deprivation potential (deprivation-weighted water consumption) no LT</t>
  </si>
  <si>
    <t>m3 world eq</t>
  </si>
  <si>
    <t>material resources: metals/minerals no LT</t>
  </si>
  <si>
    <t>abiotic depletion potential (ADP): elements (ultimate reserves) no LT</t>
  </si>
  <si>
    <t>kg Sb eq</t>
  </si>
  <si>
    <t>energy resources: non-renewable no LT</t>
  </si>
  <si>
    <t>abiotic depletion potential (ADP): fossil fuels no LT</t>
  </si>
  <si>
    <t>land use no LT</t>
  </si>
  <si>
    <t>soil quality index no LT</t>
  </si>
  <si>
    <t>Dimensionless</t>
  </si>
  <si>
    <t>nickel, class 1</t>
  </si>
  <si>
    <t>biosphere</t>
  </si>
  <si>
    <t>biosphere3</t>
  </si>
  <si>
    <t>('air')</t>
  </si>
  <si>
    <t>Carbon dioxide, non-fossil</t>
  </si>
  <si>
    <t>Carbon monoxide, non-fossil</t>
  </si>
  <si>
    <t>Nitrogen oxides</t>
  </si>
  <si>
    <t>Methane, non-fossil</t>
  </si>
  <si>
    <t>cubic meter</t>
  </si>
  <si>
    <t>('water', 'surface water')</t>
  </si>
  <si>
    <t>wood chips, dry, measured as dry mass</t>
  </si>
  <si>
    <t>petroleum coke</t>
  </si>
  <si>
    <t>graphite</t>
  </si>
  <si>
    <t>Sulfur dioxide</t>
  </si>
  <si>
    <t>Hydrogen</t>
  </si>
  <si>
    <r>
      <t xml:space="preserve">Wafer diameter </t>
    </r>
    <r>
      <rPr>
        <i/>
        <sz val="11"/>
        <color theme="1"/>
        <rFont val="Calibri"/>
        <family val="2"/>
        <scheme val="minor"/>
      </rPr>
      <t>(D</t>
    </r>
    <r>
      <rPr>
        <i/>
        <vertAlign val="subscript"/>
        <sz val="11"/>
        <color theme="1"/>
        <rFont val="Calibri"/>
        <family val="2"/>
        <scheme val="minor"/>
      </rPr>
      <t>wf</t>
    </r>
    <r>
      <rPr>
        <i/>
        <sz val="11"/>
        <color theme="1"/>
        <rFont val="Calibri"/>
        <family val="2"/>
        <scheme val="minor"/>
      </rPr>
      <t>)</t>
    </r>
  </si>
  <si>
    <r>
      <t>Dicing yield (</t>
    </r>
    <r>
      <rPr>
        <i/>
        <sz val="11"/>
        <color theme="1"/>
        <rFont val="Calibri"/>
        <family val="2"/>
        <scheme val="minor"/>
      </rPr>
      <t>η</t>
    </r>
    <r>
      <rPr>
        <i/>
        <vertAlign val="subscript"/>
        <sz val="11"/>
        <color theme="1"/>
        <rFont val="Calibri"/>
        <family val="2"/>
        <scheme val="minor"/>
      </rPr>
      <t>3</t>
    </r>
    <r>
      <rPr>
        <sz val="11"/>
        <color theme="1"/>
        <rFont val="Calibri"/>
        <family val="2"/>
        <scheme val="minor"/>
      </rPr>
      <t>)</t>
    </r>
  </si>
  <si>
    <t>EF v3.1 no LT</t>
  </si>
  <si>
    <t>sccm</t>
  </si>
  <si>
    <t>Wafer cycle time hypothesis</t>
  </si>
  <si>
    <t>days</t>
  </si>
  <si>
    <t>kWh/m3</t>
  </si>
  <si>
    <t xml:space="preserve">Based on SEMI S23 standard </t>
  </si>
  <si>
    <t>Infrastructure hypotheses</t>
  </si>
  <si>
    <t>m/s</t>
  </si>
  <si>
    <r>
      <t>h</t>
    </r>
    <r>
      <rPr>
        <vertAlign val="superscript"/>
        <sz val="11"/>
        <color theme="1"/>
        <rFont val="Calibri"/>
        <family val="2"/>
        <scheme val="minor"/>
      </rPr>
      <t>-1</t>
    </r>
  </si>
  <si>
    <t>Estimated cleanroom volume</t>
  </si>
  <si>
    <t>W/m²</t>
  </si>
  <si>
    <r>
      <t>m</t>
    </r>
    <r>
      <rPr>
        <vertAlign val="superscript"/>
        <sz val="11"/>
        <color theme="1"/>
        <rFont val="Calibri"/>
        <family val="2"/>
        <scheme val="minor"/>
      </rPr>
      <t>3</t>
    </r>
    <r>
      <rPr>
        <sz val="11"/>
        <color theme="1"/>
        <rFont val="Calibri"/>
        <family val="2"/>
        <scheme val="minor"/>
      </rPr>
      <t>/h</t>
    </r>
  </si>
  <si>
    <t>Re-circulation airflow rate</t>
  </si>
  <si>
    <t>Average cleanroom air velocity</t>
  </si>
  <si>
    <t>Re-circulation air change rate</t>
  </si>
  <si>
    <t>Re-circulation air change rate per hour x volume of cleanroom</t>
  </si>
  <si>
    <t>Assuming infrastructure fab operation 365 days per year, 24 hours per day</t>
  </si>
  <si>
    <t>wfs/year</t>
  </si>
  <si>
    <t>Re-circulation system efficiency</t>
  </si>
  <si>
    <t>Re-circulation airflow rate divided by primary cleanroom floor area - Standard value is [90 fpm / 0,457 m/s] - 1 m is 3,28 feets</t>
  </si>
  <si>
    <r>
      <t>m</t>
    </r>
    <r>
      <rPr>
        <vertAlign val="superscript"/>
        <sz val="11"/>
        <color theme="1"/>
        <rFont val="Calibri"/>
        <family val="2"/>
        <scheme val="minor"/>
      </rPr>
      <t>3</t>
    </r>
    <r>
      <rPr>
        <sz val="11"/>
        <color theme="1"/>
        <rFont val="Calibri"/>
        <family val="2"/>
        <scheme val="minor"/>
      </rPr>
      <t>/m²</t>
    </r>
  </si>
  <si>
    <t>Power Intensity for Re-circulation Air Handler Unit (AHU)</t>
  </si>
  <si>
    <t>Total fan power of re-circulation air handler unit per unit of primary cleanroom floor area - Typically 15 W/ft² - 1 m² is 10,76 ft²</t>
  </si>
  <si>
    <t>Re-circulation air change rate per hour devided by cleanroom area</t>
  </si>
  <si>
    <t>Verified data based on measurements</t>
  </si>
  <si>
    <t>Verified data partly based on assumptions</t>
  </si>
  <si>
    <t>Non-verified data partly based on qualified measurements</t>
  </si>
  <si>
    <t>Qualified estimate</t>
  </si>
  <si>
    <t>Non-qualified estimate</t>
  </si>
  <si>
    <t>Representative relevant data from all sites, over an adequate period</t>
  </si>
  <si>
    <t>Representative relevant data from &gt;50% sites, over an adequate period</t>
  </si>
  <si>
    <t>Representative relevant data from &lt;50% sites, OR &gt;50%, but over shorter period</t>
  </si>
  <si>
    <t>Representative relevant data from 1 sites, OR some sites, but over shorter period</t>
  </si>
  <si>
    <t>Representativeness unknown</t>
  </si>
  <si>
    <t>Data &lt; 3 years old</t>
  </si>
  <si>
    <t>Data &lt; 6 years old</t>
  </si>
  <si>
    <t>Data &lt; 10 years old</t>
  </si>
  <si>
    <t>Data &lt; 15 years old</t>
  </si>
  <si>
    <t>Data &gt; 15 years old</t>
  </si>
  <si>
    <t>Data from area under study</t>
  </si>
  <si>
    <t>Average data from larger area in which area under study is included</t>
  </si>
  <si>
    <t>Data from area with similar production conditions</t>
  </si>
  <si>
    <t>Data from area with slightly similar production conditions</t>
  </si>
  <si>
    <t>Data from unknown OR distinctly different area</t>
  </si>
  <si>
    <t>Data from enterprises, processes and materials under study</t>
  </si>
  <si>
    <t>Data from processes and materials under study, different enterprise</t>
  </si>
  <si>
    <t>Data from processes and materials under study, from different technology</t>
  </si>
  <si>
    <t>Data on related processes and materials</t>
  </si>
  <si>
    <t>Data on related processes on lab scale OR from different technology</t>
  </si>
  <si>
    <t>Rating</t>
  </si>
  <si>
    <t>Matrix pedigree</t>
  </si>
  <si>
    <t>Indiv. std deviation factors (SDGi)</t>
  </si>
  <si>
    <t>Basic error / uncertainty factors (SDGb)</t>
  </si>
  <si>
    <t xml:space="preserve">Scale </t>
  </si>
  <si>
    <t>cutoff</t>
  </si>
  <si>
    <t>R</t>
  </si>
  <si>
    <t>C</t>
  </si>
  <si>
    <t>T</t>
  </si>
  <si>
    <t>F</t>
  </si>
  <si>
    <t>SDGb</t>
  </si>
  <si>
    <t>SDGi1</t>
  </si>
  <si>
    <t>SDGi2</t>
  </si>
  <si>
    <t>SDGi3</t>
  </si>
  <si>
    <t>SDGi4</t>
  </si>
  <si>
    <t>SDGi5</t>
  </si>
  <si>
    <t>Ufb</t>
  </si>
  <si>
    <t xml:space="preserve">Reliability (R) </t>
  </si>
  <si>
    <t xml:space="preserve">Completeness (C) </t>
  </si>
  <si>
    <t>Temporal correlation (T)</t>
  </si>
  <si>
    <t>Geographical correlation (G)</t>
  </si>
  <si>
    <t>Further technological correlation (F)</t>
  </si>
  <si>
    <t>Recirculation airflow type : FFU - Unidirectionnal / laminar flow</t>
  </si>
  <si>
    <t>UPW production yield</t>
  </si>
  <si>
    <t xml:space="preserve">Wastewater recycling yield </t>
  </si>
  <si>
    <t>Total mass of UPW per wafer</t>
  </si>
  <si>
    <t>Total mass of UPW per cm² of good die</t>
  </si>
  <si>
    <t>Total mass of incoming water per wafer</t>
  </si>
  <si>
    <t>Total mass of incoming water per cm² of good die</t>
  </si>
  <si>
    <t>PCW-C : Chiller-Cooled Process Cooling Water</t>
  </si>
  <si>
    <t>Based on SEMI S23 standard</t>
  </si>
  <si>
    <r>
      <t xml:space="preserve">Based on SEMI S23 standard - 0,216 kWh/(m3.K) x </t>
    </r>
    <r>
      <rPr>
        <sz val="11"/>
        <rFont val="Calibri"/>
        <family val="2"/>
      </rPr>
      <t>ΔT + 0,272 (kWh/m3)</t>
    </r>
  </si>
  <si>
    <t>PCW flow rate</t>
  </si>
  <si>
    <t>Volume used per year</t>
  </si>
  <si>
    <t>m3/h</t>
  </si>
  <si>
    <t>Input-output temperature difference</t>
  </si>
  <si>
    <t>h</t>
  </si>
  <si>
    <t xml:space="preserve"> +/- 0,5 °C</t>
  </si>
  <si>
    <t>Cleanroom temperaure</t>
  </si>
  <si>
    <t>Cleanroom RH</t>
  </si>
  <si>
    <t>HVAC system includes air re-circulation system, exhaust system, and make-up air supply to maintain cleanroom temperature &amp; pressure</t>
  </si>
  <si>
    <t>Recirculated airflow rate per kW of electricity used by all re-circulation air fans - Hypothesis : 3000 cfm/kW - 1 cfm is 1,699 m3/h</t>
  </si>
  <si>
    <t>(m3/h)/kW</t>
  </si>
  <si>
    <t>Calculation model provided by Boakes et al.</t>
  </si>
  <si>
    <t>Make-up air unit to condition air from outdoor environment in order to maintain cleanroom temperature and pressure levels stable</t>
  </si>
  <si>
    <t>Average air temperature outisde cleanroom</t>
  </si>
  <si>
    <t>Fan static pressure</t>
  </si>
  <si>
    <t>Pa</t>
  </si>
  <si>
    <t>Fan efficiency</t>
  </si>
  <si>
    <t>g/kg</t>
  </si>
  <si>
    <t>Fan static pressure in MAU</t>
  </si>
  <si>
    <t>Fan efficiency in MAU</t>
  </si>
  <si>
    <r>
      <t>m</t>
    </r>
    <r>
      <rPr>
        <vertAlign val="superscript"/>
        <sz val="11"/>
        <rFont val="Calibri"/>
        <family val="2"/>
        <scheme val="minor"/>
      </rPr>
      <t>3</t>
    </r>
  </si>
  <si>
    <r>
      <t>m</t>
    </r>
    <r>
      <rPr>
        <vertAlign val="superscript"/>
        <sz val="11"/>
        <color theme="1"/>
        <rFont val="Calibri"/>
        <family val="2"/>
        <scheme val="minor"/>
      </rPr>
      <t>3</t>
    </r>
    <r>
      <rPr>
        <sz val="11"/>
        <color theme="1"/>
        <rFont val="Calibri"/>
        <family val="2"/>
        <scheme val="minor"/>
      </rPr>
      <t>/s</t>
    </r>
  </si>
  <si>
    <t>.+/- 5 %</t>
  </si>
  <si>
    <t>Power loading per unit flow rate - Cooling</t>
  </si>
  <si>
    <t>Power loading per unit flow rate - Heating</t>
  </si>
  <si>
    <t>Power loading per unit flow rate - Humidifying</t>
  </si>
  <si>
    <t>Power consumption per unit load - Cooling</t>
  </si>
  <si>
    <t>kW/kW</t>
  </si>
  <si>
    <t>Operating time ratio - Cooling</t>
  </si>
  <si>
    <t>Power consumption per unit load - Heating</t>
  </si>
  <si>
    <t>Operating time ratio - Heating</t>
  </si>
  <si>
    <t>Power consumption per unit load - Humidifying</t>
  </si>
  <si>
    <t>Operating time ratio - Humidifying</t>
  </si>
  <si>
    <t>Make-up airflow rate</t>
  </si>
  <si>
    <t>Exhausts include four types : general exhaust, acid exhaust, alkaline exhaust, solvent exhaust</t>
  </si>
  <si>
    <t>Exhaust airflow rate</t>
  </si>
  <si>
    <t>kWh/day</t>
  </si>
  <si>
    <t>Energy Conversion Factor (ECF)  / Power consumption - Humidifying</t>
  </si>
  <si>
    <t>Energy Conversion Factor (ECF) / Power consumption - Heating</t>
  </si>
  <si>
    <t>Energy Conversion Factor (ECF) / Power consumption - Cooling</t>
  </si>
  <si>
    <t>Energy Conversion Factor (ECF) / Power consumption of MAU fans</t>
  </si>
  <si>
    <t>UTILITIES 2 - PROCESS COOLING WATER (PCW)</t>
  </si>
  <si>
    <t>UPW is produced in the fab through continuous cycling of water through a sequence of filter chambers and a reverse osmosis system</t>
  </si>
  <si>
    <t>PCW is recycled upon return from the process equipment to be cooled using a chiller and cleaned through ion exchange membrane</t>
  </si>
  <si>
    <t>SEMI S23 standard</t>
  </si>
  <si>
    <t>PCW flow rate per equipment</t>
  </si>
  <si>
    <t>UPW supply pressure</t>
  </si>
  <si>
    <t>kg/cm²</t>
  </si>
  <si>
    <t>PCW supply pressure</t>
  </si>
  <si>
    <t>PCW supply pressure : 5 kg/cm²</t>
  </si>
  <si>
    <t>CDA provided by a water-cooled and oil-free centrifugal compressor</t>
  </si>
  <si>
    <t>Standard SEMI S23 : global ECF for air conditionning = 0,287 kWh/kWh</t>
  </si>
  <si>
    <t>Standard SEMI S23 : global ECF for air conditionning = 0,287 kWh/kWh / Cooling power cons. includes chiller, chill-water pump, and cooling tower</t>
  </si>
  <si>
    <t>CDA supply pressure</t>
  </si>
  <si>
    <t>Total electrical energy per cm² of good die</t>
  </si>
  <si>
    <t>Vacuum modelled as a point-of-use infrastructure for each elementary process</t>
  </si>
  <si>
    <t>PCW supply temperature</t>
  </si>
  <si>
    <t>PCW return temperature</t>
  </si>
  <si>
    <t>Global</t>
  </si>
  <si>
    <t>Indiv. Standard deviation factor (SDGi)</t>
  </si>
  <si>
    <t xml:space="preserve">Temporal correlation (T) </t>
  </si>
  <si>
    <t>Further tech. Correlation (F)</t>
  </si>
  <si>
    <t>Reliability (R)</t>
  </si>
  <si>
    <t>Geometric standard deviation (SDGtot / GSD)</t>
  </si>
  <si>
    <t>Wastewater recycling yield</t>
  </si>
  <si>
    <t>Japan</t>
  </si>
  <si>
    <t>JP</t>
  </si>
  <si>
    <t>Emission to air - Definition is unclear</t>
  </si>
  <si>
    <t>By-product - Ignored in allocation by cut-off attributional approach</t>
  </si>
  <si>
    <t>France</t>
  </si>
  <si>
    <t>Germany</t>
  </si>
  <si>
    <t>Austria</t>
  </si>
  <si>
    <t>AT</t>
  </si>
  <si>
    <t>FR</t>
  </si>
  <si>
    <t xml:space="preserve">Singapore </t>
  </si>
  <si>
    <t>SG</t>
  </si>
  <si>
    <t>China</t>
  </si>
  <si>
    <t>CN</t>
  </si>
  <si>
    <t>market for wood chips, dry, measured as dry mass</t>
  </si>
  <si>
    <t>market for petroleum coke</t>
  </si>
  <si>
    <t>market for graphite</t>
  </si>
  <si>
    <t>market for hexamethyldisilazane</t>
  </si>
  <si>
    <t>market for dipropylene glycol monomethyl ether</t>
  </si>
  <si>
    <t>market for phenolic resin</t>
  </si>
  <si>
    <t>market for hydrogen fluoride</t>
  </si>
  <si>
    <t>market for nitric acid, without water, in 50% solution state</t>
  </si>
  <si>
    <t>market for phosphoric acid, industrial grade, without water, in 85% solution state</t>
  </si>
  <si>
    <t>market for acetic acid, without water, in 98% solution state</t>
  </si>
  <si>
    <t>market for hydrogen, gaseous</t>
  </si>
  <si>
    <t>market for silicon tetrahydride</t>
  </si>
  <si>
    <t>market for aluminium, primary, ingot</t>
  </si>
  <si>
    <t>market for tungsten concentrate</t>
  </si>
  <si>
    <t>market for titanium</t>
  </si>
  <si>
    <t>market for activated silica</t>
  </si>
  <si>
    <t>market for nickel, class 1</t>
  </si>
  <si>
    <t>processed good die area</t>
  </si>
  <si>
    <t>The system monitors pH continously and neutralize the waste stream using a caustic (NaOH) and water</t>
  </si>
  <si>
    <t>market for sodium hydroxide, without water, in 50% solution state</t>
  </si>
  <si>
    <t>Single wafer processing, wafer by wafer</t>
  </si>
  <si>
    <t>Nitrogen addition into O2 plasma to increase the concentration of oxygen radicals / [1:10] N2/O2 mass flow ratio</t>
  </si>
  <si>
    <t>[2008HU]</t>
  </si>
  <si>
    <t>Total incoming city water per cm² of good die</t>
  </si>
  <si>
    <t>market group for tap water</t>
  </si>
  <si>
    <t>market for residual wood, dry</t>
  </si>
  <si>
    <r>
      <t xml:space="preserve">Usable wafer area </t>
    </r>
    <r>
      <rPr>
        <i/>
        <sz val="11"/>
        <color theme="1"/>
        <rFont val="Calibri"/>
        <family val="2"/>
        <scheme val="minor"/>
      </rPr>
      <t>(A</t>
    </r>
    <r>
      <rPr>
        <i/>
        <vertAlign val="subscript"/>
        <sz val="11"/>
        <color theme="1"/>
        <rFont val="Calibri"/>
        <family val="2"/>
        <scheme val="minor"/>
      </rPr>
      <t>wf</t>
    </r>
    <r>
      <rPr>
        <i/>
        <sz val="11"/>
        <color theme="1"/>
        <rFont val="Calibri"/>
        <family val="2"/>
        <scheme val="minor"/>
      </rPr>
      <t>)</t>
    </r>
  </si>
  <si>
    <t>market for electricity, medium voltage</t>
  </si>
  <si>
    <t>Processed cm² of Si IGBT good die</t>
  </si>
  <si>
    <t>market for glass tube, borosilicate</t>
  </si>
  <si>
    <t>Vacuum (VAC)</t>
  </si>
  <si>
    <t>activated, silica</t>
  </si>
  <si>
    <t>Activity - Electricity mix</t>
  </si>
  <si>
    <t>European electricity mix</t>
  </si>
  <si>
    <t>US</t>
  </si>
  <si>
    <t>US electricity mix</t>
  </si>
  <si>
    <t>China electricity mix of different provinces</t>
  </si>
  <si>
    <t>German electricity mix</t>
  </si>
  <si>
    <t>French electricity mix</t>
  </si>
  <si>
    <t>market for electricity, medium voltage, renewable energy products</t>
  </si>
  <si>
    <t>CH</t>
  </si>
  <si>
    <t>Swiss renewable electricity mix</t>
  </si>
  <si>
    <t>Location acronym</t>
  </si>
  <si>
    <t>Switzerland</t>
  </si>
  <si>
    <t>Description</t>
  </si>
  <si>
    <t>Global electricity mix, worldwide</t>
  </si>
  <si>
    <t>Japan electricity mix</t>
  </si>
  <si>
    <t>Singapore electricity mix</t>
  </si>
  <si>
    <t>Austrian electricity mix</t>
  </si>
  <si>
    <t>market for silica sand</t>
  </si>
  <si>
    <t>silica sand</t>
  </si>
  <si>
    <t>Temperature setting of MAU</t>
  </si>
  <si>
    <t>Humidity setting of MAU</t>
  </si>
  <si>
    <t>Wafer fab metrics</t>
  </si>
  <si>
    <t>Calculation based on fab dimensioning model provided by Boakes et al.</t>
  </si>
  <si>
    <t>Slurry mass flow rate</t>
  </si>
  <si>
    <t>Nitrogen mass flow rate</t>
  </si>
  <si>
    <t>[1,5 - 2] gallons per minute</t>
  </si>
  <si>
    <t>[4 - 6] cfm</t>
  </si>
  <si>
    <t>Hypothesis</t>
  </si>
  <si>
    <t>CH3COOH</t>
  </si>
  <si>
    <t>BS GLASS</t>
  </si>
  <si>
    <t>PVC FILM</t>
  </si>
  <si>
    <t>POLYESTER FILM</t>
  </si>
  <si>
    <t>Hypothesis : 5 % of total volume of re-circulated air is compensated by MAU</t>
  </si>
  <si>
    <t>Proxy for PGMEA - Propylene glycol monomethyl ether acetate - Solvent used to dilute PR, anti-reflecting properties</t>
  </si>
  <si>
    <t>RF power</t>
  </si>
  <si>
    <r>
      <t xml:space="preserve">Wafer diameter </t>
    </r>
    <r>
      <rPr>
        <i/>
        <sz val="11"/>
        <color theme="1"/>
        <rFont val="Calibri"/>
        <family val="2"/>
        <scheme val="minor"/>
      </rPr>
      <t>(D</t>
    </r>
    <r>
      <rPr>
        <i/>
        <vertAlign val="subscript"/>
        <sz val="11"/>
        <color theme="1"/>
        <rFont val="Calibri"/>
        <family val="2"/>
        <scheme val="minor"/>
      </rPr>
      <t>wf</t>
    </r>
    <r>
      <rPr>
        <sz val="11"/>
        <color theme="1"/>
        <rFont val="Calibri"/>
        <family val="2"/>
        <scheme val="minor"/>
      </rPr>
      <t>, mm)</t>
    </r>
  </si>
  <si>
    <t>mm²</t>
  </si>
  <si>
    <t>De Vries</t>
  </si>
  <si>
    <t xml:space="preserve">Glass wafer carried density </t>
  </si>
  <si>
    <t>wfs/hour</t>
  </si>
  <si>
    <t>wfs/day</t>
  </si>
  <si>
    <t>Film thickness to be deposited</t>
  </si>
  <si>
    <t>Estimated energy required to produce one silicon wafer, semiconductor-grade, sliced &amp; polished</t>
  </si>
  <si>
    <t>RF 13,56 MHz ionization</t>
  </si>
  <si>
    <t>60 minutes full RCA cleaning sequence</t>
  </si>
  <si>
    <t>Wet bench tank size hypothesis</t>
  </si>
  <si>
    <t>Standard clean SC1 - APM (Ammonia/Peroxide mixture) - (1 : NH4OH (29%, aq) : 1 H2O2 (30%, aq) : 5 H2O)</t>
  </si>
  <si>
    <t>Standard clean SC2 - HPM (Hydrochloric/Peroxide mixture) - (1 HCl (37%, aq) : 1 H2O2 (30%, aq) : 5 H2O)</t>
  </si>
  <si>
    <t>Hypothesis : [1:10] N2/O2 mass flow ratio</t>
  </si>
  <si>
    <t>Edge exclusion width (mm)</t>
  </si>
  <si>
    <t>kWh/m²</t>
  </si>
  <si>
    <t xml:space="preserve">Material Removal Rate (MRR) rate </t>
  </si>
  <si>
    <t>50 liters tank capacity / Can host 50 wafers par process iteration</t>
  </si>
  <si>
    <t>Material Removal Rate (MRR)</t>
  </si>
  <si>
    <t>UPW density</t>
  </si>
  <si>
    <t>SC1 density</t>
  </si>
  <si>
    <t>SC2 density</t>
  </si>
  <si>
    <t>Mass of etchant in tank</t>
  </si>
  <si>
    <t>Density of etchant</t>
  </si>
  <si>
    <t>Etchant: SiO2 - (1 HF : 5 NH4F : 5 H2O)</t>
  </si>
  <si>
    <t>TOTAL W/O UPW</t>
  </si>
  <si>
    <t>TOTAL W/ UPW</t>
  </si>
  <si>
    <t>Isotropic SiO2 wet etch process using BHF aqueous solution - Wet etch of SiO2 deposited through PE-CVD</t>
  </si>
  <si>
    <t xml:space="preserve">UF unit for treatment of spent sawing &amp; grinding slurries </t>
  </si>
  <si>
    <t>compressed air production, 800 kPa gauge, &gt;30kW, optimized generation</t>
  </si>
  <si>
    <t>Exhaust pressure: 2 kPa</t>
  </si>
  <si>
    <t>CDA supply pressure : 8 kg/cm² (800 kPa)</t>
  </si>
  <si>
    <t>Kerf width X</t>
  </si>
  <si>
    <t>Kerf width Y</t>
  </si>
  <si>
    <t>Polishing time</t>
  </si>
  <si>
    <t>CMP slurry density</t>
  </si>
  <si>
    <t>methane</t>
  </si>
  <si>
    <t>electricity, medium voltage, renewable energy products</t>
  </si>
  <si>
    <r>
      <t>Probing yield (</t>
    </r>
    <r>
      <rPr>
        <i/>
        <sz val="11"/>
        <color theme="1"/>
        <rFont val="Calibri"/>
        <family val="2"/>
        <scheme val="minor"/>
      </rPr>
      <t>η</t>
    </r>
    <r>
      <rPr>
        <i/>
        <vertAlign val="subscript"/>
        <sz val="11"/>
        <color theme="1"/>
        <rFont val="Calibri"/>
        <family val="2"/>
        <scheme val="minor"/>
      </rPr>
      <t>2</t>
    </r>
    <r>
      <rPr>
        <sz val="11"/>
        <color theme="1"/>
        <rFont val="Calibri"/>
        <family val="2"/>
        <scheme val="minor"/>
      </rPr>
      <t>)</t>
    </r>
  </si>
  <si>
    <t>To exhaust - Quantity calculated by mass balance</t>
  </si>
  <si>
    <t>wastewater from wafer fabrication</t>
  </si>
  <si>
    <t>Molar mass (g/mol)</t>
  </si>
  <si>
    <t>market for sulfuric acid</t>
  </si>
  <si>
    <t>On-site nitrogen production through Pressure Swing Absorption (PSA) type N2 generators - Output N2 purity &gt; 98%</t>
  </si>
  <si>
    <t>Equipment ref. Hydranautics HYDRAcap® MAX 60 module - X m² active surface per module</t>
  </si>
  <si>
    <t>UF efficiency</t>
  </si>
  <si>
    <t>market for hydrogen, gaseous, low pressure</t>
  </si>
  <si>
    <t>N2O - Nitrous oxide - Used for gate oxide growth due to higher quality of the resulting thermal oxide</t>
  </si>
  <si>
    <t>SF6 mass flow rate</t>
  </si>
  <si>
    <t>SF6 density</t>
  </si>
  <si>
    <t>g/cm3</t>
  </si>
  <si>
    <t>O2 mass flow rate</t>
  </si>
  <si>
    <t>O2 density</t>
  </si>
  <si>
    <t>Sputtered material density</t>
  </si>
  <si>
    <t>Sputtering gas density</t>
  </si>
  <si>
    <t>Argon density</t>
  </si>
  <si>
    <t>Hypothesis : single wafer processing</t>
  </si>
  <si>
    <t>Sputtering power</t>
  </si>
  <si>
    <t>Sputtering gas flow rate</t>
  </si>
  <si>
    <t>Sputtering gas: Ar</t>
  </si>
  <si>
    <t>nitrogen</t>
  </si>
  <si>
    <t>carbon dioxide CO2</t>
  </si>
  <si>
    <t>carbon monoxide CO</t>
  </si>
  <si>
    <t>nitrous oxides NOx</t>
  </si>
  <si>
    <t>methanol</t>
  </si>
  <si>
    <t>ethane</t>
  </si>
  <si>
    <t>water H2O</t>
  </si>
  <si>
    <t>sulfur dioxide SO2</t>
  </si>
  <si>
    <t>hydrogen H2</t>
  </si>
  <si>
    <t>silicon dioxide SiO2</t>
  </si>
  <si>
    <t>metal chloride</t>
  </si>
  <si>
    <t>C3H9N</t>
  </si>
  <si>
    <t>PoU system : 5 kW standalone vacuum pump for PVD tool</t>
  </si>
  <si>
    <t>PoU system : 5 kW standalone chiller for PVD tool</t>
  </si>
  <si>
    <t>market for hazardous waste, for incineration</t>
  </si>
  <si>
    <t>kWh/cm²</t>
  </si>
  <si>
    <t>Per cm² of good die</t>
  </si>
  <si>
    <t>Based on wafer throughput estimation</t>
  </si>
  <si>
    <t>WWT</t>
  </si>
  <si>
    <t>CDA</t>
  </si>
  <si>
    <t>VAC</t>
  </si>
  <si>
    <t>UF</t>
  </si>
  <si>
    <t>Si ingot growth process, wafer slicing, wafer polishing</t>
  </si>
  <si>
    <t>RAW WAFER PRODUCTION</t>
  </si>
  <si>
    <t>RAW WAFER PRODUCTION, SLICED &amp; POLISHED</t>
  </si>
  <si>
    <t>Nitrogen density</t>
  </si>
  <si>
    <t>TMAH 2,38 vol.% alkaline developer, used on positive tone photoresist to remove exposed areas from the wafer</t>
  </si>
  <si>
    <t>UPW for alkaline developer</t>
  </si>
  <si>
    <t>Material / Chemical</t>
  </si>
  <si>
    <t>Etchant temperature</t>
  </si>
  <si>
    <t>Spin-etch rotational speed</t>
  </si>
  <si>
    <t>rpm</t>
  </si>
  <si>
    <t>Etching time</t>
  </si>
  <si>
    <t>Rinsing time</t>
  </si>
  <si>
    <t>Spin-etching is used as a surface preparation to remove post-back-grinding backside defects before backside implant and metallization</t>
  </si>
  <si>
    <t>Density of UPW</t>
  </si>
  <si>
    <t>Spin-drying time</t>
  </si>
  <si>
    <t>N2 mass flow rate</t>
  </si>
  <si>
    <t>Density of N2</t>
  </si>
  <si>
    <t>[2018GEN]</t>
  </si>
  <si>
    <t>Etching solution is typically heated up to 85 °C</t>
  </si>
  <si>
    <t>Process sequence hypothesis: wf loading / wf spin-etching / wf spin-rinsing / wf spin-drying / wf unloading</t>
  </si>
  <si>
    <t>Total duration of process step</t>
  </si>
  <si>
    <t>N2 density</t>
  </si>
  <si>
    <t>market for helium</t>
  </si>
  <si>
    <t>He density</t>
  </si>
  <si>
    <t>He mass flow rate</t>
  </si>
  <si>
    <t>Duration of purging step</t>
  </si>
  <si>
    <t>helium</t>
  </si>
  <si>
    <t>market for boron trifluoride</t>
  </si>
  <si>
    <t>N-doped areas</t>
  </si>
  <si>
    <t>PoU system : 5 kW standalone chiller for implanter</t>
  </si>
  <si>
    <t>PH3 mass flow rate</t>
  </si>
  <si>
    <t>°C/s</t>
  </si>
  <si>
    <t>PH3 density</t>
  </si>
  <si>
    <t>BF3 mass flow rate</t>
  </si>
  <si>
    <t>boron trifluoride</t>
  </si>
  <si>
    <t>BF3 - Boron trifluoride</t>
  </si>
  <si>
    <t>Si</t>
  </si>
  <si>
    <t>PolySi</t>
  </si>
  <si>
    <t>BPSG</t>
  </si>
  <si>
    <t>Aluminium</t>
  </si>
  <si>
    <t>Adhesive bonding tape thickness</t>
  </si>
  <si>
    <t>Adhesive bonding tape density</t>
  </si>
  <si>
    <t>SiN</t>
  </si>
  <si>
    <t>Silicon nitride</t>
  </si>
  <si>
    <t>Mass of material to be deposited per wafer</t>
  </si>
  <si>
    <t>kg/mol</t>
  </si>
  <si>
    <t>NH3 - Ammonia</t>
  </si>
  <si>
    <t>PoU system : 5 kW standalone vacuum pump for LP-CVD tool</t>
  </si>
  <si>
    <t>PoU system : 5 kW standalone chiller for LP-CVD tool</t>
  </si>
  <si>
    <t>Vertical or horizontal hot wall LP-CVD furnace</t>
  </si>
  <si>
    <t>[width : length] aspect ratio</t>
  </si>
  <si>
    <t>[1 : 5]</t>
  </si>
  <si>
    <t>Purging time</t>
  </si>
  <si>
    <t>Deposition time</t>
  </si>
  <si>
    <t>Total process step duration</t>
  </si>
  <si>
    <t>Deposition of inter-metal SiO2 dielectric layers through cathode-type plasma enhanced (PE)-CVD</t>
  </si>
  <si>
    <t>Chemical reaction: SiH4 + O2 → SiO2 + 2 H2</t>
  </si>
  <si>
    <t>SiH4 - ecoinvent proxy for dichlorosilane (DCS, SiH2Cl2)</t>
  </si>
  <si>
    <t>Tungsten hexafluoride</t>
  </si>
  <si>
    <t>Nickel density</t>
  </si>
  <si>
    <t>A/h</t>
  </si>
  <si>
    <t>g/mol</t>
  </si>
  <si>
    <t>kg/l</t>
  </si>
  <si>
    <t>Physical state</t>
  </si>
  <si>
    <t>market for trifluoromethane</t>
  </si>
  <si>
    <t>CHF3 mass flow rate</t>
  </si>
  <si>
    <t>CHF3 density</t>
  </si>
  <si>
    <t>PoU system : 5 kW standalone vacuum pump</t>
  </si>
  <si>
    <t>PoU system : 5 kW standalone chiller</t>
  </si>
  <si>
    <t>Ashing time</t>
  </si>
  <si>
    <t>10 000</t>
  </si>
  <si>
    <t>polyester resin, unsaturated</t>
  </si>
  <si>
    <t>glass tube, borosilicate</t>
  </si>
  <si>
    <t>polyvinylchloride, bulk polymerised</t>
  </si>
  <si>
    <t>WAFER FAB - AGGREGATED MODEL</t>
  </si>
  <si>
    <t>Tap water - AWN</t>
  </si>
  <si>
    <t>NaOH - AWN</t>
  </si>
  <si>
    <t>Electrical energy - MAU</t>
  </si>
  <si>
    <t>Electrical energy - EXH</t>
  </si>
  <si>
    <t>Electrical energy - AWN</t>
  </si>
  <si>
    <t>Mass of incoming water per kg of UPW produced</t>
  </si>
  <si>
    <t>Tap water - PCW</t>
  </si>
  <si>
    <t>Electrical energy - PCW</t>
  </si>
  <si>
    <t>Compressed air - CDA</t>
  </si>
  <si>
    <t>CDA consumption per wafer</t>
  </si>
  <si>
    <t>Electrical energy - VAC</t>
  </si>
  <si>
    <t>Electrical energy - RCU</t>
  </si>
  <si>
    <t xml:space="preserve">AWN station capacity </t>
  </si>
  <si>
    <t>Electrical energy required per cm² of good die, assuming AWN operation 365 days per year / 24 h per day</t>
  </si>
  <si>
    <t>hazardous waste, for incineration</t>
  </si>
  <si>
    <t>tap water</t>
  </si>
  <si>
    <t>sodium hydroxide, without water, in 50% solution state</t>
  </si>
  <si>
    <t>compressed air, 800 kPa gauge</t>
  </si>
  <si>
    <t>100 000</t>
  </si>
  <si>
    <r>
      <t>Air change rate (h</t>
    </r>
    <r>
      <rPr>
        <vertAlign val="superscript"/>
        <sz val="11"/>
        <color theme="1"/>
        <rFont val="Calibri"/>
        <family val="2"/>
        <scheme val="minor"/>
      </rPr>
      <t>-1</t>
    </r>
    <r>
      <rPr>
        <sz val="11"/>
        <color theme="1"/>
        <rFont val="Calibri"/>
        <family val="2"/>
        <scheme val="minor"/>
      </rPr>
      <t>)</t>
    </r>
  </si>
  <si>
    <t>Wafer fab ISO class (ISO 14644-1)</t>
  </si>
  <si>
    <t>Cleanroom Class</t>
  </si>
  <si>
    <t>Re-circulation airflow rate divided by primary cleanroom volume</t>
  </si>
  <si>
    <t>Fab area</t>
  </si>
  <si>
    <t>Corresponding ecoinvent proxy: industrial gases production, cryogenic air separation, RER</t>
  </si>
  <si>
    <t>Defect density: estimated</t>
  </si>
  <si>
    <t>Model name</t>
  </si>
  <si>
    <t>Murphy's, triangular</t>
  </si>
  <si>
    <r>
      <t>Y</t>
    </r>
    <r>
      <rPr>
        <b/>
        <vertAlign val="subscript"/>
        <sz val="11"/>
        <color theme="1"/>
        <rFont val="Calibri"/>
        <family val="2"/>
        <scheme val="minor"/>
      </rPr>
      <t>FE</t>
    </r>
    <r>
      <rPr>
        <b/>
        <sz val="11"/>
        <color theme="1"/>
        <rFont val="Calibri"/>
        <family val="2"/>
        <scheme val="minor"/>
      </rPr>
      <t xml:space="preserve"> (%)</t>
    </r>
  </si>
  <si>
    <t>Output yield</t>
  </si>
  <si>
    <t>Output graphs</t>
  </si>
  <si>
    <t>Triangular defect distribution</t>
  </si>
  <si>
    <t>Murphy's, rectangular</t>
  </si>
  <si>
    <t>Rectangular defect distribution</t>
  </si>
  <si>
    <t>Sources</t>
  </si>
  <si>
    <t>Seed</t>
  </si>
  <si>
    <t>DIE COUNT MODEL</t>
  </si>
  <si>
    <t>Wafer diameter (mm)</t>
  </si>
  <si>
    <t>Die size X (mm)</t>
  </si>
  <si>
    <t>Die size Y (mm)</t>
  </si>
  <si>
    <t>Die Count per Wafer (DPW)</t>
  </si>
  <si>
    <t>Die area (AD, mm²)</t>
  </si>
  <si>
    <t>Eq. die dim (LD, mm)</t>
  </si>
  <si>
    <t>Corr. Factor (Fcorr)</t>
  </si>
  <si>
    <t>Wafer radius, incl. edge excl. (mm)</t>
  </si>
  <si>
    <t>Edge excl. width (mm)</t>
  </si>
  <si>
    <t>Kerf line X (mm)</t>
  </si>
  <si>
    <t>Kerf line Y (mm)</t>
  </si>
  <si>
    <t>treatment of spent sawing slurry from Si-wafer cutting</t>
  </si>
  <si>
    <t>air separation, cryogenic</t>
  </si>
  <si>
    <t>Nitrogen production - N2</t>
  </si>
  <si>
    <t>wfs/week</t>
  </si>
  <si>
    <t>Make-up airflow percentage</t>
  </si>
  <si>
    <t>Fab size estimation based on quantity of tools, tool utilization rate, and tool footprint</t>
  </si>
  <si>
    <r>
      <t>Fab size estimation (A</t>
    </r>
    <r>
      <rPr>
        <b/>
        <vertAlign val="subscript"/>
        <sz val="11"/>
        <color theme="1"/>
        <rFont val="Calibri"/>
        <family val="2"/>
        <scheme val="minor"/>
      </rPr>
      <t>fab</t>
    </r>
    <r>
      <rPr>
        <b/>
        <sz val="11"/>
        <color theme="1"/>
        <rFont val="Calibri"/>
        <family val="2"/>
        <scheme val="minor"/>
      </rPr>
      <t>, m²)</t>
    </r>
  </si>
  <si>
    <t>Tool Quantity</t>
  </si>
  <si>
    <r>
      <t>Tool Footprint (A</t>
    </r>
    <r>
      <rPr>
        <b/>
        <vertAlign val="subscript"/>
        <sz val="11"/>
        <color theme="1"/>
        <rFont val="Calibri"/>
        <family val="2"/>
        <scheme val="minor"/>
      </rPr>
      <t>tool</t>
    </r>
    <r>
      <rPr>
        <b/>
        <sz val="11"/>
        <color theme="1"/>
        <rFont val="Calibri"/>
        <family val="2"/>
        <scheme val="minor"/>
      </rPr>
      <t>, m²)</t>
    </r>
  </si>
  <si>
    <t>Poisson</t>
  </si>
  <si>
    <t>Yield model</t>
  </si>
  <si>
    <t>Murphy, rectangular</t>
  </si>
  <si>
    <t>Die area (cm²)</t>
  </si>
  <si>
    <r>
      <t>Defect density (cm</t>
    </r>
    <r>
      <rPr>
        <vertAlign val="superscript"/>
        <sz val="11"/>
        <color theme="1"/>
        <rFont val="Calibri"/>
        <family val="2"/>
        <scheme val="minor"/>
      </rPr>
      <t>-2</t>
    </r>
    <r>
      <rPr>
        <sz val="11"/>
        <color theme="1"/>
        <rFont val="Calibri"/>
        <family val="2"/>
        <scheme val="minor"/>
      </rPr>
      <t>)</t>
    </r>
  </si>
  <si>
    <r>
      <t>Front-end manufacturing yield (Y</t>
    </r>
    <r>
      <rPr>
        <vertAlign val="subscript"/>
        <sz val="11"/>
        <color theme="1"/>
        <rFont val="Calibri"/>
        <family val="2"/>
        <scheme val="minor"/>
      </rPr>
      <t>FE</t>
    </r>
    <r>
      <rPr>
        <sz val="11"/>
        <color theme="1"/>
        <rFont val="Calibri"/>
        <family val="2"/>
        <scheme val="minor"/>
      </rPr>
      <t>, %)</t>
    </r>
  </si>
  <si>
    <t>FRONT-END YIELD MODELS</t>
  </si>
  <si>
    <t>Cleanroom air change rate</t>
  </si>
  <si>
    <t>Oxidation time</t>
  </si>
  <si>
    <t>Ramp-up time</t>
  </si>
  <si>
    <t>2 minutes purging time</t>
  </si>
  <si>
    <t>Hydrogen mass consumption</t>
  </si>
  <si>
    <t>Annealing time</t>
  </si>
  <si>
    <t>1 minute purging time</t>
  </si>
  <si>
    <t>Temperature gradient</t>
  </si>
  <si>
    <t>TOTAL ELECTRICAL INPUT</t>
  </si>
  <si>
    <t>CLEANROOM FACILITIES &amp; INFRASTRUCTURES</t>
  </si>
  <si>
    <t>kWh - Per wafer</t>
  </si>
  <si>
    <t>kWh/cm² - Per cm² of good die</t>
  </si>
  <si>
    <t>ION IMPLANT</t>
  </si>
  <si>
    <t>HVAC - RCU</t>
  </si>
  <si>
    <t>HVAC - MAU</t>
  </si>
  <si>
    <t>HVAC - EXH</t>
  </si>
  <si>
    <t>kg/cm² - Per cm² of good die</t>
  </si>
  <si>
    <t>kg - Per wafer</t>
  </si>
  <si>
    <t>UPW input</t>
  </si>
  <si>
    <t xml:space="preserve">Other chemical / material input </t>
  </si>
  <si>
    <t xml:space="preserve">Total chemical / material input </t>
  </si>
  <si>
    <t>PVC</t>
  </si>
  <si>
    <t>Frame diameter</t>
  </si>
  <si>
    <t>Dicing tape thickness</t>
  </si>
  <si>
    <t>Dicing tape density</t>
  </si>
  <si>
    <t>PE</t>
  </si>
  <si>
    <r>
      <t>Density (kg/m</t>
    </r>
    <r>
      <rPr>
        <b/>
        <vertAlign val="superscript"/>
        <sz val="10"/>
        <rFont val="Arial"/>
        <family val="2"/>
      </rPr>
      <t>3</t>
    </r>
    <r>
      <rPr>
        <b/>
        <sz val="10"/>
        <rFont val="Arial"/>
        <family val="2"/>
      </rPr>
      <t>)</t>
    </r>
  </si>
  <si>
    <t>120 µm sawing street width / 60 µm kerf width</t>
  </si>
  <si>
    <t>PR film thickness to be etched</t>
  </si>
  <si>
    <t>INFRA 1 - HVAC / RE-CIRCULATION AIR UNIT (RCU)</t>
  </si>
  <si>
    <t>INFRA 2 - HVAC / MAKE-UP AIR UNIT (MAU)</t>
  </si>
  <si>
    <t>INFRA 3 - HVAC / EXHAUSTS (EXH)</t>
  </si>
  <si>
    <t>INFRA 4 - WET SCRUBBER (SCR)</t>
  </si>
  <si>
    <t>INFRA 5 - ACID WASTE NEUTRALIZATION (AWN)</t>
  </si>
  <si>
    <t>Density of spent sawing slurry</t>
  </si>
  <si>
    <t>INFRA 6 - ULTRAFILTRATION UNIT (UF)</t>
  </si>
  <si>
    <t>Based on a 4.3 weeks per month-hypothesis</t>
  </si>
  <si>
    <t xml:space="preserve">Overall manufacturing yield </t>
  </si>
  <si>
    <t>Yearly scrapped wafers</t>
  </si>
  <si>
    <t>Wafer thickness</t>
  </si>
  <si>
    <t>market for waste, from silicon wafer production, inorganic</t>
  </si>
  <si>
    <t>Mass of scrapped wafer per 'good' wafer produced</t>
  </si>
  <si>
    <t>Wafer thickness at dicing step</t>
  </si>
  <si>
    <t>Process time per wf (h)</t>
  </si>
  <si>
    <t>Backside CMP</t>
  </si>
  <si>
    <t>UTILITIES 4 - UTILITY NITROGEN (N2)</t>
  </si>
  <si>
    <t>UTILITIES 5 - UTILITY VACUUM (VAC)</t>
  </si>
  <si>
    <t>cm-3</t>
  </si>
  <si>
    <t>Batch processing, per 100 wafers</t>
  </si>
  <si>
    <t>Deposition of topside tungsten plugs and contact layer through cathode-type plasma enhanced (PE)-CVD</t>
  </si>
  <si>
    <t>THERMAL PROCESSES - AGGREGATED PROCESS MODEL</t>
  </si>
  <si>
    <t>100 wafers-batch processing</t>
  </si>
  <si>
    <t>Ar density</t>
  </si>
  <si>
    <t>nm/s</t>
  </si>
  <si>
    <t>Topside + backside Al metal deposition</t>
  </si>
  <si>
    <t>Material Deposition Rate (MDR)</t>
  </si>
  <si>
    <t>Topside + backside Ti metal deposition</t>
  </si>
  <si>
    <t>Silver density</t>
  </si>
  <si>
    <t>Target material: Ni</t>
  </si>
  <si>
    <t>market for silver</t>
  </si>
  <si>
    <t>Target material: Ag</t>
  </si>
  <si>
    <t>Electrical energy consumption by tool in process mode and idle modes (hypothesis : process mode / idle mode ratio = 0,75 / 0,25)</t>
  </si>
  <si>
    <t>Ag</t>
  </si>
  <si>
    <t>Silver</t>
  </si>
  <si>
    <t>Gross die count per wafer</t>
  </si>
  <si>
    <t>Cutting distance per wafer</t>
  </si>
  <si>
    <t>Hypothesis : simultaneous Z1 and Z2 cutting using dual-spindle dicing saw</t>
  </si>
  <si>
    <t>Dicing speed</t>
  </si>
  <si>
    <t>Dicing time</t>
  </si>
  <si>
    <t>UV-sensitive dicing tape for wafer mounting on metal frame / Hypothesis: PVC-based dicing tape</t>
  </si>
  <si>
    <t>silver</t>
  </si>
  <si>
    <t>Batch process (per 25 wafers) but wafer by wafer processing</t>
  </si>
  <si>
    <t>Technical discussions with manufacturers</t>
  </si>
  <si>
    <t>Teardown &amp; process breakdown analysis</t>
  </si>
  <si>
    <t>ecoinvent proxy for bonding tape</t>
  </si>
  <si>
    <t>ecoinvent proxy for glass wafer carrier</t>
  </si>
  <si>
    <t>Average MRR achieved through coarse + fine grinding</t>
  </si>
  <si>
    <t>Full-automatic wafer bonder</t>
  </si>
  <si>
    <t>Mass fraction of SiO2 in CMP slurry</t>
  </si>
  <si>
    <t>Mass fraction of H2O2 in CMP slurry</t>
  </si>
  <si>
    <t>Mass fraction of UPW in CMP slurry</t>
  </si>
  <si>
    <t xml:space="preserve">Activated silica for CMP slurry composition </t>
  </si>
  <si>
    <t xml:space="preserve">Hydrogen peroxide as oxidizer for CMP slurry composition </t>
  </si>
  <si>
    <t xml:space="preserve">UPW used for slurry composition </t>
  </si>
  <si>
    <t>Full-automatic CMP tool</t>
  </si>
  <si>
    <t>FEoL / BEoL</t>
  </si>
  <si>
    <t>Photomask level</t>
  </si>
  <si>
    <t>Process step description</t>
  </si>
  <si>
    <t>Equipment type</t>
  </si>
  <si>
    <t>Step duration per batch (s)</t>
  </si>
  <si>
    <t>Batch size (nb of wf)</t>
  </si>
  <si>
    <t>Max thermal budget (°C)</t>
  </si>
  <si>
    <t>FEoL &amp; BEoL</t>
  </si>
  <si>
    <t>Wafer optical inspection</t>
  </si>
  <si>
    <t>HF-based metal contamination check by sampling (n times) → ignored</t>
  </si>
  <si>
    <t>Wafer labelling</t>
  </si>
  <si>
    <t>Alignment marks for UV-stepper</t>
  </si>
  <si>
    <t>Dry etching - Silicon (Si)</t>
  </si>
  <si>
    <t>Fluorine-based etching of silicon (SF6, O2) for alignment marks (500 nm-deep)</t>
  </si>
  <si>
    <t>Inductively Coupled Plasma - Reactive Ion Etch (ICP-RIE) reactor</t>
  </si>
  <si>
    <t>43,6 kW</t>
  </si>
  <si>
    <t>[150 - 250]  °C</t>
  </si>
  <si>
    <t>Photoresist (PR) dry stripping</t>
  </si>
  <si>
    <t>Dry PR stripping through O2 plasma ashing</t>
  </si>
  <si>
    <t>120 s</t>
  </si>
  <si>
    <t>85 °C (RCA clean)</t>
  </si>
  <si>
    <t>FEoL</t>
  </si>
  <si>
    <t>Guard rings processing</t>
  </si>
  <si>
    <t>Dry thermal oxidation - SiO2 (scattering oxide)</t>
  </si>
  <si>
    <t>High temp. horizontal or vertical tubular vacuum furnace</t>
  </si>
  <si>
    <t>8520 s</t>
  </si>
  <si>
    <t>15 kW</t>
  </si>
  <si>
    <t>900 °C</t>
  </si>
  <si>
    <t xml:space="preserve">P-type implantation </t>
  </si>
  <si>
    <t>180 s</t>
  </si>
  <si>
    <t>25 kW</t>
  </si>
  <si>
    <t>RT</t>
  </si>
  <si>
    <t>Photoresist (PR) wet stripping</t>
  </si>
  <si>
    <t>Wet PR stripping through wet Piranha etch (3:1 H2SO4, H2O2 30 vol.% mixture)</t>
  </si>
  <si>
    <t>Second P-type 'field stop' implantation for guard rings</t>
  </si>
  <si>
    <t>Deposition of thin SiN layer used as hard oxidation mask through LP-CVD</t>
  </si>
  <si>
    <t>14,6 kW</t>
  </si>
  <si>
    <t>850 °C</t>
  </si>
  <si>
    <t xml:space="preserve">Dry Etching - Silicon Nitride (SiN) </t>
  </si>
  <si>
    <t>Opening of the deposited SiN layer through dry etching for subsequent thermal oxidation</t>
  </si>
  <si>
    <t>4920 s</t>
  </si>
  <si>
    <t>[800 - 1100]  °C</t>
  </si>
  <si>
    <t>Removal of SiN layer through wet etching (hot HNO3)</t>
  </si>
  <si>
    <t>P-body implant</t>
  </si>
  <si>
    <t>P-body frontside implant</t>
  </si>
  <si>
    <t>Thermal annealing</t>
  </si>
  <si>
    <t>P+ implant</t>
  </si>
  <si>
    <t>P+ frontside implant for contacts</t>
  </si>
  <si>
    <t>N implant 
&amp; channel stopper</t>
  </si>
  <si>
    <t xml:space="preserve">N-type implantation </t>
  </si>
  <si>
    <t>PE-CVD - SiO2 (hard mask)</t>
  </si>
  <si>
    <t>Cathode-type plasma enhanced (PE)-CVD chamber</t>
  </si>
  <si>
    <t>[150 - 350] °C</t>
  </si>
  <si>
    <t>Dry etching SiO2</t>
  </si>
  <si>
    <t>Opening of the deposited SiO2 hard mask through dry etching for subsequent trench processing</t>
  </si>
  <si>
    <t>Dry Etching Silicon (trench processing)</t>
  </si>
  <si>
    <t>Deep Reactive Ion Etch (DRIE) reactor</t>
  </si>
  <si>
    <t>Wet etch of deposited SiO2</t>
  </si>
  <si>
    <t>Dry thermal oxidation - Gate oxide (SiO2)</t>
  </si>
  <si>
    <t>Thermal growth of gate oxide through dry oxidation</t>
  </si>
  <si>
    <t>LP-CVD - Polysilicon (doped PolySi)</t>
  </si>
  <si>
    <t>Trench filling and deposition of doped Polysilicon through LP-CVD (equivalent to a 1 µm-thick layer)</t>
  </si>
  <si>
    <t>Hot wall LP-CVD vacuum furnace</t>
  </si>
  <si>
    <t>PolySi Planarization</t>
  </si>
  <si>
    <t>Planarization of doped PolySi, inter-trench SiO2, and edge LOCOS layer through CMP</t>
  </si>
  <si>
    <t>300 s</t>
  </si>
  <si>
    <t>9 kW</t>
  </si>
  <si>
    <t>Post-CMP wet scrubbing</t>
  </si>
  <si>
    <t>Wafer decontamination after CMP step (UPW + NH3)</t>
  </si>
  <si>
    <t>LP-CVD - Field oxide (SiO2)</t>
  </si>
  <si>
    <t>PE-CVD - ILD oxide (SiO2)</t>
  </si>
  <si>
    <t>[150 -350] °C</t>
  </si>
  <si>
    <t xml:space="preserve">Dry Etching - Oxide (SiO2) </t>
  </si>
  <si>
    <t>Opening of SiO2 field oxide and ILD layers for gate / emitter contacts</t>
  </si>
  <si>
    <t>BEoL</t>
  </si>
  <si>
    <t>Titanium Ti (metal liner, 
salicide process)</t>
  </si>
  <si>
    <t>Sputtering PVD - Titanium (Ti)</t>
  </si>
  <si>
    <t>Deposition of topside Ti metal liner</t>
  </si>
  <si>
    <t>34 kW</t>
  </si>
  <si>
    <t>[350 - 600] °C</t>
  </si>
  <si>
    <t>RTA annealing for Ti reaction with P &amp; N contact regions</t>
  </si>
  <si>
    <t>3 kW</t>
  </si>
  <si>
    <t>RTA annealing for topside ohmic contact creation</t>
  </si>
  <si>
    <t>Image revearsal mask</t>
  </si>
  <si>
    <t>Tungsten W (metal plugs)</t>
  </si>
  <si>
    <t>PE-CVD - Tungsten (W)</t>
  </si>
  <si>
    <t>Metal CMP - Tungsten (W)</t>
  </si>
  <si>
    <t>Post-W deposition planarization through CMP</t>
  </si>
  <si>
    <t>Post-CMP wet brush scrubbing for wafer decontamination</t>
  </si>
  <si>
    <t>Aluminum Al (topside metal)</t>
  </si>
  <si>
    <t>Evaporation PVD - Aluminium (Al)</t>
  </si>
  <si>
    <t>Deposition of thick topside Al layer for wire-bonding compatibility</t>
  </si>
  <si>
    <t>Lift-off process - Metal gets wet stripped (DMSO solvent + Ultrasonic)                                                                                                                     with the resist and stays, where the resist was developed</t>
  </si>
  <si>
    <t>12 kW</t>
  </si>
  <si>
    <t>RTA annealing for topside Al metallization structuring</t>
  </si>
  <si>
    <t>Hard baking</t>
  </si>
  <si>
    <t>Hardening of topside polyimide passivation</t>
  </si>
  <si>
    <t>Baking oven</t>
  </si>
  <si>
    <t>Temporary bonding</t>
  </si>
  <si>
    <t>Wafer bonding to glass carrier for subsequent backside processing</t>
  </si>
  <si>
    <t>14,4 kW</t>
  </si>
  <si>
    <t>Coarse + fine back-grinding process</t>
  </si>
  <si>
    <t>Isotropic wafer backside spin-etch</t>
  </si>
  <si>
    <t>Isotropic wafer backside spin-etch using HNA mixture (HF, HNO3, CH3COOH) for backside stress release</t>
  </si>
  <si>
    <t>Spin-etcher</t>
  </si>
  <si>
    <t>3,3 kW</t>
  </si>
  <si>
    <t>N-type implantation</t>
  </si>
  <si>
    <t>Backside N-type implantation</t>
  </si>
  <si>
    <t>P-type implantation</t>
  </si>
  <si>
    <t>Backside P-type implantation</t>
  </si>
  <si>
    <t>Laser annealing</t>
  </si>
  <si>
    <t>Laser annealing equipment</t>
  </si>
  <si>
    <t>&lt; 100 °C</t>
  </si>
  <si>
    <t>Dry etching Oxide-SiO2</t>
  </si>
  <si>
    <t>Removal of the deposited thin SiO2 scattering oxide layer</t>
  </si>
  <si>
    <t>Sputtering PVD - Aluminum (Al)</t>
  </si>
  <si>
    <t>Sputtering PVD - Nickel (Ni)</t>
  </si>
  <si>
    <t>Sputtering PVD - Silver (Ag)</t>
  </si>
  <si>
    <t>Backside ohmic contact creation  through laser annealing</t>
  </si>
  <si>
    <t>Wafer debonding</t>
  </si>
  <si>
    <t>Wafer debonding from glass carrier</t>
  </si>
  <si>
    <t>Wafer-debonder</t>
  </si>
  <si>
    <t>Wafer-mounting</t>
  </si>
  <si>
    <t>Wafer mounting on dicing frame</t>
  </si>
  <si>
    <t>Wafer-mounter</t>
  </si>
  <si>
    <t>11,8 kW</t>
  </si>
  <si>
    <t>Wafer-level static electrical parameters testing</t>
  </si>
  <si>
    <t>6 kW</t>
  </si>
  <si>
    <t>85 °C</t>
  </si>
  <si>
    <t>Step cut blade dicing</t>
  </si>
  <si>
    <t>Die probing</t>
  </si>
  <si>
    <t>Die-level static electrical parameters testing</t>
  </si>
  <si>
    <t>Die-level electrical parameters testing</t>
  </si>
  <si>
    <t>KGD (Known Good Die) die prober</t>
  </si>
  <si>
    <t>4 s per die</t>
  </si>
  <si>
    <t>Included sub-process steps</t>
  </si>
  <si>
    <t>Spin-coating</t>
  </si>
  <si>
    <t>UV-exposure</t>
  </si>
  <si>
    <t>Development</t>
  </si>
  <si>
    <t>Spin-rinse drying</t>
  </si>
  <si>
    <t>Wet scrubbing</t>
  </si>
  <si>
    <t>Spin-etching - Si</t>
  </si>
  <si>
    <t>Dip etching - SiN</t>
  </si>
  <si>
    <t>Dry etching - SiN</t>
  </si>
  <si>
    <t>Dry etching - SiO2</t>
  </si>
  <si>
    <t>Wet thermal oxidation</t>
  </si>
  <si>
    <t>Hard baking (polyimide)</t>
  </si>
  <si>
    <t>Sputtering PVD - Ti</t>
  </si>
  <si>
    <t>Sputtering PVD - Ni</t>
  </si>
  <si>
    <t>Sputtering PVD - Ag</t>
  </si>
  <si>
    <t>LP-CVD - SiN</t>
  </si>
  <si>
    <t>LP-CVD - Doped PolySi</t>
  </si>
  <si>
    <t>LP-CVD - SiO2</t>
  </si>
  <si>
    <t>PE-CVD - SiO2</t>
  </si>
  <si>
    <t>Dielectric CMP - PolySi / Si / SiO2</t>
  </si>
  <si>
    <t>Metal CMP - W</t>
  </si>
  <si>
    <t>Wafer bonding</t>
  </si>
  <si>
    <t>Back-grinding</t>
  </si>
  <si>
    <t>Blade dicing</t>
  </si>
  <si>
    <t>Total number of process steps</t>
  </si>
  <si>
    <t>ml/min</t>
  </si>
  <si>
    <t>Wafer temperature upon ion implantation - Cold implant</t>
  </si>
  <si>
    <t>Evaporation PVD tool</t>
  </si>
  <si>
    <t>Single wafer process step</t>
  </si>
  <si>
    <t>Nitrogen spraying time</t>
  </si>
  <si>
    <t>1,8 kW</t>
  </si>
  <si>
    <t>Hypothesis : 50 nm-thick scattering oxide layer</t>
  </si>
  <si>
    <t>20 minutes ramp-up to oxidation temperature</t>
  </si>
  <si>
    <t>Rapid Thermal Annealing</t>
  </si>
  <si>
    <t>l</t>
  </si>
  <si>
    <t>Wet thermal oxidation + edge P-implants activation &amp; diffusion</t>
  </si>
  <si>
    <t>O2 scc per wafer based on [2003MUR], with a 900 deg. C process temperature</t>
  </si>
  <si>
    <t>20 minutes ramp-up time to oxidation temperature</t>
  </si>
  <si>
    <t>H2 / O2 molar ratio</t>
  </si>
  <si>
    <t>O2 volume consumption</t>
  </si>
  <si>
    <t>O2 molar mass</t>
  </si>
  <si>
    <t>O2 molar quantity</t>
  </si>
  <si>
    <t>H2 molar quantity</t>
  </si>
  <si>
    <t>H2 molar mass</t>
  </si>
  <si>
    <t>H2 density</t>
  </si>
  <si>
    <t>mole</t>
  </si>
  <si>
    <t>O2 consumption per wafer in wet oxidation process - VO2/wf = (10-7 x t²) - (9.10-5 x t) + 26</t>
  </si>
  <si>
    <t>H2 mass consumption per wafer</t>
  </si>
  <si>
    <t>[H2:O2] molar ratio of 2</t>
  </si>
  <si>
    <t xml:space="preserve">H2 - Hydrogen </t>
  </si>
  <si>
    <t>Post-implant activation &amp; diffusion</t>
  </si>
  <si>
    <t>Diffusion vacuum tubular furnace</t>
  </si>
  <si>
    <t>5460 s</t>
  </si>
  <si>
    <t>Deal-Grove model for dry oxidation process - 0,05 µm/h</t>
  </si>
  <si>
    <t>1 hour diffusion annealing time</t>
  </si>
  <si>
    <t>Cooling time</t>
  </si>
  <si>
    <t>T= 1000 °C &gt; 400 °C: 200 K/min, T= 400 °C &gt; 100 °C: 30 K/min</t>
  </si>
  <si>
    <t>Number of spots per wafer</t>
  </si>
  <si>
    <t>Scan speed</t>
  </si>
  <si>
    <t>THERMAL PROCESSES</t>
  </si>
  <si>
    <t>5 frontside implants + 2 backside implants</t>
  </si>
  <si>
    <t>Beam electrical current</t>
  </si>
  <si>
    <t>mA</t>
  </si>
  <si>
    <t>Annealing time for post-implant activation (PIA)</t>
  </si>
  <si>
    <t>PH3 - Phosphane</t>
  </si>
  <si>
    <t>Implantation time</t>
  </si>
  <si>
    <t>PoU system : 10 kW standalone cryogenic vacuum pump for implanter</t>
  </si>
  <si>
    <t>Post-litho control for pattern &amp; layers overlay check → ignored</t>
  </si>
  <si>
    <t>ION IMPLANT - AGGREGATED PROCESS MODEL</t>
  </si>
  <si>
    <t>PHOTOLITHOGRAPHY - UV-EXPOSURE</t>
  </si>
  <si>
    <t xml:space="preserve"> Development using alkaline TMAH-based developer</t>
  </si>
  <si>
    <t>45 kW</t>
  </si>
  <si>
    <t>Spin-coater / developer</t>
  </si>
  <si>
    <t>UV exposure</t>
  </si>
  <si>
    <t>Spin-coating time</t>
  </si>
  <si>
    <t xml:space="preserve">Spin-coating rotational speed </t>
  </si>
  <si>
    <t>Photoresist / photosensitive polyimide (PSPI) passivation density</t>
  </si>
  <si>
    <t>Target final thickness of PR layer</t>
  </si>
  <si>
    <t>Target final thickness of PSPI</t>
  </si>
  <si>
    <t>Initial mass of PR resin to be spin-coated</t>
  </si>
  <si>
    <t>Initial mass of PSPI passivation to be spin-coated</t>
  </si>
  <si>
    <t>Final mass of PR resin to be spin-coated</t>
  </si>
  <si>
    <t>Final mass of PSPI passivation to be spin-coated</t>
  </si>
  <si>
    <t>PR hard baking temperature</t>
  </si>
  <si>
    <t>PR hard baking time</t>
  </si>
  <si>
    <t>Cleaning time</t>
  </si>
  <si>
    <t>1 µm-thick PR layer</t>
  </si>
  <si>
    <t>12 µm-thick final PSPI topside layer</t>
  </si>
  <si>
    <t>UV irradiation wavelength</t>
  </si>
  <si>
    <t>KrF-line UV-stepper</t>
  </si>
  <si>
    <t>PHOTOLITHOGRAPHY - POST-EXPOSURE DEVELOPMENT</t>
  </si>
  <si>
    <t>PSPI hard baking temperature</t>
  </si>
  <si>
    <t>PSPI hard baking time</t>
  </si>
  <si>
    <t>Mass composition of alkaline developer - UPW</t>
  </si>
  <si>
    <t>Mass of alkaline developer used per wafer</t>
  </si>
  <si>
    <t>Mass of PGMEA solvent used per wafer for post-spin-coating edge &amp; backside removal</t>
  </si>
  <si>
    <t>100 ml of alkaline developer used per wafer</t>
  </si>
  <si>
    <t>300 ml of UPW per wafer</t>
  </si>
  <si>
    <t>N2 spin-drying time</t>
  </si>
  <si>
    <t>Development time</t>
  </si>
  <si>
    <t>UPW for spin-rinsing</t>
  </si>
  <si>
    <t>N2 for spin-drying</t>
  </si>
  <si>
    <t>UPW mass per spin-rinsing step</t>
  </si>
  <si>
    <t>UPW spin-rinsing time</t>
  </si>
  <si>
    <t>360 s</t>
  </si>
  <si>
    <t>DRY ETCH - AGGREGATED PROCESS MODEL</t>
  </si>
  <si>
    <t>DRY ETCH - PHOTORESIST DRY STRIPPING (PLASMA ASHING)</t>
  </si>
  <si>
    <t>Wet lift-off - PR + metal stripping</t>
  </si>
  <si>
    <t>Growth rate in wet oxidation is estimated to be 10 times higher compared to dry oxidation</t>
  </si>
  <si>
    <t>Wet etching SiO2</t>
  </si>
  <si>
    <t>PoU system : 5 kW standalone vacuum pump - Vacuum pump for ash evacuation to exhaust and to maintain chamber ready fro process</t>
  </si>
  <si>
    <t>12,8 kW</t>
  </si>
  <si>
    <t>Batch process, per 25 wafers</t>
  </si>
  <si>
    <t>Hypothesis : 1 µm-thick PR film thickness</t>
  </si>
  <si>
    <t>Photoresist (PR) removal through oxygen plasma ashing (dry stripping) - Oxygen radicals are used to oxidize the organic photoresist</t>
  </si>
  <si>
    <t>Dry etching of SiN / SiO2 / Si (alignment marks) using Reactive Ion Etching (RIE) - Fluorine-based etching chemistry using SF6 / O2 gas mixture</t>
  </si>
  <si>
    <t>Material Removal Rate (MRR) - SiN</t>
  </si>
  <si>
    <t>[150 - 250]</t>
  </si>
  <si>
    <t>Film thickness to be removed - SiN</t>
  </si>
  <si>
    <t>Film thickness to be removed - Si</t>
  </si>
  <si>
    <t>Material Removal Rate (MRR) - Si</t>
  </si>
  <si>
    <t>Film thickness to be removed - SiO2</t>
  </si>
  <si>
    <t>Material Removal Rate (MRR) - SiO2</t>
  </si>
  <si>
    <t>[2018GEN] / [OH2014]</t>
  </si>
  <si>
    <t>DRY ETCH - SILICON (Si) / SILICON NITRIDE (SiN) / SILICON DIOXIDE (SiO2)</t>
  </si>
  <si>
    <t>Duration of etching step - SiN</t>
  </si>
  <si>
    <t>Duration of etching step - Si</t>
  </si>
  <si>
    <t>Duration of etching step - SiO2</t>
  </si>
  <si>
    <t>Dry etching - Si (gate/emitter contacts)</t>
  </si>
  <si>
    <t>Opening of Si for gate / emitter contacts</t>
  </si>
  <si>
    <t>Dry etching of SiN layer deposited through LP-CVD for LOCOS process (200 nm)</t>
  </si>
  <si>
    <t>Dry etching of SiO2 hard mask for trench processing (500 nm) + SiO2 layer for gate/emitter contacts opening (220 nm) + SiO2 backside scattering layer (50 nm)</t>
  </si>
  <si>
    <t>Dry etching of Si wafer for alignment marks (500 nm) + Si etching for gate/emitter contacts opening (150 nm)</t>
  </si>
  <si>
    <t>N2 for purging &amp; vacuuming chamber</t>
  </si>
  <si>
    <t>He for purging &amp; vacuuming chamber</t>
  </si>
  <si>
    <t>NF3 mass flow rate</t>
  </si>
  <si>
    <t>NF3 density</t>
  </si>
  <si>
    <t>BF3 density</t>
  </si>
  <si>
    <t>Addition of oxygen into the plasma increases the concentration of fluorine radicals and thus increases the etching rate / O2 for chamber clean after each wafer</t>
  </si>
  <si>
    <t>BOSCH Process: dry chemical etching of structures with steep sidewalls and a high aspect ratio - Fluorine-based etching chemistry using SF6 / CHF3 gas mixture</t>
  </si>
  <si>
    <t>SF6 as feed gas for fluorine-based dry etching process</t>
  </si>
  <si>
    <t>[CHF3 : SF6] gas ratio</t>
  </si>
  <si>
    <t>Trench depth - Si</t>
  </si>
  <si>
    <t>Trench width - Si</t>
  </si>
  <si>
    <t>[5:1]</t>
  </si>
  <si>
    <t>CHF3 used a fluorinated polymerization gas for passivation</t>
  </si>
  <si>
    <t>O2 for chamber clean after each wafer</t>
  </si>
  <si>
    <t>39 s</t>
  </si>
  <si>
    <t>240 s</t>
  </si>
  <si>
    <t>180 °C (hard bake)</t>
  </si>
  <si>
    <t>Material database</t>
  </si>
  <si>
    <t>DRY ETCH - SILICON TRENCH (BOSCH PROCESS)</t>
  </si>
  <si>
    <t>2 hours hold at baking temperature</t>
  </si>
  <si>
    <t>Ramp-up time to baking temperature</t>
  </si>
  <si>
    <t>Ramp-up gradient to baking temperature</t>
  </si>
  <si>
    <t>°C/min</t>
  </si>
  <si>
    <r>
      <t xml:space="preserve">Wafer killer defect density </t>
    </r>
    <r>
      <rPr>
        <i/>
        <sz val="11"/>
        <color theme="1"/>
        <rFont val="Calibri"/>
        <family val="2"/>
        <scheme val="minor"/>
      </rPr>
      <t>(D</t>
    </r>
    <r>
      <rPr>
        <i/>
        <vertAlign val="subscript"/>
        <sz val="11"/>
        <color theme="1"/>
        <rFont val="Calibri"/>
        <family val="2"/>
        <scheme val="minor"/>
      </rPr>
      <t>0</t>
    </r>
    <r>
      <rPr>
        <i/>
        <sz val="11"/>
        <color theme="1"/>
        <rFont val="Calibri"/>
        <family val="2"/>
        <scheme val="minor"/>
      </rPr>
      <t>)</t>
    </r>
  </si>
  <si>
    <t>Mass to be deposited per wafer</t>
  </si>
  <si>
    <t>Mass to be deposited per cm² of good die</t>
  </si>
  <si>
    <t>200 nm-thick backside Ag layer for brazability</t>
  </si>
  <si>
    <t>500 nm-thick backside Ni layer as diffusion barrier</t>
  </si>
  <si>
    <t>150 nm-thick Ti liner on both wafer frontside &amp; backside for metal contacts deposition</t>
  </si>
  <si>
    <t>Full-wafer deposition hypothesis</t>
  </si>
  <si>
    <t>Material Deposition Efficiency (MDE)</t>
  </si>
  <si>
    <t>MDE of PVD accounts for sputtering target wear-out &amp; material loss on the walls of sputtering chamber</t>
  </si>
  <si>
    <t>20 minutes ramp-up time</t>
  </si>
  <si>
    <t>2 minutes deposition time</t>
  </si>
  <si>
    <t>N2 as purging gas</t>
  </si>
  <si>
    <t>Pumping time</t>
  </si>
  <si>
    <t>2 minutes pumping time</t>
  </si>
  <si>
    <t>3 minutes implantation time</t>
  </si>
  <si>
    <t>PH3 as dopant feed gas</t>
  </si>
  <si>
    <t>N2 as purging and processing gas</t>
  </si>
  <si>
    <t>BF3 as dopant feed gas</t>
  </si>
  <si>
    <t>Lateral deposition process to fill the trench - 1 µm-thick equivalent PolySi layer</t>
  </si>
  <si>
    <t>PH3 molar mass</t>
  </si>
  <si>
    <t>N2 molar mass</t>
  </si>
  <si>
    <t>SiH4 molar mass</t>
  </si>
  <si>
    <t>SiH4 density</t>
  </si>
  <si>
    <t xml:space="preserve">RCA clean </t>
  </si>
  <si>
    <t>Piranha clean</t>
  </si>
  <si>
    <t>1500 s</t>
  </si>
  <si>
    <t>SiO2 density</t>
  </si>
  <si>
    <t>SiO2 molar mass</t>
  </si>
  <si>
    <t>Ar as sputtering gas</t>
  </si>
  <si>
    <t>SiH4 to SiO2 molar mass ratio</t>
  </si>
  <si>
    <t>O2 to SiO2 molar mass ratio</t>
  </si>
  <si>
    <t>NH3 density</t>
  </si>
  <si>
    <t>NH3 molar mass</t>
  </si>
  <si>
    <t>NH3 to Si3N4 molar mass ratio</t>
  </si>
  <si>
    <t>SiH2Cl2 density</t>
  </si>
  <si>
    <t>SiH2Cl2 molar mass</t>
  </si>
  <si>
    <t>SiH4 to PolySi molar mass ratio</t>
  </si>
  <si>
    <t>PolySi density</t>
  </si>
  <si>
    <t>PolySi molar mass</t>
  </si>
  <si>
    <t>Material Deposition Rate (MDR) - PolySi</t>
  </si>
  <si>
    <t>Material Deposition Rate (MDR) - SiN</t>
  </si>
  <si>
    <t>Material Deposition Rate (MDR) - SiO2</t>
  </si>
  <si>
    <t>market for argon</t>
  </si>
  <si>
    <t>Deposition of thick SiO2 hard mask for trench processing (500 nm)</t>
  </si>
  <si>
    <t>Deposition of high-quality SiO2 field oxide layer through LP-CVD (250 nm)</t>
  </si>
  <si>
    <t>Wafer electrical testing</t>
  </si>
  <si>
    <t>Die electrical testing</t>
  </si>
  <si>
    <t>Total nb of process steps</t>
  </si>
  <si>
    <t>Equipment electrical power (kW)</t>
  </si>
  <si>
    <t>Hypothesis: SiO2 growth based on a SiH4, O2, H2 gaseous mixture (no TEOS, HMDS, or N2O used) - Chemical reaction: SiH4 + O2 → SiO2 + 2 H2</t>
  </si>
  <si>
    <t>Deposition of SiO2 InterLayer Dielectric (ILD) layer through PE-CVD (250 nm)</t>
  </si>
  <si>
    <t>500 nm-thick hard mask for trench processing + 250 nm-thick ILD layer + 50 nm-thick backside scattering oxide layer</t>
  </si>
  <si>
    <t>Ar mass flow rate</t>
  </si>
  <si>
    <t>Ar molar mass</t>
  </si>
  <si>
    <t>PoU system : 5 kW standalone chiller for LP-CVD tool - Used during all step duration</t>
  </si>
  <si>
    <t>PoU system : 5 kW standalone vacuum pump for LP-CVD tool - Used during pumping time</t>
  </si>
  <si>
    <t>O2 cleaning after each dry etching step</t>
  </si>
  <si>
    <t>Duration of cleaning step - O2</t>
  </si>
  <si>
    <t>O2 - Oxygen as oxidizing agent for SiO2 growth</t>
  </si>
  <si>
    <t>1 minute purging time using N2</t>
  </si>
  <si>
    <t xml:space="preserve">1 minute cleaning step using NF3 </t>
  </si>
  <si>
    <t>Hypothesis: W deposition based on a WF6 / SiH4 chemistry - Chemical reaction: 2 WF6 + 3 SiH4 → 2 W + 3 SiF4 + 6 H2</t>
  </si>
  <si>
    <t>350 nm-thick topside tungsten layer</t>
  </si>
  <si>
    <t>W density</t>
  </si>
  <si>
    <t>W molar mass</t>
  </si>
  <si>
    <t>Material Deposition Rate (MDR) - W</t>
  </si>
  <si>
    <t>Ar gas as plasma precursor</t>
  </si>
  <si>
    <t>N2 - Nitrogen as purging gas</t>
  </si>
  <si>
    <t>Ar - Argon gas as plasma precursor</t>
  </si>
  <si>
    <t>CHF3 - ecoinvent proxy for NF3 used in PE-CVD chamber cleaning</t>
  </si>
  <si>
    <t>SiH4 to W molar mass ratio</t>
  </si>
  <si>
    <t>HCl density</t>
  </si>
  <si>
    <t>HCl molar mass</t>
  </si>
  <si>
    <t>SiF4 density</t>
  </si>
  <si>
    <t>SiF4 molar mass</t>
  </si>
  <si>
    <t>Wet lift-off - PR, metals</t>
  </si>
  <si>
    <t>trifluoromethane</t>
  </si>
  <si>
    <t>Density - NH4OH (29 vol.%)</t>
  </si>
  <si>
    <t>Density - H2O2 (30 vol. %)</t>
  </si>
  <si>
    <t>Density - H2O</t>
  </si>
  <si>
    <t>Density - SC1</t>
  </si>
  <si>
    <t>Sumcheck</t>
  </si>
  <si>
    <t>Diluted SC1 density</t>
  </si>
  <si>
    <t>Diluted SC1 mass flow rate</t>
  </si>
  <si>
    <t>Chemical solution models</t>
  </si>
  <si>
    <t>NF3 as chamber cleaning gas after each deposition step - Typically 100 cm3 per 25 wafers</t>
  </si>
  <si>
    <t>Diluted SC1 spraying time</t>
  </si>
  <si>
    <t>Diluted SC1 used as post-CMP cleanant</t>
  </si>
  <si>
    <t>ecoinvent proxy for ammonium hydroxide</t>
  </si>
  <si>
    <t>RCA clean</t>
  </si>
  <si>
    <t xml:space="preserve">Wet etching - Silicon Nitride (SiN) </t>
  </si>
  <si>
    <t>WET ETCH - Si SPIN-ETCHING</t>
  </si>
  <si>
    <t>WET CLEAN - RCA CLEAN</t>
  </si>
  <si>
    <t>13,8 kW</t>
  </si>
  <si>
    <t>2,5 kW</t>
  </si>
  <si>
    <t>WET CLEAN</t>
  </si>
  <si>
    <t>Wafer spin-rinsing &amp; drying process in double stack spin-rinse dryer equipment using UPW &amp; N2</t>
  </si>
  <si>
    <t>Spin-rinsing time</t>
  </si>
  <si>
    <t>WET CLEAN - SPIN-RINSE &amp; DRY</t>
  </si>
  <si>
    <t>Dip etching - SiO2</t>
  </si>
  <si>
    <t>Rapid thermal annealing</t>
  </si>
  <si>
    <t>PoU system : Duct Temperature Unit (DTU) for temperature control of cutting water - 3 kW</t>
  </si>
  <si>
    <t>Volume fraction - NH4OH (29 vol.%)</t>
  </si>
  <si>
    <t>Volume fraction - H2O</t>
  </si>
  <si>
    <t>Mass fraction - NH4OH (29 vol.%)</t>
  </si>
  <si>
    <t>Mass fraction - H2O2 (30 vol. %)</t>
  </si>
  <si>
    <t>Mass fraction - H2O</t>
  </si>
  <si>
    <t>Should be 1</t>
  </si>
  <si>
    <t>50 liters tank capacity / Can host 50 x 6'' / 50 x 8'' / 25 x 12'' wafers par process iteration</t>
  </si>
  <si>
    <t>HF clean</t>
  </si>
  <si>
    <t>Full RCA clean before starting FEoL process steps</t>
  </si>
  <si>
    <t>Wet bench tank size</t>
  </si>
  <si>
    <t>Mass fraction in SC1 - NH4OH (29 vol.%)</t>
  </si>
  <si>
    <t>Mass fraction in SC1 - H2O2 (30 vol. %)</t>
  </si>
  <si>
    <t>Mass fraction in SC1 - H2O</t>
  </si>
  <si>
    <t>Volume fraction - HCl (37 vol.%)</t>
  </si>
  <si>
    <t>Volume fraction - H2O2 (30 vol.%)</t>
  </si>
  <si>
    <t>Mass fraction - H2O2 (30 vol.%)</t>
  </si>
  <si>
    <t>Density - H2O2 (30 vol.%)</t>
  </si>
  <si>
    <t>Mass fraction in diluted SC1 - H2O</t>
  </si>
  <si>
    <t>Mass fraction in SC2 - HCl (37 vol.%)</t>
  </si>
  <si>
    <t>Density - HCl (37 vol.%)</t>
  </si>
  <si>
    <t>Density - SC2</t>
  </si>
  <si>
    <t>Mass fraction - HCl (37 vol.%)</t>
  </si>
  <si>
    <t>Duration of SC1 clean</t>
  </si>
  <si>
    <t>15 minutes SC1 clean</t>
  </si>
  <si>
    <t>Duration of SC2 clean</t>
  </si>
  <si>
    <t>SC1 &amp; SC2 solutions are heated up to 75 °C</t>
  </si>
  <si>
    <t>Number of UPW rinse along cleaning sequence</t>
  </si>
  <si>
    <t>Number of SC1 clean along cleaning sequence</t>
  </si>
  <si>
    <t>Number of SC2 clean along cleaning sequence</t>
  </si>
  <si>
    <t>Duration of UPW clean</t>
  </si>
  <si>
    <t>IPA density</t>
  </si>
  <si>
    <t>Duration of IPA dry</t>
  </si>
  <si>
    <t>Number of IPA dry along cleaning sequence</t>
  </si>
  <si>
    <t>UPW for UPW clean</t>
  </si>
  <si>
    <t>UPW for SC1 clean</t>
  </si>
  <si>
    <t>H2O2 for SC1 clean</t>
  </si>
  <si>
    <t>HCl for SC2 clean</t>
  </si>
  <si>
    <t>H2O2 for SC2 clean</t>
  </si>
  <si>
    <t>UPW for SC2 clean</t>
  </si>
  <si>
    <t>market for isopropanol</t>
  </si>
  <si>
    <t>NH4OH for SC1 clean</t>
  </si>
  <si>
    <t>PHOTOLITHOGAPHY</t>
  </si>
  <si>
    <t>THINNING</t>
  </si>
  <si>
    <t>DICING</t>
  </si>
  <si>
    <t>PROBING</t>
  </si>
  <si>
    <t>PVD</t>
  </si>
  <si>
    <t>CVD</t>
  </si>
  <si>
    <r>
      <t xml:space="preserve">Laser-writing of wafer IDs </t>
    </r>
    <r>
      <rPr>
        <sz val="10"/>
        <rFont val="Aptos Narrow"/>
        <family val="2"/>
      </rPr>
      <t>→</t>
    </r>
    <r>
      <rPr>
        <sz val="10"/>
        <rFont val="Arial"/>
        <family val="2"/>
      </rPr>
      <t xml:space="preserve"> ignored</t>
    </r>
  </si>
  <si>
    <t>m-CZ</t>
  </si>
  <si>
    <t>Batch size (nb of wafer per iteration)</t>
  </si>
  <si>
    <t>Spin-rinse drying in double stack spin-rinse dryer using UPW and N2</t>
  </si>
  <si>
    <t>Full RCA clean before gate oxide growth</t>
  </si>
  <si>
    <t>Full HF clean before backside metal deposition</t>
  </si>
  <si>
    <t>HF clean before topside metal deposition</t>
  </si>
  <si>
    <t>Spin-rinse drying using UPW and N2 before starting FEoL process steps</t>
  </si>
  <si>
    <t>Furnace annealing</t>
  </si>
  <si>
    <t>Process category</t>
  </si>
  <si>
    <t>Dielectric CMP - Polysilicon (doped PolySi, SiO2)</t>
  </si>
  <si>
    <t>Volume fraction - HF (50 vol.%)</t>
  </si>
  <si>
    <t>Density - HF (50 vol.%)</t>
  </si>
  <si>
    <t>Density - BHF</t>
  </si>
  <si>
    <t>Mass fraction - HF (50 vol.%)</t>
  </si>
  <si>
    <t>Buffered HF (BHF) - [1 HF (50 vol.%) : 5 NH4F (40 vol. %) : 4 H2O]</t>
  </si>
  <si>
    <t>Density - NH4F (40 vol. %)</t>
  </si>
  <si>
    <t>Mass fraction - NH4F (40 vol. %)</t>
  </si>
  <si>
    <t>Volume fraction - NH4F (40 vol. %)</t>
  </si>
  <si>
    <t>Volume fraction - Hexamethyldisilazane (HMDS)</t>
  </si>
  <si>
    <t>Volume fraction - Phenolic resin</t>
  </si>
  <si>
    <t>Volume fraction - Propylene glycol monomethyl ether acetate (PGMEA)</t>
  </si>
  <si>
    <t>Density - HMDS</t>
  </si>
  <si>
    <t>Density - PGMEA</t>
  </si>
  <si>
    <t>Density - Phenolic resin</t>
  </si>
  <si>
    <t>Density - Photoresist</t>
  </si>
  <si>
    <t>vol. %</t>
  </si>
  <si>
    <t>wt. %</t>
  </si>
  <si>
    <t>Mass fraction - HMDS</t>
  </si>
  <si>
    <t>Mass fraction - PGMEA</t>
  </si>
  <si>
    <t>Mass fraction - Phenolic resin</t>
  </si>
  <si>
    <t>Alkaline developer - [TMAH 2.38 vol.%]</t>
  </si>
  <si>
    <t>Density - Diluted HF</t>
  </si>
  <si>
    <t>CMP slurry - Silica-based</t>
  </si>
  <si>
    <t>Cabot, Semi-Sperse W2000 (SSW2000)</t>
  </si>
  <si>
    <t>Volume fraction - SiO2</t>
  </si>
  <si>
    <t>Density - SiO2</t>
  </si>
  <si>
    <t>Density - CMP slurry</t>
  </si>
  <si>
    <t>Mass fraction - SiO2</t>
  </si>
  <si>
    <t>WET CLEAN - HF CLEAN</t>
  </si>
  <si>
    <t>Cleaning sequence : UPW rinse / HF clean / UPW rinse</t>
  </si>
  <si>
    <t>Number of HF clean along cleaning sequence</t>
  </si>
  <si>
    <t>Duration of HF clean</t>
  </si>
  <si>
    <t>Diluted HF density</t>
  </si>
  <si>
    <t>15 minutes HF clean</t>
  </si>
  <si>
    <t>Mass fraction in diluted HF - HF (50 vol. %)</t>
  </si>
  <si>
    <t>Mass fraction in diluted HF - H2O</t>
  </si>
  <si>
    <t>Diluted HF - (1 : HF (50 vol.%) : 9 H2O)</t>
  </si>
  <si>
    <t>Temperature of diluted HF solution</t>
  </si>
  <si>
    <t>100 mm &amp; 200 mm-diameter wafers : 50 wafers / 300 mm-diameter wafers : 25 wafers</t>
  </si>
  <si>
    <t>Piranha solution - [3 H2SO4 : 1 H2O2 (30 vol.%)]</t>
  </si>
  <si>
    <t>Volume fraction - H2SO4</t>
  </si>
  <si>
    <t>Density - H2SO4</t>
  </si>
  <si>
    <t>Density -  H2O2 (30 vol.%)</t>
  </si>
  <si>
    <t>Density - Piranha solution</t>
  </si>
  <si>
    <t>Photoresist - [28 vol.% HMDS : 36 vol.% PGMEA : 36 vol.% Phenolic resin]</t>
  </si>
  <si>
    <t>WET CLEAN - PIRANHA CLEAN</t>
  </si>
  <si>
    <t>Cleaning sequence : UPW rinse / Piranha clean / UPW rinse</t>
  </si>
  <si>
    <t>Number of Piranha clean along cleaning sequence</t>
  </si>
  <si>
    <t>Duration of Piranha clean</t>
  </si>
  <si>
    <t>Piranha solution density</t>
  </si>
  <si>
    <t>Piranha solution - (3 : H2SO4 : 9 H2O2 (30 vol.%))</t>
  </si>
  <si>
    <t>Wafer dip cleaning in multitank full-auto wet bench equipment using diluted HF solution</t>
  </si>
  <si>
    <t>Wafer dip cleaning in multitank full-auto wet bench equipment using SC1 &amp; SC2 solutions heated up to 85 deg. C</t>
  </si>
  <si>
    <t>10 minutes SC2 clean</t>
  </si>
  <si>
    <t>Mass fraction - H2SO4</t>
  </si>
  <si>
    <t>Mass fraction in Piranha solution - H2SO4</t>
  </si>
  <si>
    <t>Mass fraction in Piranha solution - H2O2</t>
  </si>
  <si>
    <t>Nb of wafer processed in wet tank before tank replacement</t>
  </si>
  <si>
    <t>UPW for UPW rinsing steps</t>
  </si>
  <si>
    <t>UPW for HF cleaning step</t>
  </si>
  <si>
    <t>5 minutes UPW rinse</t>
  </si>
  <si>
    <t>HF for HF cleaning step</t>
  </si>
  <si>
    <t>H2O2 for Piranha cleaning step</t>
  </si>
  <si>
    <t>H2SO4 for Piranha cleaning step</t>
  </si>
  <si>
    <t>IPA for IPA drying</t>
  </si>
  <si>
    <t>isopropanol</t>
  </si>
  <si>
    <t>Nb of iterations</t>
  </si>
  <si>
    <t>WET ETCH - SiO2 DIP ETCHING</t>
  </si>
  <si>
    <t>CHEM. &amp; MAT.</t>
  </si>
  <si>
    <t>exchange name</t>
  </si>
  <si>
    <t>Volume fraction - NH3</t>
  </si>
  <si>
    <t>Volume fraction - H2O2</t>
  </si>
  <si>
    <t>Mass fraction - NH3</t>
  </si>
  <si>
    <t>Mass fraction - H2O2</t>
  </si>
  <si>
    <t>OUTPUTS - Scaled to kg of output solution</t>
  </si>
  <si>
    <t>SC1 clean, at plant</t>
  </si>
  <si>
    <t>Full RCA cleaning sequence : UPW rinse / SC1 clean / UPW rinse / SC2 clean / UPW rinse / IPA drying</t>
  </si>
  <si>
    <t>INPUTS - Scaled to kg of output solution</t>
  </si>
  <si>
    <t>Diluted SC1 clean, at plant</t>
  </si>
  <si>
    <t>Volume fraction - HCl</t>
  </si>
  <si>
    <t>Mass fraction - HCl</t>
  </si>
  <si>
    <t>H2O mass fraction of HCl (37 vol.%) in SC2</t>
  </si>
  <si>
    <t>H2O2 (30 vol.%) mass fraction in SC2</t>
  </si>
  <si>
    <t>H2O2 mass fraction of H2O2 (30 vol.%) in SC2</t>
  </si>
  <si>
    <t>H2O mass fraction of H2O2 (30 vol.%) in SC2</t>
  </si>
  <si>
    <t>Volume fraction - HF</t>
  </si>
  <si>
    <t>Mass fraction - HF</t>
  </si>
  <si>
    <t>HF volume fraction of HF (50 vol.%) in BHF</t>
  </si>
  <si>
    <t>H2O volume fraction of HF (50 vol.%) in BHF</t>
  </si>
  <si>
    <t>NH4F (40 vol.%) volume fraction in BHF</t>
  </si>
  <si>
    <t>NH3 volume fraction of NH4F (40 vol.%) in BHF</t>
  </si>
  <si>
    <t>HF volume fraction of NH4F (40 vol.%) in BHF</t>
  </si>
  <si>
    <t>H2O volume fraction of NH4F (40 vol.%) in BHF</t>
  </si>
  <si>
    <t>HF mass fraction of HF (50 vol.%) in BHF</t>
  </si>
  <si>
    <t>H2O mass fraction of HF (50 vol.%) in BHF</t>
  </si>
  <si>
    <t>NH4F (40 vol.%) mass fraction in BHF</t>
  </si>
  <si>
    <t>NH3 mass fraction of NH4F (40 vol.%) in BHF</t>
  </si>
  <si>
    <t>HF mass fraction of NH4F (40 vol.%) in BHF</t>
  </si>
  <si>
    <t>H2O mass fraction of NH4F (40 vol.%) in BHF</t>
  </si>
  <si>
    <t>SC2 clean, at plant</t>
  </si>
  <si>
    <t>HF volume fraction of HF (50 vol.%) in diluted HF</t>
  </si>
  <si>
    <t>H2O volume fraction of HF (50 vol.%) in diluted HF</t>
  </si>
  <si>
    <t>H2O mass fraction in diluted HF</t>
  </si>
  <si>
    <t>Diluted HF, at plant</t>
  </si>
  <si>
    <t>HF (50 vol.%) mass fraction in diluted HF</t>
  </si>
  <si>
    <t>H2O mass fraction in HF (50 vol.%) of diluted HF</t>
  </si>
  <si>
    <t>HF mass fraction in HF (50 vol.%) of diluted HF</t>
  </si>
  <si>
    <t>Volume fraction of NH4OH (29 vol.%) in SC1</t>
  </si>
  <si>
    <t>Volume fraction of H2O2 (30 vol.%) in SC1</t>
  </si>
  <si>
    <t>Volume fraction of H2O in SC1</t>
  </si>
  <si>
    <t>Mass fraction of NH4OH (29 vol.%) in SC1</t>
  </si>
  <si>
    <t>Mass fraction of H2O2 (30 vol.%) in SC1</t>
  </si>
  <si>
    <t>Mass fraction of H2O in SC1</t>
  </si>
  <si>
    <t>Volume fraction of NH4OH (29 vol.%) in diluted SC1</t>
  </si>
  <si>
    <t>Volume fraction of H2O2 (30 vol.%) in diluted SC1</t>
  </si>
  <si>
    <t>Volume fraction of H2O in diluted SC1</t>
  </si>
  <si>
    <t>Mass fraction of NH4OH (29 vol.%) in diluted SC1</t>
  </si>
  <si>
    <t>Mass fraction of H2O2 (30 vol.%) in diluted SC1</t>
  </si>
  <si>
    <t>Mass fraction of H2O in diluted SC1</t>
  </si>
  <si>
    <t>H2O mass fraction of BHF</t>
  </si>
  <si>
    <t>H2O volume fraction of diluted HF</t>
  </si>
  <si>
    <t>HF (50 vol.%) volume fraction of diluted HF</t>
  </si>
  <si>
    <t>HF (50 vol. %) mass fraction of BHF</t>
  </si>
  <si>
    <t>HF (50 vol. %) volume fraction of BHF</t>
  </si>
  <si>
    <t>H2O volume fraction of BHF</t>
  </si>
  <si>
    <t>H2O mass fraction of SC2</t>
  </si>
  <si>
    <t>HCl mass fraction of HCl (37 vol.%) in SC2</t>
  </si>
  <si>
    <t>H2SO4 volume fraction of Piranha solution</t>
  </si>
  <si>
    <t>H2SO4 mass fraction of Piranha solution</t>
  </si>
  <si>
    <t>vol.%</t>
  </si>
  <si>
    <t>wt.%</t>
  </si>
  <si>
    <t>H2O2 (30 vol.%) volume fraction of Piranha solution</t>
  </si>
  <si>
    <t>H2O2 volume fraction of H2O2 (30 vol.%) in Piranha solution</t>
  </si>
  <si>
    <t>H2O volume fraction of H2O2 (30 vol.%) in Piranha solution</t>
  </si>
  <si>
    <t>H2O2 (30 vol.%) mass fraction of Piranha solution</t>
  </si>
  <si>
    <t>H2O2 mass fraction of H2O2 (30 vol.%) in Piranha solution</t>
  </si>
  <si>
    <t>H2O mass fraction of H2O2 (30 vol.%) in Piranha solution</t>
  </si>
  <si>
    <t>sulfuric acid</t>
  </si>
  <si>
    <t>Photoresist, at plant</t>
  </si>
  <si>
    <t>CHEM. SOL._MODEL</t>
  </si>
  <si>
    <t>Photoresist / photosensitive polyimide (PSPI) passivation - Mass fraction of phenolic resin</t>
  </si>
  <si>
    <t>Photoresist / photosensitive polyimide (PSPI) passivation - Mass fraction of HMDS</t>
  </si>
  <si>
    <t>Photoresist / photosensitive polyimide (PSPI) passivation - Mass fraction of PGMEA</t>
  </si>
  <si>
    <t xml:space="preserve">Removal of a 3 µm-thick silicon film for wafer backside stress release before backside processing </t>
  </si>
  <si>
    <t>Volume fration of HCl (37 vol.%) in SC2</t>
  </si>
  <si>
    <t>Volume fraction of H2O2 (30 vol.%) in SC2</t>
  </si>
  <si>
    <t>Volume fraction of H2O in SC2</t>
  </si>
  <si>
    <t>Volume fraction of H2O2 in H2O2 (30 vol.%) of SC2</t>
  </si>
  <si>
    <t>Volume fraction of H2O in H2O2 (30 vol.%) of SC2</t>
  </si>
  <si>
    <t>Volume fraction of HCl in HCl (37 vol.%) of SC2</t>
  </si>
  <si>
    <t>Volume fraction of H2O in HCl (37 vol.%) of SC2</t>
  </si>
  <si>
    <t>Volume fraction of NH3 in NH4OH (29 vol.%) of diluted SC1</t>
  </si>
  <si>
    <t>Volume fraction of H2O in NH4OH (29 vol.%) of diluted SC1</t>
  </si>
  <si>
    <t>Volume fraction of H2O2 in H2O2 (30 vol.%) of diluted SC1</t>
  </si>
  <si>
    <t>Volume fraction of H2O in H2O2 (30 vol.%) of diluted SC1</t>
  </si>
  <si>
    <t>Mass fraction of NH3 in NH4OH (29 vol.%) of diluted SC1</t>
  </si>
  <si>
    <t>Mass fraction of H2O in NH4OH (29 vol.%) of diluted SC1</t>
  </si>
  <si>
    <t>Mass fraction of H2O2 in H2O2 (30 vol.%) of diluted SC1</t>
  </si>
  <si>
    <t>Mass fraction of H2O in H2O2 (30 vol.%) of diluted SC1</t>
  </si>
  <si>
    <t>Volume fraction of NH3 in NH4OH (29 vol.%) of SC1</t>
  </si>
  <si>
    <t>Volume fraction of H2O in NH4OH (29 vol.%) of SC1</t>
  </si>
  <si>
    <t>Volume fraction of H2O2 in H2O2 (30 vol.%) of SC1</t>
  </si>
  <si>
    <t>Volume fraction of H2O in H2O2 (30 vol.%) of SC1</t>
  </si>
  <si>
    <t>Mass fraction of NH3 in NH4OH (29 vol.%) of SC1</t>
  </si>
  <si>
    <t>Mass fraction of H2O in NH4OH (29 vol.%) of SC1</t>
  </si>
  <si>
    <t>Mass fraction of H2O2 in H2O2 (30 vol.%) of SC1</t>
  </si>
  <si>
    <t>Mass fraction of H2O in H2O2 (30 vol.%) of SC1</t>
  </si>
  <si>
    <t>Mass fraction of HCl (37 vol.%) in SC2</t>
  </si>
  <si>
    <t>CMP slurry, at plant</t>
  </si>
  <si>
    <t>CHEM. SOL. MODEL</t>
  </si>
  <si>
    <t>Density - Diluted SC1</t>
  </si>
  <si>
    <t>Mass fraction in diluted SC1 - NH3</t>
  </si>
  <si>
    <t>Mass fraction in diluted SC1 - H2O2</t>
  </si>
  <si>
    <t>Standard Clean 2 (SC2) - HPM - [1 HCl (37 vol.%) : 1 H2O2 (30 vol.%) : 5 H2O]</t>
  </si>
  <si>
    <t>Diluted Standard Clean 1 (SC1) - [1 NH4OH (29 vol.%) : 2 H2O2 (30 vol.%) : 40 H2O]</t>
  </si>
  <si>
    <t>Standard Clean 1 (SC1) - APM - [1 NH4OH (29 vol.%, aq) : 1 H2O2 (30 vol.%, aq) : 5 H2O]</t>
  </si>
  <si>
    <t>Step 2: Formation of volatile Si compounds: Si + 4 F* → SiF4 / SiO2 + 4 F* → SiF4 + O2 / Si3N4 + 12 F* → 3 SiF4 + 2 N2</t>
  </si>
  <si>
    <t>Step 1: Formation of F-radicals through electron impacts: e- + SF6 → SF5 + F + e-</t>
  </si>
  <si>
    <t>Volume fraction - HNO3</t>
  </si>
  <si>
    <t>Volume fraction - CH3COOH</t>
  </si>
  <si>
    <t xml:space="preserve">Volume fraction - HF </t>
  </si>
  <si>
    <t>Volume fraction - CH3COOH (98 vol.%)</t>
  </si>
  <si>
    <t>Density - CH3COOH (98 vol.%)</t>
  </si>
  <si>
    <t xml:space="preserve">Mass fraction - HF </t>
  </si>
  <si>
    <t>Mass fraction - CH3COOH</t>
  </si>
  <si>
    <t>Mass fraction - CH3COOH (98 vol.%)</t>
  </si>
  <si>
    <t>Mass fraction - HNO3</t>
  </si>
  <si>
    <t>Volume fraction - HNO3 (70 vol.%)</t>
  </si>
  <si>
    <t>Mass fraction - HNO3 (70 vol.%)</t>
  </si>
  <si>
    <t>Density - HNO3 (70 vol.%)</t>
  </si>
  <si>
    <t>Density - HNA</t>
  </si>
  <si>
    <t>kg/m4</t>
  </si>
  <si>
    <t>HNA etchant, at plant</t>
  </si>
  <si>
    <t>HNA etchant - [2 HF (50 vol.%) : 15 HNO3 (70 vol.%) : 5 CH3COOH (98 vol.%)]</t>
  </si>
  <si>
    <t>Density of diluted HF</t>
  </si>
  <si>
    <t>Density of HNA etchant</t>
  </si>
  <si>
    <t>Mass fraction in HNA etchant - HF</t>
  </si>
  <si>
    <t>Mass fraction HNA etchant - HNO3</t>
  </si>
  <si>
    <t>Mass fraction HNA etchant - CH3COOH</t>
  </si>
  <si>
    <t>Mass fraction in diluted HF - HF</t>
  </si>
  <si>
    <t>Mass fraction HNA etchant - H2O</t>
  </si>
  <si>
    <t>Mass flow rate of diluted HF</t>
  </si>
  <si>
    <t>Mass flow rate of HNA etchant</t>
  </si>
  <si>
    <t>Etching time - HNA</t>
  </si>
  <si>
    <t>Etching time - DHF</t>
  </si>
  <si>
    <t>HNA : [2 HF (50 vol.%) : 15 HNO3 (70 vol.%) : 5 CH3COOH (98 vol.%)]</t>
  </si>
  <si>
    <t>DHF : [1 HF (50 vol.%) : 9 H2O]</t>
  </si>
  <si>
    <t>HF for DHF and HNA wet etch</t>
  </si>
  <si>
    <t>HNO3 for HNA wet etch</t>
  </si>
  <si>
    <t>CH3COOH for HNA wet etch</t>
  </si>
  <si>
    <t>Diluted HF (DHF) - [1 HF (50 vol.%) : 9 H2O]</t>
  </si>
  <si>
    <t>SiO2 etchant - [1 HF (50 vol.%) : 5 NH4F (70 vol.%) : 5 H2O]</t>
  </si>
  <si>
    <t>Number of processed wafer per process iteration</t>
  </si>
  <si>
    <t>Mass fraction in BHF - HF</t>
  </si>
  <si>
    <t>Mass fraction BHF - H2O</t>
  </si>
  <si>
    <t>Mass fraction BHF - NH3</t>
  </si>
  <si>
    <t>UPW for DHF and HNA wet etch and spin-rinsing</t>
  </si>
  <si>
    <t>WET ETCH - SiN DIP ETCHING</t>
  </si>
  <si>
    <t>SiN etching sequence : HNO3 + UPW rinse</t>
  </si>
  <si>
    <t>SiN wet etch process using hot HNO3 solution - Wet etch of SiN deposited through LP-CVD</t>
  </si>
  <si>
    <t>Mass fraction in HNO3 (70 vol.%) - HNO3</t>
  </si>
  <si>
    <t>Mass fraction in HNO3 (70 vol.%) - H2O</t>
  </si>
  <si>
    <t>Wafer fab monthly throughput</t>
  </si>
  <si>
    <t>Wafer fab yearly throughput</t>
  </si>
  <si>
    <t>Wafer fab hourly throughput</t>
  </si>
  <si>
    <t>Wafer fab weekly throughput</t>
  </si>
  <si>
    <t>Wafer fab daily throughput</t>
  </si>
  <si>
    <t>Wafer usable area</t>
  </si>
  <si>
    <t>Wafer fab area</t>
  </si>
  <si>
    <t>Ceiling height</t>
  </si>
  <si>
    <t>FAB SIZE MODEL</t>
  </si>
  <si>
    <t>Electrical energy per hour</t>
  </si>
  <si>
    <t>Time spent between wafer start &amp; wafer end - Based on a 1,5 days per photomask level-hypothesis</t>
  </si>
  <si>
    <t>Based on 7 days per week-hypothesis</t>
  </si>
  <si>
    <t>Based on 24 hours per day-hypothesis</t>
  </si>
  <si>
    <t>Energy Conversion Factor (ECF) - RCU</t>
  </si>
  <si>
    <t>Electrical energy per wafer</t>
  </si>
  <si>
    <t>Wafer fab ceiling height</t>
  </si>
  <si>
    <t>Wafer fab volume</t>
  </si>
  <si>
    <t>Based on a 12 months per year-hypothesis</t>
  </si>
  <si>
    <t>Energy Conversion Factor (ECF) - EXH</t>
  </si>
  <si>
    <t>Energy Conversion Factor (ECF) - Recirculating Unit (RCU)</t>
  </si>
  <si>
    <t>Energy Conversion Factor (ECF) - Make-up Air Unit (MAU)</t>
  </si>
  <si>
    <t>Energy Conversion Factor (ECF) - Exhausts (EXH)</t>
  </si>
  <si>
    <t>Wafer fab cleanliness level / ISO class</t>
  </si>
  <si>
    <t>Wafer fab location</t>
  </si>
  <si>
    <t>Hypothesis : 5 m-high wafer fab ceiling</t>
  </si>
  <si>
    <t>Hypothetis based on [2008HU]</t>
  </si>
  <si>
    <t>Estimated number of equipment in wafer fab</t>
  </si>
  <si>
    <t>Energy Conversion Factor (ECF) - UltraFiltration unit (UF)</t>
  </si>
  <si>
    <t>ecoinvent database</t>
  </si>
  <si>
    <t>Energy Conversion Factor (ECF) - Acid Waste Neutralization (AWN)</t>
  </si>
  <si>
    <t>How much UPW is produced per incoming city water volume</t>
  </si>
  <si>
    <t>Based on SEMI S23 standard : 9 kWh/m3</t>
  </si>
  <si>
    <t>Calculation based on ECF from SEMI S23 standard</t>
  </si>
  <si>
    <t>Energy Conversion Factor (ECF) - UltraPure Water production (UPW)</t>
  </si>
  <si>
    <t>Energy Conversion Factor (ECF) - Process Cooling Water (PCW)</t>
  </si>
  <si>
    <t>Calculated based on standard SEMI S23 and number of tools to be cooled</t>
  </si>
  <si>
    <t>Energy Conversion Factor (ECF) - WasteWater Treatment (WWT)</t>
  </si>
  <si>
    <t>Number of equipment in wafer fab</t>
  </si>
  <si>
    <t>CDA consumption per hour</t>
  </si>
  <si>
    <t>Electrical energy per year</t>
  </si>
  <si>
    <t>Mass of PCW per year</t>
  </si>
  <si>
    <t>Mass of PCW per wafer</t>
  </si>
  <si>
    <t>Cooling time per year</t>
  </si>
  <si>
    <t>Process tools are cooled during process time and idle time</t>
  </si>
  <si>
    <t>m3/wf</t>
  </si>
  <si>
    <t>Energy Conversion Factor (ECF) - Utility nitrogen (N2)</t>
  </si>
  <si>
    <t>Yearly energy consumption</t>
  </si>
  <si>
    <t>Daily energy consumption</t>
  </si>
  <si>
    <t>Energy consumption per cm² of good die</t>
  </si>
  <si>
    <t>Energy consumption per m² of wafer fab</t>
  </si>
  <si>
    <t>Energy Conversion Factor (ECF) - Utility vacuum (VAC)</t>
  </si>
  <si>
    <t>Energy Conversion Factor (ECF) - Utility Clean Dry Air (CDA)</t>
  </si>
  <si>
    <t>N2 consumption per hour</t>
  </si>
  <si>
    <t>N2 consumption per wafer</t>
  </si>
  <si>
    <t>N2 supply pressure</t>
  </si>
  <si>
    <t>CDA flow rate per process tool</t>
  </si>
  <si>
    <t>N2 flow rate per process tool</t>
  </si>
  <si>
    <t>Vacuum flow rate per process tool</t>
  </si>
  <si>
    <t>Vacuum consumption per hour</t>
  </si>
  <si>
    <t>Vacuum consumption per wafer</t>
  </si>
  <si>
    <t>Mass of scrapped wafer per year</t>
  </si>
  <si>
    <t>725 µm-initial wafer thickness</t>
  </si>
  <si>
    <t>Etchant: SiN - hot HNO3 (70 vol.%)</t>
  </si>
  <si>
    <t>PR wet stripping sequence : Piranha etch + UPW rinse</t>
  </si>
  <si>
    <t>Etchant: Piranha etch [3 H2SO4 : 1 H2O2 (30 vol.%)]</t>
  </si>
  <si>
    <t>Mass fraction in Piranha etch - H2SO4</t>
  </si>
  <si>
    <t xml:space="preserve">Metal gets wet stripped (DMSO solvent + Ultrasonic) with the resist and stays, where the resist was developed         </t>
  </si>
  <si>
    <t xml:space="preserve">Topside metals stripping using DMSO-based wet stripper                                                                                     </t>
  </si>
  <si>
    <t>DMSO</t>
  </si>
  <si>
    <t>Etchant: Dimethylsulfoxide (DMSO) - Ref. SVC-14 wet stripper by SHIPLEY corporation</t>
  </si>
  <si>
    <t>[70 - 80]</t>
  </si>
  <si>
    <t>Si etching sequence : DHF spin-rinse / HNA (HF:HNO3:H3COOH::2:15:5) spin-rinse / UPW spin-rinse / N2 spin-dry</t>
  </si>
  <si>
    <t>Lift-off process sequence : DMSO 1 (10 min) / DMSO bath 2 (10 min) / UPW rinse (10 min)</t>
  </si>
  <si>
    <t>Stripping time - Bath 1</t>
  </si>
  <si>
    <t>Stripping time - Bath 2</t>
  </si>
  <si>
    <t>10 minutes stripping</t>
  </si>
  <si>
    <t>10 minutes rinsing</t>
  </si>
  <si>
    <t>market for dimethyl sulfoxide</t>
  </si>
  <si>
    <t>WET ETCH - PHOTORESIST (PR) WET STRIPPING</t>
  </si>
  <si>
    <t>dimethyl sulfoxide</t>
  </si>
  <si>
    <r>
      <t>Wafer fab hourly THP (h</t>
    </r>
    <r>
      <rPr>
        <b/>
        <vertAlign val="superscript"/>
        <sz val="11"/>
        <color theme="1"/>
        <rFont val="Calibri"/>
        <family val="2"/>
        <scheme val="minor"/>
      </rPr>
      <t>-1</t>
    </r>
    <r>
      <rPr>
        <b/>
        <sz val="11"/>
        <color theme="1"/>
        <rFont val="Calibri"/>
        <family val="2"/>
        <scheme val="minor"/>
      </rPr>
      <t>)</t>
    </r>
  </si>
  <si>
    <t>Sub-process step</t>
  </si>
  <si>
    <t>Batch size</t>
  </si>
  <si>
    <t>5 minutes stripping time</t>
  </si>
  <si>
    <t>AWN</t>
  </si>
  <si>
    <t>Laser line dimensions - Short axis, scan direction</t>
  </si>
  <si>
    <t>Laser line dimensions - Long axis, transverse direction</t>
  </si>
  <si>
    <t>Sputtering / evaporation PVD - Al</t>
  </si>
  <si>
    <t>Backside Ni metal deposition</t>
  </si>
  <si>
    <t>Backside Ag metal deposition</t>
  </si>
  <si>
    <t>Total number of tools</t>
  </si>
  <si>
    <t>Total processing time per wf (h)</t>
  </si>
  <si>
    <t>Wafer dip cleaning in multitank full-auto wet bench equipment using Piranha solution</t>
  </si>
  <si>
    <t>PHENOLIC RESIN</t>
  </si>
  <si>
    <t>tungsten concentrate</t>
  </si>
  <si>
    <t>Dry etching - Si (alignment marks)</t>
  </si>
  <si>
    <t>Dry etching - Si (trenches)</t>
  </si>
  <si>
    <t>Duration of process step - Si</t>
  </si>
  <si>
    <t>Duration of process step - SiN</t>
  </si>
  <si>
    <t>Duration of process step - SiO2</t>
  </si>
  <si>
    <t>Number of iterations along wafer process flow - SiO2</t>
  </si>
  <si>
    <t>Number of iterations along wafer process flow - SiN</t>
  </si>
  <si>
    <t>Number of iterations along wafer process flow - Si</t>
  </si>
  <si>
    <t>Wafer parametric testing</t>
  </si>
  <si>
    <t>Die parametric testing</t>
  </si>
  <si>
    <t>Post-annealing Piranha clean for removal of unreacted Ti                                                                                                                                                              (15 min Piranha (H2SO4/H2O2) + 30 min DI Water)</t>
  </si>
  <si>
    <t>15 minutes Piranha clean</t>
  </si>
  <si>
    <t>WAFER FAB</t>
  </si>
  <si>
    <t>To WWT - Quantity calculated by mass balance</t>
  </si>
  <si>
    <t>spent sawing slurry from Si-wafer cutting</t>
  </si>
  <si>
    <t>litre</t>
  </si>
  <si>
    <t>raw silicon wafer, sliced, polished</t>
  </si>
  <si>
    <t>OUTPUTS - Scaled to cm² of of good die</t>
  </si>
  <si>
    <t>silicon tetrachloride SiCl4</t>
  </si>
  <si>
    <t>Die size</t>
  </si>
  <si>
    <t>Y (after dicing)</t>
  </si>
  <si>
    <t>Z (after thinning)</t>
  </si>
  <si>
    <t xml:space="preserve">Sawing street width </t>
  </si>
  <si>
    <t>X</t>
  </si>
  <si>
    <t>X (after dicing)</t>
  </si>
  <si>
    <t>Y</t>
  </si>
  <si>
    <r>
      <rPr>
        <i/>
        <sz val="11"/>
        <color theme="1"/>
        <rFont val="Calibri"/>
        <family val="2"/>
        <scheme val="minor"/>
      </rPr>
      <t>A</t>
    </r>
    <r>
      <rPr>
        <i/>
        <vertAlign val="subscript"/>
        <sz val="11"/>
        <color theme="1"/>
        <rFont val="Calibri"/>
        <family val="2"/>
        <scheme val="minor"/>
      </rPr>
      <t>die</t>
    </r>
    <r>
      <rPr>
        <sz val="11"/>
        <color theme="1"/>
        <rFont val="Calibri"/>
        <family val="2"/>
        <scheme val="minor"/>
      </rPr>
      <t xml:space="preserve"> (before dicing)</t>
    </r>
  </si>
  <si>
    <r>
      <rPr>
        <i/>
        <sz val="11"/>
        <color theme="1"/>
        <rFont val="Calibri"/>
        <family val="2"/>
        <scheme val="minor"/>
      </rPr>
      <t>A</t>
    </r>
    <r>
      <rPr>
        <i/>
        <vertAlign val="subscript"/>
        <sz val="11"/>
        <color theme="1"/>
        <rFont val="Calibri"/>
        <family val="2"/>
        <scheme val="minor"/>
      </rPr>
      <t>die</t>
    </r>
    <r>
      <rPr>
        <sz val="11"/>
        <color theme="1"/>
        <rFont val="Calibri"/>
        <family val="2"/>
        <scheme val="minor"/>
      </rPr>
      <t xml:space="preserve"> (after dicing)</t>
    </r>
  </si>
  <si>
    <r>
      <t>Scaling factor (</t>
    </r>
    <r>
      <rPr>
        <i/>
        <sz val="11"/>
        <color theme="1"/>
        <rFont val="Calibri"/>
        <family val="2"/>
      </rPr>
      <t>µ</t>
    </r>
    <r>
      <rPr>
        <sz val="11"/>
        <color theme="1"/>
        <rFont val="Calibri"/>
        <family val="2"/>
        <scheme val="minor"/>
      </rPr>
      <t>)</t>
    </r>
  </si>
  <si>
    <t>Yearly 'good wafer' surface production</t>
  </si>
  <si>
    <t>Good wafer area' - Based on scaling factor</t>
  </si>
  <si>
    <t>Dry thermal oxidation - Scattering oxide</t>
  </si>
  <si>
    <t>Dry thermal oxidation - Gate oxide</t>
  </si>
  <si>
    <t>Total processing time (s)</t>
  </si>
  <si>
    <t>Duration of thinning step</t>
  </si>
  <si>
    <t xml:space="preserve">Time for Z1 coarse grinding + Z2 fine grinding </t>
  </si>
  <si>
    <t>Extra time for loading from cassette / Centering / Spin-cleaning &amp; drying / Unloading into cassette : 120 s</t>
  </si>
  <si>
    <t>Fab size model</t>
  </si>
  <si>
    <t>Processing time per batch and per iterations (s)</t>
  </si>
  <si>
    <t>Aluminum density</t>
  </si>
  <si>
    <t>To AWN - Quantity calculated by mass balance</t>
  </si>
  <si>
    <t>Liquid emission from WET ETCH</t>
  </si>
  <si>
    <t>Acid Waste Neutralization (AWN) station is used to neutralize acidic and caustic effluents from wet process steps</t>
  </si>
  <si>
    <t>Liquid emission from WET CLEAN</t>
  </si>
  <si>
    <t>Liquid emission from THINNING</t>
  </si>
  <si>
    <t>To SCRUBBER - Quantity calculated by mass balance</t>
  </si>
  <si>
    <t>To SCR - Quantity calculated by mass balance</t>
  </si>
  <si>
    <t>Liquid emission from CMP</t>
  </si>
  <si>
    <t>CHEM &amp; MAT.</t>
  </si>
  <si>
    <t>To AWN then WWT - Quantity calculated by mass balance</t>
  </si>
  <si>
    <t>kWh/kg</t>
  </si>
  <si>
    <t>To disposal - No metal recovery</t>
  </si>
  <si>
    <t>market for wastewater, from wafer fabrication</t>
  </si>
  <si>
    <t>To disposal - No recovery</t>
  </si>
  <si>
    <t>market for scrap aluminium</t>
  </si>
  <si>
    <t>PROBING (ELECTRICAL TEST) - AGGREGATED PROCESS MODEL</t>
  </si>
  <si>
    <t>DICING - AGGREGATED PROCESS MODEL</t>
  </si>
  <si>
    <t>THINNING - AGGREGATED PROCESS MODEL</t>
  </si>
  <si>
    <t>CVD - AGGREGATED PROCESS MODEL</t>
  </si>
  <si>
    <t>PVD - AGGREGATED PROCESS MODEL</t>
  </si>
  <si>
    <t>Number of tools in wafer fab</t>
  </si>
  <si>
    <t>Hypothesis : 4 l/min PCW for each tool</t>
  </si>
  <si>
    <t>Equipment hypothesis</t>
  </si>
  <si>
    <t>Gross die</t>
  </si>
  <si>
    <t>Parametric electrical test at the end of BEoL process steps, before wafer dicing, using Test Elements Groups (TEGs, parametric test patterns)</t>
  </si>
  <si>
    <t>DC parametric electrical testing at wafer level (WPT) through needle probing</t>
  </si>
  <si>
    <t>Hypothesis : 2 minutes WPT</t>
  </si>
  <si>
    <t>Parametric testing carried out at room temperature, with probe card testing multiple TEGs in parallel</t>
  </si>
  <si>
    <t>TEGs located in each sawing street / scribe line between adjacent dice, along X &amp; Y axes</t>
  </si>
  <si>
    <t>Probing time per die</t>
  </si>
  <si>
    <t>Hypothesis : 4 s probing time per die</t>
  </si>
  <si>
    <t>Final die test (after dicing)</t>
  </si>
  <si>
    <t>Individual die are probed after dicing for electrical parameter and functionnality testing</t>
  </si>
  <si>
    <t>Total processing time per batch (h)</t>
  </si>
  <si>
    <t>scrap aluminium</t>
  </si>
  <si>
    <t>Solid emission from DICING - To UF unit then WWT station - Quantity calculated by mass balance</t>
  </si>
  <si>
    <t>Liquid emission from DICING - To UF unit then WWT station - Quantity calculated by mass balance</t>
  </si>
  <si>
    <t>Solid emission from DICING - Scrapped dicing tape after wafer sawing - To discharge - Quantity calculated by mass balance</t>
  </si>
  <si>
    <t>Liquid emission from CMP - To UF unit then WWT station - Quantity calculated by mass balance</t>
  </si>
  <si>
    <t>Solid emission from THINNING</t>
  </si>
  <si>
    <t>Solid emission from THINNING - To UF unit then WWT station - Quantity calculated by mass balance</t>
  </si>
  <si>
    <t>Liquid emission from THINNING - To UF unit then WWT station - Quantity calculated by mass balance</t>
  </si>
  <si>
    <t>Gaseous emission from DRY ETCH - To SCR - Quantity calculated by mass balance</t>
  </si>
  <si>
    <t>ELECTRICITY CONSUMPTION BREAKDOWN - WAFER PROCESSING STEPS</t>
  </si>
  <si>
    <t>ELECTRICITY CONSUMPTION BREAKDOWN - CLEANROOM INFRASTRUCTURES &amp; FACILITIES</t>
  </si>
  <si>
    <t>Hypothesis : CDA flow rate of 0,2 m3/h per process tool</t>
  </si>
  <si>
    <t>Hypothesis : VAC flow rate of 0,2 m3/h per process tool</t>
  </si>
  <si>
    <t>Hypothesis : N2 flow rate of 0,05 m3/h per process tool</t>
  </si>
  <si>
    <t>IGBT WAFER &amp; DIE - BILL OF ENERGY (BoE)</t>
  </si>
  <si>
    <t>INFRA 7 - WASTEWATER TREATMENT (WWT)</t>
  </si>
  <si>
    <t>Solid emission from PVD - To discharge - Quantity calculated by mass balance</t>
  </si>
  <si>
    <t>Gaseous emission from PVD - To SCR - Quantity calculated by mass balance</t>
  </si>
  <si>
    <t>Liquid emission from CMP - To AWN then WWT - Quantity calculated by mass balance</t>
  </si>
  <si>
    <t>Gaseous emission from CMP - To SCR - Quantity calculated by mass balance</t>
  </si>
  <si>
    <t>Liquid emission from UPW - To WWT station</t>
  </si>
  <si>
    <t>Liquid emission from PCW - To WWT station</t>
  </si>
  <si>
    <t>Solid emission from Scrapped wafers - Solid emission from WAFER FAB</t>
  </si>
  <si>
    <t>Amount of wastewater reinjected into wafer fab water system is based on WW recycling yield</t>
  </si>
  <si>
    <t>Treatment from WWT - Accounted for in emissions from WAFER FAB</t>
  </si>
  <si>
    <t>RCU</t>
  </si>
  <si>
    <t>MAU</t>
  </si>
  <si>
    <t>EXH</t>
  </si>
  <si>
    <t>Solid emission from DICING</t>
  </si>
  <si>
    <t>Gaseous emission from POST-EXPOSURE DEVELOPMENT - To SCR - Quantity calculated by mass balance</t>
  </si>
  <si>
    <t>Liquid emission from DICING</t>
  </si>
  <si>
    <t>photochemical ozone formation: human health no LT</t>
  </si>
  <si>
    <t>Liquid emission from PHOTOLITHOGRAPHY</t>
  </si>
  <si>
    <t>Proxy for photoresist base - Phenolic resin (cresol-formaldehyde)</t>
  </si>
  <si>
    <t>Solid emission from CMP - To UF unit then WWT station - Quantity calculated by mass balance</t>
  </si>
  <si>
    <t>Solid emission from CMP</t>
  </si>
  <si>
    <t>Liquid emission from POST-EXPOSURE DEVELOPMENT - To AWN - Quantity calculated by mass balance</t>
  </si>
  <si>
    <t>Solid emission from SPIN-COATING - To disposal - Quantity calculated by mass balance</t>
  </si>
  <si>
    <t>AWN station electrical energy requirements</t>
  </si>
  <si>
    <t>Gaseous emission from IMPLANT - To SCR - Quantity calculated by mass balance</t>
  </si>
  <si>
    <t>Piranha solution, at plant</t>
  </si>
  <si>
    <t>SiO2 etchant, at plant</t>
  </si>
  <si>
    <t>Gaseous emission from CVD - To SCR - Quantity calculated by mass balance</t>
  </si>
  <si>
    <t>hydrogen</t>
  </si>
  <si>
    <t>silicon tetrafluoride</t>
  </si>
  <si>
    <t>hydrochloric acid</t>
  </si>
  <si>
    <t>kWh/h</t>
  </si>
  <si>
    <r>
      <t>Manufacturing yield</t>
    </r>
    <r>
      <rPr>
        <i/>
        <sz val="11"/>
        <color theme="1"/>
        <rFont val="Calibri"/>
        <family val="2"/>
        <scheme val="minor"/>
      </rPr>
      <t xml:space="preserve"> η</t>
    </r>
    <r>
      <rPr>
        <sz val="11"/>
        <color theme="1"/>
        <rFont val="Calibri"/>
        <family val="2"/>
        <scheme val="minor"/>
      </rPr>
      <t xml:space="preserve"> (</t>
    </r>
    <r>
      <rPr>
        <i/>
        <sz val="11"/>
        <color theme="1"/>
        <rFont val="Calibri"/>
        <family val="2"/>
        <scheme val="minor"/>
      </rPr>
      <t>η</t>
    </r>
    <r>
      <rPr>
        <i/>
        <vertAlign val="subscript"/>
        <sz val="11"/>
        <color theme="1"/>
        <rFont val="Calibri"/>
        <family val="2"/>
        <scheme val="minor"/>
      </rPr>
      <t>1</t>
    </r>
    <r>
      <rPr>
        <sz val="11"/>
        <color theme="1"/>
        <rFont val="Calibri"/>
        <family val="2"/>
        <scheme val="minor"/>
      </rPr>
      <t xml:space="preserve"> x </t>
    </r>
    <r>
      <rPr>
        <i/>
        <sz val="11"/>
        <color theme="1"/>
        <rFont val="Calibri"/>
        <family val="2"/>
        <scheme val="minor"/>
      </rPr>
      <t>η</t>
    </r>
    <r>
      <rPr>
        <i/>
        <vertAlign val="subscript"/>
        <sz val="11"/>
        <color theme="1"/>
        <rFont val="Calibri"/>
        <family val="2"/>
        <scheme val="minor"/>
      </rPr>
      <t>2</t>
    </r>
    <r>
      <rPr>
        <sz val="11"/>
        <color theme="1"/>
        <rFont val="Calibri"/>
        <family val="2"/>
        <scheme val="minor"/>
      </rPr>
      <t xml:space="preserve"> x </t>
    </r>
    <r>
      <rPr>
        <i/>
        <sz val="11"/>
        <color theme="1"/>
        <rFont val="Calibri"/>
        <family val="2"/>
        <scheme val="minor"/>
      </rPr>
      <t>η</t>
    </r>
    <r>
      <rPr>
        <i/>
        <vertAlign val="subscript"/>
        <sz val="11"/>
        <color theme="1"/>
        <rFont val="Calibri"/>
        <family val="2"/>
        <scheme val="minor"/>
      </rPr>
      <t>3</t>
    </r>
    <r>
      <rPr>
        <sz val="11"/>
        <color theme="1"/>
        <rFont val="Calibri"/>
        <family val="2"/>
        <scheme val="minor"/>
      </rPr>
      <t>)</t>
    </r>
  </si>
  <si>
    <r>
      <t>Front-end (FE) yield (</t>
    </r>
    <r>
      <rPr>
        <i/>
        <sz val="11"/>
        <color theme="1"/>
        <rFont val="Calibri"/>
        <family val="2"/>
      </rPr>
      <t>η</t>
    </r>
    <r>
      <rPr>
        <i/>
        <vertAlign val="subscript"/>
        <sz val="11"/>
        <color theme="1"/>
        <rFont val="Calibri"/>
        <family val="2"/>
      </rPr>
      <t>1</t>
    </r>
    <r>
      <rPr>
        <sz val="11"/>
        <color theme="1"/>
        <rFont val="Calibri"/>
        <family val="2"/>
      </rPr>
      <t>)</t>
    </r>
  </si>
  <si>
    <t>Fab throughput</t>
  </si>
  <si>
    <t>DC parametric electrical testing at die level (DPT) through needle probing</t>
  </si>
  <si>
    <t>Tested good die are packaged in 560 mm-diameter ESD-proof reel with tape cover, designed to contain 5000 singulated IGBT units</t>
  </si>
  <si>
    <t>treatment of wastewater, average, wastewater treatment</t>
  </si>
  <si>
    <t>wastewater, average</t>
  </si>
  <si>
    <t>Tool utilization rate (U)</t>
  </si>
  <si>
    <t>UTILITIES 3 - UTILITY COMPRESSED DRY AIR (CDA)</t>
  </si>
  <si>
    <t>Energy Conversion Factor (ECF) - Utility Compressed Dry Air (CDA)</t>
  </si>
  <si>
    <t>ecoinvent dataset : 0,269 kWh/m3</t>
  </si>
  <si>
    <t>[2008KRI]</t>
  </si>
  <si>
    <t>ecoinvent dataset : treatment of spent sawing slurry from Si-wafer cutting / RoW / reference product : spent sawing slurry from Si-wafer cutting</t>
  </si>
  <si>
    <t>ecoinvent dataset : air separation, cryogenic / RoW / reference product : nitrogen</t>
  </si>
  <si>
    <t>ecoinvent dataset : compressed air production, 800 kPa gauge, &gt;30kW, optimized generation / RoW / reference product : compressed air, 800 kPa gauge</t>
  </si>
  <si>
    <t>Mass fraction in Piranha etch - H2O2</t>
  </si>
  <si>
    <t>Mass fraction in Piranha etch - H2O</t>
  </si>
  <si>
    <t>market for wastewater, unpolluted</t>
  </si>
  <si>
    <t>wastewater, unpolluted</t>
  </si>
  <si>
    <t>[WIL2003]</t>
  </si>
  <si>
    <t>Cristalline orientation</t>
  </si>
  <si>
    <t>Typical SEMI standards: &lt;100&gt; / &lt;111&gt; / &lt;110&gt;</t>
  </si>
  <si>
    <t>&lt;100&gt;</t>
  </si>
  <si>
    <t>Electrical resistivity</t>
  </si>
  <si>
    <r>
      <rPr>
        <sz val="11"/>
        <color theme="1"/>
        <rFont val="Calibri"/>
        <family val="2"/>
      </rPr>
      <t>Ω</t>
    </r>
    <r>
      <rPr>
        <sz val="11"/>
        <color theme="1"/>
        <rFont val="Calibri"/>
        <family val="2"/>
        <scheme val="minor"/>
      </rPr>
      <t>.cm</t>
    </r>
  </si>
  <si>
    <t>Wafer resistivity affects max breakdown voltage, switching speeds, power efficiency, noise level, thermal behavior</t>
  </si>
  <si>
    <t>[50-150]</t>
  </si>
  <si>
    <t>Polishing</t>
  </si>
  <si>
    <t>Single side polished</t>
  </si>
  <si>
    <t>SSP</t>
  </si>
  <si>
    <t>725 µm +/- 20 µm - Based on SEMI M1-0302 standard</t>
  </si>
  <si>
    <t>Initial wafer volume</t>
  </si>
  <si>
    <t>Wafer density</t>
  </si>
  <si>
    <t>Energy input per 1 kg of Si wafer, sliced, unpolished</t>
  </si>
  <si>
    <t>kWh / kg</t>
  </si>
  <si>
    <t>[2011PRA], [2021DIA]</t>
  </si>
  <si>
    <t>Energy input per wafer</t>
  </si>
  <si>
    <t>Final wafer thickness (die thickness)</t>
  </si>
  <si>
    <t>Final wafer volume</t>
  </si>
  <si>
    <t>Input material / remaining-on-wafer silicon ratio</t>
  </si>
  <si>
    <t>Ratio between amt of material used vs amt of material on final wafer</t>
  </si>
  <si>
    <t>Sheet #</t>
  </si>
  <si>
    <t>Content</t>
  </si>
  <si>
    <t>Contents</t>
  </si>
  <si>
    <t>Bill of Materials (BoM)</t>
  </si>
  <si>
    <t>Bill of Energy (BoE)</t>
  </si>
  <si>
    <t>Borosilicate glass</t>
  </si>
  <si>
    <t>Borosilicate glass carrier / 1 glass carrier per silicon wafer / same diameter as wafer</t>
  </si>
  <si>
    <t>007440-02-0</t>
  </si>
  <si>
    <t>Inputs list</t>
  </si>
  <si>
    <t>User inputs</t>
  </si>
  <si>
    <t>Impact categories</t>
  </si>
  <si>
    <t>Pedigree matrix</t>
  </si>
  <si>
    <t>Summary LCI</t>
  </si>
  <si>
    <t>Process recap</t>
  </si>
  <si>
    <t>Raw wafer production</t>
  </si>
  <si>
    <t>Wet etch</t>
  </si>
  <si>
    <t>Wet clean</t>
  </si>
  <si>
    <t>Photolithography</t>
  </si>
  <si>
    <t>Dry etch</t>
  </si>
  <si>
    <t>Thermal processes</t>
  </si>
  <si>
    <t>Implant</t>
  </si>
  <si>
    <t>Thinning</t>
  </si>
  <si>
    <t>Dicing</t>
  </si>
  <si>
    <t>Probing</t>
  </si>
  <si>
    <t>Cleanroom facilities &amp; infrastructures (wafer fab)</t>
  </si>
  <si>
    <t>Chemicals &amp; materials</t>
  </si>
  <si>
    <t>Front-end yield models</t>
  </si>
  <si>
    <t>Die count model</t>
  </si>
  <si>
    <t>References</t>
  </si>
  <si>
    <t>2460 s</t>
  </si>
  <si>
    <t>PR soft baking temperature</t>
  </si>
  <si>
    <t>PR soft baking time</t>
  </si>
  <si>
    <t>Processing sequence: Wf loading / Soft bake / Alignment / UV-exposure / Wf unloading</t>
  </si>
  <si>
    <t>120 (soft bake)</t>
  </si>
  <si>
    <t>[2008GEN], [2003WIL]</t>
  </si>
  <si>
    <t>Full-auto dual spindle dicing saw</t>
  </si>
  <si>
    <t>Equipment type hypothesis</t>
  </si>
  <si>
    <t>Hypothesis : one wafer probing step per photomask level + final wafer test before dicing</t>
  </si>
  <si>
    <t>Full-auto wafer prober - Wafer loading / wafer center &amp; alignement / wafer probing / wafer unloading</t>
  </si>
  <si>
    <t>UPW spraying time</t>
  </si>
  <si>
    <t>Energy Conversion Factor (ECF) - Wet Scrubber (SCR)</t>
  </si>
  <si>
    <t xml:space="preserve">Make-up air is mixed with recirculating air from RCU </t>
  </si>
  <si>
    <t>1,6 l of incoming water / 1 l of UPW -  Incoming water required to produce UPW already included in ecoinvent dataset 'water production, ultrapure' is 1,5 kg/kg</t>
  </si>
  <si>
    <t>IGBT DIE</t>
  </si>
  <si>
    <t>SiO2 etching sequence : Buffered HF (BHF) + UPW rinse</t>
  </si>
  <si>
    <t>Single-wafer spin-etcher</t>
  </si>
  <si>
    <t>Isotropic backside silicon wet etch process through spin-etching</t>
  </si>
  <si>
    <t>Full-automatic multitank wet bench</t>
  </si>
  <si>
    <t>Model reference</t>
  </si>
  <si>
    <t>[2024BOA]</t>
  </si>
  <si>
    <t>Spin-coating / Development</t>
  </si>
  <si>
    <t>RT (cold implant)</t>
  </si>
  <si>
    <t>N-type silicon substrate: Phosphorus (P), antimony (Sb), or arsenic (As) doping</t>
  </si>
  <si>
    <t>Wafer material &amp; doping</t>
  </si>
  <si>
    <t xml:space="preserve">N-type ion implantation - PH3 used as doping gas, Ar as ambiant gaseous atmosphere </t>
  </si>
  <si>
    <t>Multitank wet bench</t>
  </si>
  <si>
    <t>50 / 25</t>
  </si>
  <si>
    <t>Batch processing per 25 wafers</t>
  </si>
  <si>
    <t>Low-current / high-energy ion beam implanter</t>
  </si>
  <si>
    <t xml:space="preserve">Multitank wet bench </t>
  </si>
  <si>
    <t>Wafer-bonder</t>
  </si>
  <si>
    <t>CMP tool</t>
  </si>
  <si>
    <t>Dual spindle back-grinder</t>
  </si>
  <si>
    <t>Low current / high-energy ion beam implanter</t>
  </si>
  <si>
    <t>50 liters tank capacity</t>
  </si>
  <si>
    <t>PR wet etch stripping using Piranha (SPM) solution</t>
  </si>
  <si>
    <t>Wet brush scrubber</t>
  </si>
  <si>
    <t>[100 - 200]</t>
  </si>
  <si>
    <t>RF barrel plasma asher</t>
  </si>
  <si>
    <t>RF barrel plasma reactor</t>
  </si>
  <si>
    <t>[100 - 200] °C</t>
  </si>
  <si>
    <t>RTA vacuum chamber</t>
  </si>
  <si>
    <t>Backside implants &amp; P-N junction activation through laser annealing</t>
  </si>
  <si>
    <t>Backside metal deposition - Al adhesion layer</t>
  </si>
  <si>
    <t>Backside metal deposition - Ti adhesion layer</t>
  </si>
  <si>
    <t>Backside metal deposition - Ni diffusion barrier</t>
  </si>
  <si>
    <t>Backside metal deposition - Ag wettability &amp; brazability layer</t>
  </si>
  <si>
    <t>Final parametric testing before dicing</t>
  </si>
  <si>
    <t>DC sputtering PVD chamber</t>
  </si>
  <si>
    <t>Dual-stack spin-rinse dryer</t>
  </si>
  <si>
    <t>Dual-stack spin-rinse dryer, manual loading &amp; unloading</t>
  </si>
  <si>
    <t>450 s</t>
  </si>
  <si>
    <t>Complementary backside chemical-mechanical planarization before backside implants</t>
  </si>
  <si>
    <t>Thermal growth of thin scattering oxide layer through dry oxidation</t>
  </si>
  <si>
    <t>First P-type implantation for guard rings</t>
  </si>
  <si>
    <t>75 °C</t>
  </si>
  <si>
    <t>WET ETCH - METAL LIFT-OFF PROCESS</t>
  </si>
  <si>
    <t>25 / 50</t>
  </si>
  <si>
    <t>1260 s</t>
  </si>
  <si>
    <t>85 °C (hot HNO3)</t>
  </si>
  <si>
    <t>Annealing time for salicide process</t>
  </si>
  <si>
    <t>[150 -250] °C</t>
  </si>
  <si>
    <t>Inductively Coupled Plasma Reactive Ion Etch reactor (ICP-RIE)</t>
  </si>
  <si>
    <t xml:space="preserve">Thermal growth of field oxide on guard rings (LOCOS) through wet oxidation for active area definition + diffusion of edge P-type implants                                          </t>
  </si>
  <si>
    <t>1100  °C</t>
  </si>
  <si>
    <t>[150 - 350]</t>
  </si>
  <si>
    <t>212 s</t>
  </si>
  <si>
    <t>Dry etching of silicon for creation of deep trenches through BOSCH process</t>
  </si>
  <si>
    <t>130 °C</t>
  </si>
  <si>
    <t>120 °C (soft bake)</t>
  </si>
  <si>
    <t>Depostion of thin scattering oxide layer for backside surface implants</t>
  </si>
  <si>
    <t>Deposition of tungsten contact layer and creation of tungsten contatc plugs through PE-CVD</t>
  </si>
  <si>
    <t>1050 s</t>
  </si>
  <si>
    <t>Post-implant activation through Rapid Thermal Annealing (RTA)</t>
  </si>
  <si>
    <t>1100 °C</t>
  </si>
  <si>
    <t xml:space="preserve"> 350 °C (PSPI)</t>
  </si>
  <si>
    <t>[70-80] °C</t>
  </si>
  <si>
    <t>Dry etching - Si</t>
  </si>
  <si>
    <t>160 s</t>
  </si>
  <si>
    <t>1000 °C</t>
  </si>
  <si>
    <t>Magnetic Crzochralski ingot growth method (m-CZ)</t>
  </si>
  <si>
    <t>[WIL2003], [2011PRA]</t>
  </si>
  <si>
    <t>N-doped Silicon (Si)</t>
  </si>
  <si>
    <t>Full-auto spin-coater / developer</t>
  </si>
  <si>
    <t>[2018GEN], [2025FRA], [2025CEA]</t>
  </si>
  <si>
    <t>[2025FRA], [2025CEA]</t>
  </si>
  <si>
    <t>[2025CEA]</t>
  </si>
  <si>
    <t>[2017YOL]</t>
  </si>
  <si>
    <t>[2024SEM]</t>
  </si>
  <si>
    <t>Number of wafer processed in wet tank before tank replacement</t>
  </si>
  <si>
    <t>[2018GEN], [2025FRA]</t>
  </si>
  <si>
    <t>CHEM. SOL.</t>
  </si>
  <si>
    <t>IGBT process flow</t>
  </si>
  <si>
    <t>[2023BOA], [2025CEA]</t>
  </si>
  <si>
    <t xml:space="preserve"> [2025CEA]</t>
  </si>
  <si>
    <t>Total duration of process iteration</t>
  </si>
  <si>
    <t>Full-auto KrF-line UV-stepper</t>
  </si>
  <si>
    <t>Rapid thermal annealing - Post-implant activation (PIA)</t>
  </si>
  <si>
    <t>Rapid thermal annealing - Salicide process</t>
  </si>
  <si>
    <t>1 RTA for salicide</t>
  </si>
  <si>
    <t>3 RTAs for PIA</t>
  </si>
  <si>
    <t>CHEMICAL-MECHANICAL POLISHING (CMP) - AGGREGATED PROCESS MODEL</t>
  </si>
  <si>
    <t>CMP - DIELECTRIC CMP (Si, PolySi, SiO2)</t>
  </si>
  <si>
    <t>CMP - POST-CMP WET SCRUBBING</t>
  </si>
  <si>
    <t>CMP - METAL CMP (W)</t>
  </si>
  <si>
    <t>PVD - TITANIUM (Ti)</t>
  </si>
  <si>
    <t>PVD - ALUMINIUM (Al)</t>
  </si>
  <si>
    <t>PVD - NICKEL (Ni)</t>
  </si>
  <si>
    <t>PVD - SILVER (Ag)</t>
  </si>
  <si>
    <t>PROBING - WAFER PROBE TEST (WPT)</t>
  </si>
  <si>
    <t>PROBING - DIE PROBE TEST (DPT) / KNOWN GOOD DIE (KGD)</t>
  </si>
  <si>
    <t>DICING - WAFER DICING</t>
  </si>
  <si>
    <t>THINNING - WAFER BONDING</t>
  </si>
  <si>
    <t>THINNING - WAFER BACK-GRINDING</t>
  </si>
  <si>
    <t>Total duration of process iteration - PIA</t>
  </si>
  <si>
    <t>Total duration of process iteration - Salicide process</t>
  </si>
  <si>
    <t>Number of iterations along wafer process flow - PIA</t>
  </si>
  <si>
    <t>PVD - Ti</t>
  </si>
  <si>
    <t>PVD - Al</t>
  </si>
  <si>
    <t>PVD - Ni</t>
  </si>
  <si>
    <t>PVD - Ag</t>
  </si>
  <si>
    <t>CVD - LP-CVD SILICON NITRIDE (SiN)</t>
  </si>
  <si>
    <t>CVD - LP-CVD DOPED POLYSILICON (PolySi)</t>
  </si>
  <si>
    <t>CVD - PE-CVD INTER LAYER DIELECTRIC (ILD, SiO2)</t>
  </si>
  <si>
    <t>Chemical reaction : 2 Si + O2 → 2 SiO2</t>
  </si>
  <si>
    <t>High-temperature horizontal or vertical furnace (batch processing)</t>
  </si>
  <si>
    <t>Ignored</t>
  </si>
  <si>
    <t>THERMAL PROCESSES - DRY THERMAL OXIDATION (SCATTERING OXIDE)</t>
  </si>
  <si>
    <t>THERMAL PROCESSES - DRY THERMAL OXIDATION (GATE OXIDE)</t>
  </si>
  <si>
    <t>THERMAL PROCESSES - WET THERMAL OXIDATION (LOCOS FIELD OXIDE)</t>
  </si>
  <si>
    <t xml:space="preserve">THERMAL PROCESSES - RAPID THERMAL ANNEALING (RTA) </t>
  </si>
  <si>
    <t>High-temperature RTA vaccum chamber</t>
  </si>
  <si>
    <t>Furnace annealing for diffusion of topside implants and topside metal structuring</t>
  </si>
  <si>
    <t>THERMAL PROCESSES - FURNACE ANNEALING</t>
  </si>
  <si>
    <t>Laser annealing for activation and activation of backside implants and backside ohmic contacts creation</t>
  </si>
  <si>
    <t>Full-auto laser annealing equipment (single wafer processing)</t>
  </si>
  <si>
    <t>THERMAL PROCESSES - LASER ANNEALING</t>
  </si>
  <si>
    <t>THERMAL PROCESSES - HARD BAKING</t>
  </si>
  <si>
    <t>UTILITIES 1 - ULTRAPURE WATER (UPW)</t>
  </si>
  <si>
    <t>RTA annealing for topside implants activation &amp; creation of ohmic contact between metal layers and silicon</t>
  </si>
  <si>
    <t>[2017YOL], [2025FRA]</t>
  </si>
  <si>
    <t>[2018GEN], [2017YOL]</t>
  </si>
  <si>
    <t>Baking oven (batch processing)</t>
  </si>
  <si>
    <t>Hard baking of topside passivation (photosensitive polyimide (PSPI))</t>
  </si>
  <si>
    <t>Growth of scattering oxide SiO2 layer before ion implant through dry thermal oxidation Chemical reaction : 2 Si + O2 → 2 SiO2</t>
  </si>
  <si>
    <t>Growth of high-quality SiO2 gate oxide through dry thermal oxidation</t>
  </si>
  <si>
    <t>Wet thermal oxidation for local oxidation of silicon (LOCOS) process</t>
  </si>
  <si>
    <t>PHOTOLITHOGRAPHY - SPIN-COATING</t>
  </si>
  <si>
    <t>Spin-coating of photoresist (PR) on wafer - Novolak/DNQ-based, positive tone photosensitive resist (unexposed areas remain onto the wafer)</t>
  </si>
  <si>
    <t>Equipment nominal electrical power (kW)</t>
  </si>
  <si>
    <t>Power Correction Factor (PCF)</t>
  </si>
  <si>
    <t>[2018GEN] / [2014OH]</t>
  </si>
  <si>
    <t>Full-auto KGD die probing tower</t>
  </si>
  <si>
    <t>Accounted for WAFER FAB</t>
  </si>
  <si>
    <t>Vacuum for wafer chuck operations</t>
  </si>
  <si>
    <t>Compressed dry air for wafer chuck operation</t>
  </si>
  <si>
    <t>Total duration of process iterations along process flow</t>
  </si>
  <si>
    <t>Number of iterations along wafer process flow - Salicide process</t>
  </si>
  <si>
    <t>Duration of process iteration</t>
  </si>
  <si>
    <t>Step-cut blade sawing process (Z1 + Z2)</t>
  </si>
  <si>
    <t>Automatic handling and mounting of thinned wafer on dicing tape with metal frame</t>
  </si>
  <si>
    <t>1 mm-thick glass wafer carrier</t>
  </si>
  <si>
    <t>Glass wafer carrier required for ultrathin wafer handling and backside processing</t>
  </si>
  <si>
    <t>[2018GEN], [2025FRA], [2025CEA</t>
  </si>
  <si>
    <t>Number of process iterations in aggregated process model</t>
  </si>
  <si>
    <t xml:space="preserve">Polyester base dual-side adhesive bonding tape </t>
  </si>
  <si>
    <t>200 µm-thk adhesive bonding tape</t>
  </si>
  <si>
    <t>Temperature-activated bonding process</t>
  </si>
  <si>
    <t>Borosilicate glass carrier / 1 glass carrier per silicon wafer / Reusable (not accounted as waste)</t>
  </si>
  <si>
    <t>SEMI M1 standard</t>
  </si>
  <si>
    <t>SEMI standard</t>
  </si>
  <si>
    <t>Full-automatic dual-spindle back-grinder</t>
  </si>
  <si>
    <t>Wafer thinning after frontside patterning &amp; metallization and before backside wet etch, implant, &amp; metallization</t>
  </si>
  <si>
    <t>Thermal release of thinned wafer from glass wafer carrier</t>
  </si>
  <si>
    <t>Wafer debonding &amp; mounting on dicing frame</t>
  </si>
  <si>
    <t>Solid emission from DICING - Scrapped dual-side adhesive bonding tape</t>
  </si>
  <si>
    <t>Full-automatic wafer debonder &amp; mounter</t>
  </si>
  <si>
    <t>DICING - WAFER DEBONDING &amp; MOUNTING</t>
  </si>
  <si>
    <t>PoU system : standalone chiller for back-grinding tool - 3 kW</t>
  </si>
  <si>
    <t>PoU system : standalone chiller for CMP tool - 3 kW</t>
  </si>
  <si>
    <t>Silica / hydrogen peroxide CMP slurry</t>
  </si>
  <si>
    <t>Chemical-mechanical planarization of topside metal W contact layer deposited through PE-CVD</t>
  </si>
  <si>
    <t>Chemical-mechanical planarization of dielectric Si, PolySi, SiO2 layers after topside PolySi deposition and after wafer backside stress release (spin-etch)</t>
  </si>
  <si>
    <t>Wafer scrubbing usingr and UPW, NH4OH &amp; N2 - Diluted SC1</t>
  </si>
  <si>
    <t>Full-auto wet brush scrubber</t>
  </si>
  <si>
    <t>Post-CMP wet scrubbing for wafer decontamination</t>
  </si>
  <si>
    <t>[2025FRA] / PROCESS RECAP</t>
  </si>
  <si>
    <t>[2017YOL] / PROCESS RECAP</t>
  </si>
  <si>
    <t>[2017YOL], [2025CEA] / PROCESS RECAP</t>
  </si>
  <si>
    <t xml:space="preserve">[2017YOL] </t>
  </si>
  <si>
    <t>Film thickness to be deposited - Topside</t>
  </si>
  <si>
    <t>Film thickness to be deposited - Backside</t>
  </si>
  <si>
    <t>300 nm-thick Al adhesion layer on wafer backside</t>
  </si>
  <si>
    <t>3,2 µm-thick topside Al metallization on wafer frontside</t>
  </si>
  <si>
    <t>Deposition of Al metal layer on wafer frontside and backside through PVD</t>
  </si>
  <si>
    <t>Backside Al metal deposition</t>
  </si>
  <si>
    <t>Topside Al metal deposition</t>
  </si>
  <si>
    <t>Gaseous emissions from PVD - To SCR - Quantity calculated by mass balance</t>
  </si>
  <si>
    <t>Topside + backside Ti metal liner deposition</t>
  </si>
  <si>
    <t>Deposition of Ti metal liner layer on wafer frontside and backside through PVD</t>
  </si>
  <si>
    <t>Deposition of Ni backside diffusion barrier through PVD</t>
  </si>
  <si>
    <t>Deposition of Ag brazability / wettability backside layer through PVD</t>
  </si>
  <si>
    <t>Duration of process iteration - Topside</t>
  </si>
  <si>
    <t>Duration of process iteration - Backside</t>
  </si>
  <si>
    <t>Total duration of process</t>
  </si>
  <si>
    <t>CVD deposition of SiN layer used as hard oxidation mask for LOCOS process</t>
  </si>
  <si>
    <t>oxygen</t>
  </si>
  <si>
    <t>Total electrical input - Equipment and PoU systems in process and idle mode</t>
  </si>
  <si>
    <t>W (tungsten) - ecoinvent proxy for tungsten hexafluoride (WF6)</t>
  </si>
  <si>
    <t>NH3 (ammonia) - Gaseous precursor for SiN deposition</t>
  </si>
  <si>
    <t>CHF3 (trifluoromethane) - ecoinvent proxy for NF3 used in PE-CVD chamber cleaning</t>
  </si>
  <si>
    <t>N2 (nitrogen) - Utility purging gas</t>
  </si>
  <si>
    <t>Ar (argon) - Sputtering gas</t>
  </si>
  <si>
    <t>O2 (oxygen) - Gaseous precursor for SiO2 deposition</t>
  </si>
  <si>
    <t>PH3 (phosphane) - Doping gas for doped PolySi deposition</t>
  </si>
  <si>
    <t>SiN density</t>
  </si>
  <si>
    <t>SiN molar mass</t>
  </si>
  <si>
    <t>O2 (oxygen) - Gaseous precursor for SiO2 thermal growth</t>
  </si>
  <si>
    <t>H2 (hydrogen) - Gaseous precursor for SiO2 thermal growth</t>
  </si>
  <si>
    <t>Al (aluminum) - Sputtering target</t>
  </si>
  <si>
    <t>Ag (silver) - Sputtering target</t>
  </si>
  <si>
    <t>Ti (titanium) - Sputtering target</t>
  </si>
  <si>
    <t>Ni (nickel) - Sputtering target</t>
  </si>
  <si>
    <t>CVD deposition of doped PolySi in deep trenches</t>
  </si>
  <si>
    <t>ammonia</t>
  </si>
  <si>
    <t>argon</t>
  </si>
  <si>
    <t>tungsten</t>
  </si>
  <si>
    <t>[2017YOL], [2025FRA], [2025CEA]</t>
  </si>
  <si>
    <t xml:space="preserve"> [2025FRA], [2025CEA], [2023BOA]</t>
  </si>
  <si>
    <t>PoU system : 11 kW microwave atmospheric plasma abatement system for destruction of PFCs &amp; HFCs - Hypothesis : 95% Destruction Removal Efficiency (DRE)</t>
  </si>
  <si>
    <t>sulfur hexafluoride</t>
  </si>
  <si>
    <t>Gaseous emissions from THERMAL PROCESSES - To SCR</t>
  </si>
  <si>
    <t>Chemical reaction : 2 H2 + O2 → 2 H2O / Si + 2 H2O → SiO2 + 2H2</t>
  </si>
  <si>
    <t>Gaseous emissions from THERMAL PROCESSES - To SCR - Quantity calculated by mass balance</t>
  </si>
  <si>
    <t xml:space="preserve">SCR capacity </t>
  </si>
  <si>
    <t>SCR electrical energy requirements</t>
  </si>
  <si>
    <t>Energy Conversion Factor (ECF) - Wet scrubber (SCR)</t>
  </si>
  <si>
    <t>Gaseous emission from DRY ETCH</t>
  </si>
  <si>
    <t>95% wet scrubber efficiency</t>
  </si>
  <si>
    <t>Gaseous emission from THERMAL PROCESSES</t>
  </si>
  <si>
    <t>Gaseous emission from PVD</t>
  </si>
  <si>
    <t>Gaseous emission from CVD</t>
  </si>
  <si>
    <t>Gaseous emission from IMPLANT</t>
  </si>
  <si>
    <t>methane, trifluoro-, HFC-23</t>
  </si>
  <si>
    <t>argon-40</t>
  </si>
  <si>
    <t>phosphine</t>
  </si>
  <si>
    <t>Liquid emissions from WET CLEAN &amp; RINSE - To WWT - Quantity calculated by mass balance</t>
  </si>
  <si>
    <t>Gaseous emissions from WET CLEAN &amp; RINSE - To SCR - Quantity calculated by mass balance</t>
  </si>
  <si>
    <t>Liquid emissions from WET ETCH - To AWN - Quantity calculated by mass balance</t>
  </si>
  <si>
    <t>Gaseous emissions from WET ETCH - To SCR - Quantity calculated by mass balance</t>
  </si>
  <si>
    <t>Solid emission from PHOTOLITHOGRAPHY - To disposal - Quantity calculated by mass balance</t>
  </si>
  <si>
    <t>Liquid emission from PHOTOLITHOGRAPHY - To AWN - Quantity calculated by mass balance</t>
  </si>
  <si>
    <t>Gaseous emission from PHOTOLITHOGRAPHY - To SCR - Quantity calculated by mass balance</t>
  </si>
  <si>
    <t>Solid emission from WAFER FAB</t>
  </si>
  <si>
    <t>WET CLEAN &amp; RINSE</t>
  </si>
  <si>
    <t>Gaseous emission from WET ETCH</t>
  </si>
  <si>
    <t>Gaseous emission from WET CLEAN &amp; RINSE</t>
  </si>
  <si>
    <t>Gaseous emission from PHOTOLITHOGRAPHY</t>
  </si>
  <si>
    <t>Volume of tap water per volume of treated input gas based on an average liqui-to-gas ratio of 3 liters per cubic meter</t>
  </si>
  <si>
    <t>Electrical energy - SCR</t>
  </si>
  <si>
    <t>SCR</t>
  </si>
  <si>
    <t>Tap water - SCR</t>
  </si>
  <si>
    <t>Gaseous emission from CMP</t>
  </si>
  <si>
    <t>[2017YOL], [2018GEN]</t>
  </si>
  <si>
    <t>[2015TAK], [2025FRA], [2025CEA]</t>
  </si>
  <si>
    <t xml:space="preserve">P-type ion implantation - BF3 used as doping gas, Ar as ambiant gaseous atmosphere </t>
  </si>
  <si>
    <t>BF3 doping gas is dissociated in high-energy e-beams into ionic form and implanted into single-crystal silicon</t>
  </si>
  <si>
    <t>P-doped areas</t>
  </si>
  <si>
    <t>PoU system : 11 kW microwave atmospheric plasma abatement system - Hypothesis : 95% Destruction Removal Efficiency (DRE)</t>
  </si>
  <si>
    <t>Liquid emission from WAFER FAB</t>
  </si>
  <si>
    <t>Volume fraction - TMAH</t>
  </si>
  <si>
    <t>Volume fraction - UPW</t>
  </si>
  <si>
    <t>Density - TMAH</t>
  </si>
  <si>
    <t>Density - UPW</t>
  </si>
  <si>
    <t>Density - Alkaline developer</t>
  </si>
  <si>
    <t>Mass fraction - TMAH</t>
  </si>
  <si>
    <t>Mass fraction - UPW</t>
  </si>
  <si>
    <t>Alkaline developer, at plant</t>
  </si>
  <si>
    <t>ecoinvent proxy for TMAH</t>
  </si>
  <si>
    <t>Mass composition of alkaline developer - TMAH</t>
  </si>
  <si>
    <t>Ti etchant - [2 HF (50 vol. %) : 2 HNO3 (70%)]</t>
  </si>
  <si>
    <t>Density - Ti etchant</t>
  </si>
  <si>
    <t>Density - SiO2 etchant</t>
  </si>
  <si>
    <t>Ti etchant, at plant</t>
  </si>
  <si>
    <t>W etchant - [1 HF (50 vol. %) : 2 HNO3 (70%)]</t>
  </si>
  <si>
    <t>Density - W etchant</t>
  </si>
  <si>
    <t>W etchant, at plant</t>
  </si>
  <si>
    <t>Al etchant - [19 H3PO4 (85 vol.%) : 1 H3CCOOH (50 vol.%) : 1 HNO3 (70 vol.%) : 2 H2O]</t>
  </si>
  <si>
    <t>Density - Al etchant</t>
  </si>
  <si>
    <t>V</t>
  </si>
  <si>
    <t>Fixed</t>
  </si>
  <si>
    <t>Liquid emissions from CMP treated by UF - To WWT station</t>
  </si>
  <si>
    <t>Liquid emissions from THINNING treated by UF  - To WWT station</t>
  </si>
  <si>
    <t>Liquid emissions from DICING treated by UF  - To WWT station</t>
  </si>
  <si>
    <t>WAFER FAB EMISSIONS - SCRAPPED WAFERS</t>
  </si>
  <si>
    <t>Abatement efficiency</t>
  </si>
  <si>
    <t>Treatment of solid emissions from CMP by UF - Allocated to CMP</t>
  </si>
  <si>
    <t>Treatment of solid emissions from THINNING by UF - Allocated to THINNING</t>
  </si>
  <si>
    <t>Treatment of solid emissions from DICING by UF - Allocated to DICING</t>
  </si>
  <si>
    <t>SCR efficiency</t>
  </si>
  <si>
    <t>Treatment of liquid emissions of CMP from UF by WWT - Accounted for in emissions of CMP</t>
  </si>
  <si>
    <t>Treatment of liquid emissions of THINNING from UF by WWT - Accounted for in emissions of THINNING</t>
  </si>
  <si>
    <t>Treatment of liquid emissions of DICING from UF by WWT - Accounted for in emissions of DICING</t>
  </si>
  <si>
    <t>Treated liquid emissions of CMP from UF by WWT - Accounted for in emissions of CMP</t>
  </si>
  <si>
    <t>Treated liquid emissions of THINNING from UF by WWT - Accounted for in emissions of THINNING</t>
  </si>
  <si>
    <t>Treated liquid emissions of DICING from UF by WWT - Accounted for in emissions of DICING</t>
  </si>
  <si>
    <t>Treatment of PCW drained water by WWT - Accounted for in emissions of WAFER FAB</t>
  </si>
  <si>
    <t>Liquid emissions from DICING treated by UF - To WWT station</t>
  </si>
  <si>
    <t>Liquid emissions from THINNING treated by UF - To WWT station</t>
  </si>
  <si>
    <t>UPW drained water - To WWT station</t>
  </si>
  <si>
    <t>PCW drained water - To WWT station</t>
  </si>
  <si>
    <t>Treatment of UPW drained water by WWT - Accounted for in emissions of WAFER FAB</t>
  </si>
  <si>
    <t>UPW drained water treated by WWT - Accounted for in emissions of WAFER FAB</t>
  </si>
  <si>
    <t>PCW drained water treated by WWT - Accounted for in emissions of WAFER FAB</t>
  </si>
  <si>
    <t>Liquid emissions from CMP treated by AWN - To WWT station</t>
  </si>
  <si>
    <t>Liquid emissions from WET ETCH treated by AWN - To WWT station</t>
  </si>
  <si>
    <t>50 vol.% NaOH solution to neutralize acidic effluents from WET ETCH</t>
  </si>
  <si>
    <t>50 vol.% NaOH solution to neutralize acidic effluents from WET CLEAN</t>
  </si>
  <si>
    <t>30 vol.% HCl solution to neutralize caustic effluents from WET ETCH</t>
  </si>
  <si>
    <t>30 vol.% HCl solution to neutralize caustic effluents from WET CLEAN</t>
  </si>
  <si>
    <t>30 vol.% HCl solution to neutralize caustic effluents from PHOTOLITHOGRAPHY</t>
  </si>
  <si>
    <t>30 vol.% HCl solution to neutralize caustic effluents from CMP</t>
  </si>
  <si>
    <t>Liquid emissions from WET CLEAN treated by AWN - To WWT station</t>
  </si>
  <si>
    <t>Liquid emissions from PHOTOLITHOGRAPHY treated by AWN - To WWT station</t>
  </si>
  <si>
    <t>Treatment of liquid emissions of WET ETCH from AWN by WWT - Accounted for in emissions of WET ETCH</t>
  </si>
  <si>
    <t>Treated liquid emissions of WET ETCH from AWN by WWT - Accounted for in emissions of WET ETCH</t>
  </si>
  <si>
    <t>Treatment of liquid emissions of WET CLEAN from AWN by WWT - Accounted for in emissions of WET CLEAN</t>
  </si>
  <si>
    <t>Treated liquid emissions of WET CLEAN from AWN by WWT - Accounted for in emissions of WET CLEAN</t>
  </si>
  <si>
    <t>Treatment of liquid emissions of PHOTOLITHOGRAPHY from AWN by WWT - Accounted for in emissions of PHOTOLITHOGRAPHY</t>
  </si>
  <si>
    <t>Treated liquid emissions of PHOTOLITHOGRAPHY from AWN by WWT - Accounted for in emissions of PHOTOLITHOGRAPHY</t>
  </si>
  <si>
    <t>Treatment of liquid emissions of CMP from AWN by WWT - Accounted for in emissions of CMP</t>
  </si>
  <si>
    <t>Treated liquid emissions of CMP from AWN by WWT - Accounted for in emissions of CMP</t>
  </si>
  <si>
    <t>ecoinvent dataset : 'treatment of wastewater, average, wastewater treatment / RoW / reference product : wastewater, average'</t>
  </si>
  <si>
    <t>Tap water to scrub gaseous emissions from WET ETCH</t>
  </si>
  <si>
    <t>Tap water to scrub gaseous emissions from WET CLEAN &amp; RINSE</t>
  </si>
  <si>
    <t>Tap water to scrub gaseous emissions from PHOTOLITHOGRAPHY</t>
  </si>
  <si>
    <t>Tap water to scrub gaseous emissions from DRY ETCH</t>
  </si>
  <si>
    <t>Tap water to scrub gaseous emissions from THERMAL PROCESSES</t>
  </si>
  <si>
    <t>Tap water to scrub gaseous emissions from PVD</t>
  </si>
  <si>
    <t>Tap water to scrub gaseous emissions from CVD</t>
  </si>
  <si>
    <t>Tap water to scrub gaseous emissions from IMPLANT</t>
  </si>
  <si>
    <t>Tap water to scrub gaseous emissions from CMP</t>
  </si>
  <si>
    <t>Liquid emission from WET ETCH treated by SCR - To WWT station</t>
  </si>
  <si>
    <t>Gaseous emissions from PVD - Allocated to PVD</t>
  </si>
  <si>
    <t>Gaseous emissions from CMP - Allocated to CMP</t>
  </si>
  <si>
    <t>Gaseous emission from IMPLANT - Allocated to IMPLANT</t>
  </si>
  <si>
    <t>Gaseous emission from CVD - Allocated to CVD</t>
  </si>
  <si>
    <t>Gaseous emission from WET ETCH - Allocated to WET ETCH</t>
  </si>
  <si>
    <t>Gaseous emission from WET CLEAN &amp; RINSE - Allocated to WET CLEAN &amp; RINSE</t>
  </si>
  <si>
    <t>Gaseous emission from PHOTOLITHOGRAPHY - Allocated to PHOTOLITHOGRAPHY</t>
  </si>
  <si>
    <t>Gaseous emission from DRY ETCH - Allocated to DRY ETCH</t>
  </si>
  <si>
    <t>Gaseous emission from THERMAL PROCESSES - Allocated to THERMAL PROCESSES</t>
  </si>
  <si>
    <t>Treatment of liquid emissions of WET ETCH from SCR by WWT - Accounted for in emissions of WET ETCH</t>
  </si>
  <si>
    <t>Treated liquid emissions of WET ETCH from SCR by WWT - Accounted for in emissions of WET ETCH</t>
  </si>
  <si>
    <t>Liquid emission from PHOTOLITHOGRAPHY treated by SCR - To WWT station</t>
  </si>
  <si>
    <t>Liquid emission from WET CLEAN &amp; RINSE treated by SCR - To WWT station</t>
  </si>
  <si>
    <t>Liquid emission from DRY ETCH treated by SCR - To WWT station</t>
  </si>
  <si>
    <t>Liquid emission from THERMAL PROCESSES treated by SCR - To WWT station</t>
  </si>
  <si>
    <t>Liquid emission from PVD treated by SCR - To WWT station</t>
  </si>
  <si>
    <t>Liquid emission from CVD treated by SCR - To WWT station</t>
  </si>
  <si>
    <t>Liquid emission from IMPLANT treated by SCR - To WWT station</t>
  </si>
  <si>
    <t>Liquid emission from CMP treated by SCR - To WWT station</t>
  </si>
  <si>
    <t>Liquid emission from WET CLEAN treated by SCR - To WWT station</t>
  </si>
  <si>
    <t>Treatment of liquid emissions of WET CLEAN from SCR by WWT - Accounted for in emissions of WET CLEAN</t>
  </si>
  <si>
    <t>Treated liquid emissions of WET CLEAN from SCR by WWT - Accounted for in emissions of WET CLEAN</t>
  </si>
  <si>
    <t>Treatment of liquid emissions of PHOTOLITHOGRAPHY from SCR by WWT - Accounted for in emissions of PHOTOLITHOGRAPHY</t>
  </si>
  <si>
    <t>Treated liquid emissions of PHOTOLITHOGRAPHY from SCR by WWT - Accounted for in emissions of PHOTOLITHOGRAPHY</t>
  </si>
  <si>
    <t>Treatment of liquid emissions of DRY ETCH from SCR by WWT - Accounted for in emissions of DRY ETCH</t>
  </si>
  <si>
    <t>Treated liquid emissions of DRY ETCH from SCR by WWT - Accounted for in emissions of DRY ETCH</t>
  </si>
  <si>
    <t>Treatment of liquid emissions of THERMAL PROCESSES from SCR by WWT - Accounted for in emissions of THERMAL PROCESSES</t>
  </si>
  <si>
    <t>Treated liquid emissions of THERMAL PROCESSES from SCR by WWT - Accounted for in emissions of THERMAL PROCESSES</t>
  </si>
  <si>
    <t>Treatment of liquid emissions of PVD from SCR by WWT - Accounted for in emissions of PVD</t>
  </si>
  <si>
    <t>Treated liquid emissions of PVD from SCR by WWT - Accounted for in emissions of PVD</t>
  </si>
  <si>
    <t>Treatment of liquid emissions of CVD from SCR by WWT - Accounted for in emissions of CVD</t>
  </si>
  <si>
    <t>Treated liquid emissions of CVD from SCR by WWT - Accounted for in emissions of CVD</t>
  </si>
  <si>
    <t>Treatment of liquid emissions of IMPLANT from SCR by WWT - Accounted for in emissions of IMPLANT</t>
  </si>
  <si>
    <t>Treated liquid emissions of IMPLANT from SCR by WWT - Accounted for in emissions of IMPLANT</t>
  </si>
  <si>
    <t>Treatment of liquid emissions of CMP from SCR by WWT - Accounted for in emissions of CMP</t>
  </si>
  <si>
    <t>Treated liquid emissions of CMP from SCR by WWT - Accounted for in emissions of CMP</t>
  </si>
  <si>
    <t>UF / WWT</t>
  </si>
  <si>
    <t>SCR / WWT</t>
  </si>
  <si>
    <t>AWN / WWT</t>
  </si>
  <si>
    <t>Treatment of solid emissions of CMP by UF - Allocated to CMP</t>
  </si>
  <si>
    <t>Treatment of solid emissions of THINNING by UF - Allocated to THINNING</t>
  </si>
  <si>
    <t>Treatment of liquid emissions of THINNING from UF by WWT - Allocated to THINNING</t>
  </si>
  <si>
    <t>Treated liquid emissions from THINNING from UF by WWT - Allocated to THINNING</t>
  </si>
  <si>
    <t>Treatment of solid emissions of DICING by UF - Allocated to DICING</t>
  </si>
  <si>
    <t>Treatment of liquid emissions of DICING from UF by WWT - Allocated to DICING</t>
  </si>
  <si>
    <t>Treated liquid emissions of DICING from UF by WWT - Allocated to DICING</t>
  </si>
  <si>
    <t>Gaseous emission from WET CLEAN</t>
  </si>
  <si>
    <t>HCl - AWN</t>
  </si>
  <si>
    <t>waste, from silicon wafer production, inorganic</t>
  </si>
  <si>
    <t>wastewater, from wafer fabrication</t>
  </si>
  <si>
    <t>trichlorosilane</t>
  </si>
  <si>
    <t>Volume fraction - H3PO4 (85 vol.%)</t>
  </si>
  <si>
    <t xml:space="preserve">Volume fraction - H3PO4 </t>
  </si>
  <si>
    <t>Volume fraction - H3COOH (50 vol.%)</t>
  </si>
  <si>
    <t>Volume fraction - H3COOH</t>
  </si>
  <si>
    <t>Density - H3PO4 (85 vol.%)</t>
  </si>
  <si>
    <t>Density - H3COOH (50 vol.%)</t>
  </si>
  <si>
    <t>Mass fraction - H3PO4 (85 vol.%)</t>
  </si>
  <si>
    <t xml:space="preserve">Mass fraction - H3PO4 </t>
  </si>
  <si>
    <t>Mass fraction - H3COOH (50 vol.%)</t>
  </si>
  <si>
    <t>Mass fraction - H3COOH</t>
  </si>
  <si>
    <t>phosphoric acid, industrial grade, without water, in 85% solution state</t>
  </si>
  <si>
    <t>N2 consumption per cm² of good die</t>
  </si>
  <si>
    <t>Electrical energy per cm² of good die</t>
  </si>
  <si>
    <t>SCRAPPED WAFERS</t>
  </si>
  <si>
    <t>PELCA IGBT Designer - Open-source manufacturing Life Cycle Inventory (LCI) model for Si IGBT power semiconductor - V1.0.0</t>
  </si>
  <si>
    <t>1 frontside P-well implant + 2 frontside edge P-implants</t>
  </si>
  <si>
    <t>ION IMPLANT - P+ DOPING</t>
  </si>
  <si>
    <t>ION IMPLANT - P DOPING</t>
  </si>
  <si>
    <t>1 frontside P+ contacts implant + 1 P+ backside implant</t>
  </si>
  <si>
    <t>6 minutes implantation time</t>
  </si>
  <si>
    <t>ION IMPLANT - N+ DOPING</t>
  </si>
  <si>
    <t>N+ implantation</t>
  </si>
  <si>
    <t>P implantation</t>
  </si>
  <si>
    <t>P+ implantation</t>
  </si>
  <si>
    <t>Authors: T. Guillemet, P.Y. Pichon, N. Degrenne</t>
  </si>
  <si>
    <t>Version: V1.0.0</t>
  </si>
  <si>
    <t>Contact: pelca@fr.merce.mee.com</t>
  </si>
  <si>
    <t>Oxygen</t>
  </si>
  <si>
    <r>
      <t>CH</t>
    </r>
    <r>
      <rPr>
        <b/>
        <vertAlign val="subscript"/>
        <sz val="10"/>
        <color theme="1"/>
        <rFont val="Arial"/>
        <family val="2"/>
      </rPr>
      <t>4</t>
    </r>
  </si>
  <si>
    <r>
      <t>N</t>
    </r>
    <r>
      <rPr>
        <b/>
        <vertAlign val="subscript"/>
        <sz val="10"/>
        <color theme="1"/>
        <rFont val="Arial"/>
        <family val="2"/>
      </rPr>
      <t>2</t>
    </r>
    <r>
      <rPr>
        <b/>
        <sz val="10"/>
        <color theme="1"/>
        <rFont val="Arial"/>
        <family val="2"/>
      </rPr>
      <t>O</t>
    </r>
  </si>
  <si>
    <r>
      <t>H</t>
    </r>
    <r>
      <rPr>
        <b/>
        <vertAlign val="subscript"/>
        <sz val="10"/>
        <color theme="1"/>
        <rFont val="Arial"/>
        <family val="2"/>
      </rPr>
      <t>2</t>
    </r>
  </si>
  <si>
    <r>
      <t>O</t>
    </r>
    <r>
      <rPr>
        <b/>
        <vertAlign val="subscript"/>
        <sz val="10"/>
        <color theme="1"/>
        <rFont val="Arial"/>
        <family val="2"/>
      </rPr>
      <t>2</t>
    </r>
  </si>
  <si>
    <t>Process &amp; utility gases</t>
  </si>
  <si>
    <r>
      <t>N</t>
    </r>
    <r>
      <rPr>
        <b/>
        <vertAlign val="subscript"/>
        <sz val="10"/>
        <color theme="1"/>
        <rFont val="Arial"/>
        <family val="2"/>
      </rPr>
      <t>2</t>
    </r>
  </si>
  <si>
    <r>
      <t>SiO</t>
    </r>
    <r>
      <rPr>
        <b/>
        <vertAlign val="subscript"/>
        <sz val="11"/>
        <color theme="1"/>
        <rFont val="Calibri"/>
        <family val="2"/>
        <scheme val="minor"/>
      </rPr>
      <t>2</t>
    </r>
  </si>
  <si>
    <t>Nitrous oxide</t>
  </si>
  <si>
    <r>
      <t>CO</t>
    </r>
    <r>
      <rPr>
        <b/>
        <vertAlign val="subscript"/>
        <sz val="10"/>
        <color theme="1"/>
        <rFont val="Arial"/>
        <family val="2"/>
      </rPr>
      <t>2</t>
    </r>
  </si>
  <si>
    <r>
      <t>NO</t>
    </r>
    <r>
      <rPr>
        <b/>
        <vertAlign val="subscript"/>
        <sz val="10"/>
        <color theme="1"/>
        <rFont val="Arial"/>
        <family val="2"/>
      </rPr>
      <t>2</t>
    </r>
  </si>
  <si>
    <t>007440-22-4</t>
  </si>
  <si>
    <t>007440-21-3</t>
  </si>
  <si>
    <t>007729-95-6</t>
  </si>
  <si>
    <t>Bromine</t>
  </si>
  <si>
    <t>Fluorine</t>
  </si>
  <si>
    <t>Chlorine</t>
  </si>
  <si>
    <t>007429-90-5</t>
  </si>
  <si>
    <t>007440-33-7</t>
  </si>
  <si>
    <t>007440-32-6</t>
  </si>
  <si>
    <r>
      <t>Br</t>
    </r>
    <r>
      <rPr>
        <b/>
        <vertAlign val="subscript"/>
        <sz val="10"/>
        <color theme="1"/>
        <rFont val="Arial"/>
        <family val="2"/>
      </rPr>
      <t>2</t>
    </r>
  </si>
  <si>
    <r>
      <t>F</t>
    </r>
    <r>
      <rPr>
        <b/>
        <vertAlign val="subscript"/>
        <sz val="10"/>
        <color theme="1"/>
        <rFont val="Arial"/>
        <family val="2"/>
      </rPr>
      <t>2</t>
    </r>
  </si>
  <si>
    <r>
      <t>Cl</t>
    </r>
    <r>
      <rPr>
        <b/>
        <vertAlign val="subscript"/>
        <sz val="10"/>
        <color theme="1"/>
        <rFont val="Arial"/>
        <family val="2"/>
      </rPr>
      <t>2</t>
    </r>
  </si>
  <si>
    <r>
      <t>SiCl</t>
    </r>
    <r>
      <rPr>
        <b/>
        <vertAlign val="subscript"/>
        <sz val="10"/>
        <color theme="1"/>
        <rFont val="Arial"/>
        <family val="2"/>
      </rPr>
      <t>4</t>
    </r>
  </si>
  <si>
    <r>
      <t>PH</t>
    </r>
    <r>
      <rPr>
        <b/>
        <vertAlign val="subscript"/>
        <sz val="10"/>
        <color theme="1"/>
        <rFont val="Arial"/>
        <family val="2"/>
      </rPr>
      <t>3</t>
    </r>
  </si>
  <si>
    <r>
      <t>AsH</t>
    </r>
    <r>
      <rPr>
        <b/>
        <vertAlign val="subscript"/>
        <sz val="10"/>
        <color theme="1"/>
        <rFont val="Arial"/>
        <family val="2"/>
      </rPr>
      <t>3</t>
    </r>
  </si>
  <si>
    <r>
      <t>WF</t>
    </r>
    <r>
      <rPr>
        <b/>
        <vertAlign val="subscript"/>
        <sz val="10"/>
        <color theme="1"/>
        <rFont val="Arial"/>
        <family val="2"/>
      </rPr>
      <t>6</t>
    </r>
  </si>
  <si>
    <t xml:space="preserve">	007783-82-6</t>
  </si>
  <si>
    <r>
      <t>B</t>
    </r>
    <r>
      <rPr>
        <b/>
        <vertAlign val="subscript"/>
        <sz val="10"/>
        <color theme="1"/>
        <rFont val="Arial"/>
        <family val="2"/>
      </rPr>
      <t>2</t>
    </r>
    <r>
      <rPr>
        <b/>
        <sz val="10"/>
        <color theme="1"/>
        <rFont val="Arial"/>
        <family val="2"/>
      </rPr>
      <t>H</t>
    </r>
    <r>
      <rPr>
        <b/>
        <vertAlign val="subscript"/>
        <sz val="10"/>
        <color theme="1"/>
        <rFont val="Arial"/>
        <family val="2"/>
      </rPr>
      <t>6</t>
    </r>
  </si>
  <si>
    <r>
      <t>BF</t>
    </r>
    <r>
      <rPr>
        <b/>
        <vertAlign val="subscript"/>
        <sz val="10"/>
        <color theme="1"/>
        <rFont val="Arial"/>
        <family val="2"/>
      </rPr>
      <t>3</t>
    </r>
  </si>
  <si>
    <t>Fluorinated compounds</t>
  </si>
  <si>
    <r>
      <t>CF</t>
    </r>
    <r>
      <rPr>
        <b/>
        <vertAlign val="subscript"/>
        <sz val="10"/>
        <color theme="1"/>
        <rFont val="Arial"/>
        <family val="2"/>
      </rPr>
      <t>4</t>
    </r>
  </si>
  <si>
    <t>Trichlorosilane</t>
  </si>
  <si>
    <r>
      <t>SiHCl</t>
    </r>
    <r>
      <rPr>
        <b/>
        <vertAlign val="subscript"/>
        <sz val="10"/>
        <color theme="1"/>
        <rFont val="Arial"/>
        <family val="2"/>
      </rPr>
      <t>3</t>
    </r>
  </si>
  <si>
    <t>010025-78-2</t>
  </si>
  <si>
    <t>Silicon tetrachloride</t>
  </si>
  <si>
    <r>
      <t>SiH</t>
    </r>
    <r>
      <rPr>
        <b/>
        <vertAlign val="subscript"/>
        <sz val="10"/>
        <color theme="1"/>
        <rFont val="Arial"/>
        <family val="2"/>
      </rPr>
      <t>4</t>
    </r>
  </si>
  <si>
    <r>
      <t>SiH</t>
    </r>
    <r>
      <rPr>
        <b/>
        <vertAlign val="subscript"/>
        <sz val="10"/>
        <color theme="1"/>
        <rFont val="Arial"/>
        <family val="2"/>
      </rPr>
      <t>2</t>
    </r>
    <r>
      <rPr>
        <b/>
        <sz val="10"/>
        <color theme="1"/>
        <rFont val="Arial"/>
        <family val="2"/>
      </rPr>
      <t>Cl</t>
    </r>
    <r>
      <rPr>
        <b/>
        <vertAlign val="subscript"/>
        <sz val="10"/>
        <color theme="1"/>
        <rFont val="Arial"/>
        <family val="2"/>
      </rPr>
      <t>2</t>
    </r>
  </si>
  <si>
    <t>Diborane</t>
  </si>
  <si>
    <r>
      <t>C</t>
    </r>
    <r>
      <rPr>
        <b/>
        <vertAlign val="subscript"/>
        <sz val="10"/>
        <color theme="1"/>
        <rFont val="Arial"/>
        <family val="2"/>
      </rPr>
      <t>2</t>
    </r>
    <r>
      <rPr>
        <b/>
        <sz val="10"/>
        <color theme="1"/>
        <rFont val="Arial"/>
        <family val="2"/>
      </rPr>
      <t>F</t>
    </r>
    <r>
      <rPr>
        <b/>
        <vertAlign val="subscript"/>
        <sz val="10"/>
        <color theme="1"/>
        <rFont val="Arial"/>
        <family val="2"/>
      </rPr>
      <t>4</t>
    </r>
  </si>
  <si>
    <r>
      <t>C</t>
    </r>
    <r>
      <rPr>
        <b/>
        <vertAlign val="subscript"/>
        <sz val="10"/>
        <color theme="1"/>
        <rFont val="Arial"/>
        <family val="2"/>
      </rPr>
      <t>2</t>
    </r>
    <r>
      <rPr>
        <b/>
        <sz val="10"/>
        <color theme="1"/>
        <rFont val="Arial"/>
        <family val="2"/>
      </rPr>
      <t>F</t>
    </r>
    <r>
      <rPr>
        <b/>
        <vertAlign val="subscript"/>
        <sz val="10"/>
        <color theme="1"/>
        <rFont val="Arial"/>
        <family val="2"/>
      </rPr>
      <t>6</t>
    </r>
  </si>
  <si>
    <t>Standard Clean 1 (SC1 / APM)</t>
  </si>
  <si>
    <t>Diluted SC1</t>
  </si>
  <si>
    <t xml:space="preserve"> [1 NH4OH (29 vol.%, aq) : 1 H2O2 (30 vol.%, aq) : 5 H2O]</t>
  </si>
  <si>
    <t>[1 NH4OH (29 vol.%) : 2 H2O2 (30 vol.%) : 40 H2O]</t>
  </si>
  <si>
    <t>Buffered HF (BHF)</t>
  </si>
  <si>
    <t>[1 HF (50 vol.%) : 5 NH4F (40 vol. %) : 4 H2O]</t>
  </si>
  <si>
    <t>Diluted HF</t>
  </si>
  <si>
    <t>[1 HF (50 vol.%) : 9 H2O]</t>
  </si>
  <si>
    <t>Piranha solution (SPM)</t>
  </si>
  <si>
    <t>Etchants &amp; Cleanants</t>
  </si>
  <si>
    <t>[3 H2SO4 : 1 H2O2 (30 vol.%)]</t>
  </si>
  <si>
    <t>Photolithography chemicals</t>
  </si>
  <si>
    <t>Protective tapes &amp; wafer carriers</t>
  </si>
  <si>
    <t xml:space="preserve"> [28 vol.% HMDS : 36 vol.% PGMEA : 36 vol.% Phenolic resin]</t>
  </si>
  <si>
    <t>Photoresist (PR)</t>
  </si>
  <si>
    <t>Alkaline developer</t>
  </si>
  <si>
    <t>[TMAH 2.38 vol.%]</t>
  </si>
  <si>
    <t>Standard Clean 2 (SC2 / HPM)</t>
  </si>
  <si>
    <t xml:space="preserve"> [1 HF (50 vol. %) : 2 HNO3 (70%)]</t>
  </si>
  <si>
    <t>[2 HF (50 vol. %) : 2 HNO3 (70%)]</t>
  </si>
  <si>
    <t>Dimethyl sulfoxide</t>
  </si>
  <si>
    <t>[19 H3PO4 (85 vol.%) : 1 H3CCOOH (50 vol.%) : 1 HNO3 (70 vol.%) : 2 H2O]</t>
  </si>
  <si>
    <t>[1 HCl (37 vol.%) : 1 H2O2 (30 vol.%) : 5 H2O]</t>
  </si>
  <si>
    <t>[2 HF (50 vol.%) : 15 HNO3 (70 vol.%) : 5 CH3COOH (98 vol.%)]</t>
  </si>
  <si>
    <t>Si etchant (HNA)</t>
  </si>
  <si>
    <r>
      <t>H</t>
    </r>
    <r>
      <rPr>
        <b/>
        <vertAlign val="subscript"/>
        <sz val="10"/>
        <color theme="1"/>
        <rFont val="Arial"/>
        <family val="2"/>
      </rPr>
      <t>2</t>
    </r>
    <r>
      <rPr>
        <b/>
        <sz val="10"/>
        <color theme="1"/>
        <rFont val="Arial"/>
        <family val="2"/>
      </rPr>
      <t>O</t>
    </r>
  </si>
  <si>
    <r>
      <t>H</t>
    </r>
    <r>
      <rPr>
        <b/>
        <vertAlign val="subscript"/>
        <sz val="10"/>
        <color theme="1"/>
        <rFont val="Arial"/>
        <family val="2"/>
      </rPr>
      <t>2</t>
    </r>
    <r>
      <rPr>
        <b/>
        <sz val="10"/>
        <color theme="1"/>
        <rFont val="Arial"/>
        <family val="2"/>
      </rPr>
      <t>O</t>
    </r>
    <r>
      <rPr>
        <b/>
        <vertAlign val="subscript"/>
        <sz val="10"/>
        <color theme="1"/>
        <rFont val="Arial"/>
        <family val="2"/>
      </rPr>
      <t>2</t>
    </r>
  </si>
  <si>
    <t>Silica-based CMP slurry</t>
  </si>
  <si>
    <t>[1 HF (50 vol.%) : 5 NH4F (70 vol.%) : 5 H2O]</t>
  </si>
  <si>
    <r>
      <t>C</t>
    </r>
    <r>
      <rPr>
        <b/>
        <vertAlign val="subscript"/>
        <sz val="10"/>
        <color theme="1"/>
        <rFont val="Arial"/>
        <family val="2"/>
      </rPr>
      <t>4</t>
    </r>
    <r>
      <rPr>
        <b/>
        <sz val="10"/>
        <color theme="1"/>
        <rFont val="Arial"/>
        <family val="2"/>
      </rPr>
      <t>F</t>
    </r>
    <r>
      <rPr>
        <b/>
        <vertAlign val="subscript"/>
        <sz val="10"/>
        <color theme="1"/>
        <rFont val="Arial"/>
        <family val="2"/>
      </rPr>
      <t>8</t>
    </r>
  </si>
  <si>
    <r>
      <t>COF</t>
    </r>
    <r>
      <rPr>
        <b/>
        <vertAlign val="subscript"/>
        <sz val="10"/>
        <color theme="1"/>
        <rFont val="Arial"/>
        <family val="2"/>
      </rPr>
      <t>2</t>
    </r>
  </si>
  <si>
    <r>
      <t>NF</t>
    </r>
    <r>
      <rPr>
        <b/>
        <vertAlign val="subscript"/>
        <sz val="10"/>
        <color theme="1"/>
        <rFont val="Arial"/>
        <family val="2"/>
      </rPr>
      <t>3</t>
    </r>
  </si>
  <si>
    <r>
      <t>CHF</t>
    </r>
    <r>
      <rPr>
        <b/>
        <vertAlign val="subscript"/>
        <sz val="10"/>
        <color theme="1"/>
        <rFont val="Arial"/>
        <family val="2"/>
      </rPr>
      <t>3</t>
    </r>
  </si>
  <si>
    <r>
      <t>SF</t>
    </r>
    <r>
      <rPr>
        <b/>
        <vertAlign val="subscript"/>
        <sz val="10"/>
        <color theme="1"/>
        <rFont val="Arial"/>
        <family val="2"/>
      </rPr>
      <t>4</t>
    </r>
  </si>
  <si>
    <r>
      <t>SF</t>
    </r>
    <r>
      <rPr>
        <b/>
        <vertAlign val="subscript"/>
        <sz val="10"/>
        <color theme="1"/>
        <rFont val="Arial"/>
        <family val="2"/>
      </rPr>
      <t>6</t>
    </r>
  </si>
  <si>
    <t>Alumina-based CMP slurry</t>
  </si>
  <si>
    <r>
      <t>SiO</t>
    </r>
    <r>
      <rPr>
        <b/>
        <vertAlign val="subscript"/>
        <sz val="10"/>
        <color theme="1"/>
        <rFont val="Arial"/>
        <family val="2"/>
      </rPr>
      <t>2</t>
    </r>
    <r>
      <rPr>
        <b/>
        <sz val="10"/>
        <color theme="1"/>
        <rFont val="Arial"/>
        <family val="2"/>
      </rPr>
      <t xml:space="preserve"> etchant</t>
    </r>
  </si>
  <si>
    <r>
      <t>C</t>
    </r>
    <r>
      <rPr>
        <b/>
        <vertAlign val="subscript"/>
        <sz val="10"/>
        <color theme="1"/>
        <rFont val="Arial"/>
        <family val="2"/>
      </rPr>
      <t>3</t>
    </r>
    <r>
      <rPr>
        <b/>
        <sz val="10"/>
        <color theme="1"/>
        <rFont val="Arial"/>
        <family val="2"/>
      </rPr>
      <t>H</t>
    </r>
    <r>
      <rPr>
        <b/>
        <vertAlign val="subscript"/>
        <sz val="10"/>
        <color theme="1"/>
        <rFont val="Arial"/>
        <family val="2"/>
      </rPr>
      <t>6</t>
    </r>
    <r>
      <rPr>
        <b/>
        <sz val="10"/>
        <color theme="1"/>
        <rFont val="Arial"/>
        <family val="2"/>
      </rPr>
      <t>O</t>
    </r>
  </si>
  <si>
    <r>
      <t>C</t>
    </r>
    <r>
      <rPr>
        <b/>
        <vertAlign val="subscript"/>
        <sz val="10"/>
        <color theme="1"/>
        <rFont val="Arial"/>
        <family val="2"/>
      </rPr>
      <t>3</t>
    </r>
    <r>
      <rPr>
        <b/>
        <sz val="10"/>
        <color theme="1"/>
        <rFont val="Arial"/>
        <family val="2"/>
      </rPr>
      <t>H</t>
    </r>
    <r>
      <rPr>
        <b/>
        <vertAlign val="subscript"/>
        <sz val="10"/>
        <color theme="1"/>
        <rFont val="Arial"/>
        <family val="2"/>
      </rPr>
      <t>8</t>
    </r>
    <r>
      <rPr>
        <b/>
        <sz val="10"/>
        <color theme="1"/>
        <rFont val="Arial"/>
        <family val="2"/>
      </rPr>
      <t>O</t>
    </r>
  </si>
  <si>
    <r>
      <t>NH</t>
    </r>
    <r>
      <rPr>
        <b/>
        <vertAlign val="subscript"/>
        <sz val="10"/>
        <color theme="1"/>
        <rFont val="Arial"/>
        <family val="2"/>
      </rPr>
      <t>3</t>
    </r>
  </si>
  <si>
    <r>
      <t>NH</t>
    </r>
    <r>
      <rPr>
        <b/>
        <vertAlign val="subscript"/>
        <sz val="10"/>
        <color theme="1"/>
        <rFont val="Arial"/>
        <family val="2"/>
      </rPr>
      <t>4</t>
    </r>
    <r>
      <rPr>
        <b/>
        <sz val="10"/>
        <color theme="1"/>
        <rFont val="Arial"/>
        <family val="2"/>
      </rPr>
      <t>OH, 29 vol.%</t>
    </r>
  </si>
  <si>
    <r>
      <t>NH</t>
    </r>
    <r>
      <rPr>
        <b/>
        <vertAlign val="subscript"/>
        <sz val="10"/>
        <color theme="1"/>
        <rFont val="Arial"/>
        <family val="2"/>
      </rPr>
      <t>4</t>
    </r>
    <r>
      <rPr>
        <b/>
        <sz val="10"/>
        <color theme="1"/>
        <rFont val="Arial"/>
        <family val="2"/>
      </rPr>
      <t>F, 40 vol. %</t>
    </r>
  </si>
  <si>
    <r>
      <t>CH</t>
    </r>
    <r>
      <rPr>
        <b/>
        <vertAlign val="subscript"/>
        <sz val="10"/>
        <color theme="1"/>
        <rFont val="Arial"/>
        <family val="2"/>
      </rPr>
      <t>2</t>
    </r>
    <r>
      <rPr>
        <b/>
        <sz val="10"/>
        <color theme="1"/>
        <rFont val="Arial"/>
        <family val="2"/>
      </rPr>
      <t>O</t>
    </r>
  </si>
  <si>
    <r>
      <t>HNO</t>
    </r>
    <r>
      <rPr>
        <b/>
        <vertAlign val="subscript"/>
        <sz val="10"/>
        <color theme="1"/>
        <rFont val="Arial"/>
        <family val="2"/>
      </rPr>
      <t>3</t>
    </r>
  </si>
  <si>
    <r>
      <t>H</t>
    </r>
    <r>
      <rPr>
        <b/>
        <vertAlign val="subscript"/>
        <sz val="10"/>
        <color theme="1"/>
        <rFont val="Arial"/>
        <family val="2"/>
      </rPr>
      <t>2</t>
    </r>
    <r>
      <rPr>
        <b/>
        <sz val="10"/>
        <color theme="1"/>
        <rFont val="Arial"/>
        <family val="2"/>
      </rPr>
      <t>SO</t>
    </r>
    <r>
      <rPr>
        <b/>
        <vertAlign val="subscript"/>
        <sz val="10"/>
        <color theme="1"/>
        <rFont val="Arial"/>
        <family val="2"/>
      </rPr>
      <t>4</t>
    </r>
  </si>
  <si>
    <t>Polyvinyl chloride</t>
  </si>
  <si>
    <t>Polyester</t>
  </si>
  <si>
    <t>Borophosphosilicate glass</t>
  </si>
  <si>
    <t>Hexafluoroethane</t>
  </si>
  <si>
    <t>007783-82-6</t>
  </si>
  <si>
    <t>Metals / Metaloids</t>
  </si>
  <si>
    <t>HF (50 vol. %)</t>
  </si>
  <si>
    <r>
      <t>H</t>
    </r>
    <r>
      <rPr>
        <b/>
        <vertAlign val="subscript"/>
        <sz val="10"/>
        <color theme="1"/>
        <rFont val="Arial"/>
        <family val="2"/>
      </rPr>
      <t>3</t>
    </r>
    <r>
      <rPr>
        <b/>
        <sz val="10"/>
        <color theme="1"/>
        <rFont val="Arial"/>
        <family val="2"/>
      </rPr>
      <t>CCOOH (50 vol.%)</t>
    </r>
  </si>
  <si>
    <r>
      <t>H</t>
    </r>
    <r>
      <rPr>
        <b/>
        <vertAlign val="subscript"/>
        <sz val="10"/>
        <color theme="1"/>
        <rFont val="Arial"/>
        <family val="2"/>
      </rPr>
      <t>3</t>
    </r>
    <r>
      <rPr>
        <b/>
        <sz val="10"/>
        <color theme="1"/>
        <rFont val="Arial"/>
        <family val="2"/>
      </rPr>
      <t>PO</t>
    </r>
    <r>
      <rPr>
        <b/>
        <vertAlign val="subscript"/>
        <sz val="10"/>
        <color theme="1"/>
        <rFont val="Arial"/>
        <family val="2"/>
      </rPr>
      <t>4</t>
    </r>
    <r>
      <rPr>
        <b/>
        <sz val="10"/>
        <color theme="1"/>
        <rFont val="Arial"/>
        <family val="2"/>
      </rPr>
      <t xml:space="preserve"> (85 vol.%)</t>
    </r>
  </si>
  <si>
    <r>
      <t>HNO</t>
    </r>
    <r>
      <rPr>
        <b/>
        <vertAlign val="subscript"/>
        <sz val="10"/>
        <color theme="1"/>
        <rFont val="Arial"/>
        <family val="2"/>
      </rPr>
      <t>3</t>
    </r>
    <r>
      <rPr>
        <b/>
        <sz val="10"/>
        <color theme="1"/>
        <rFont val="Arial"/>
        <family val="2"/>
      </rPr>
      <t xml:space="preserve"> (70 vol.%)</t>
    </r>
  </si>
  <si>
    <t>HCl (37 vol.%)</t>
  </si>
  <si>
    <t>HBr (48 vol.%)</t>
  </si>
  <si>
    <t>Hexamethyldisilazane / Bis(trimethylsilyl)amine ([(CH3)3Si]2NH)</t>
  </si>
  <si>
    <t>Propylene glycol monomethyl ether (C4H10O2)</t>
  </si>
  <si>
    <t>00694-87-1</t>
  </si>
  <si>
    <t>10043-35-3</t>
  </si>
  <si>
    <t>Ni sulfamate</t>
  </si>
  <si>
    <t>124594-15-6</t>
  </si>
  <si>
    <t>Cu sulfate</t>
  </si>
  <si>
    <t>007758-98-7</t>
  </si>
  <si>
    <r>
      <t>[CuSO</t>
    </r>
    <r>
      <rPr>
        <vertAlign val="subscript"/>
        <sz val="10"/>
        <color theme="1"/>
        <rFont val="Arial"/>
        <family val="2"/>
      </rPr>
      <t>4</t>
    </r>
    <r>
      <rPr>
        <sz val="10"/>
        <color theme="1"/>
        <rFont val="Arial"/>
        <family val="2"/>
      </rPr>
      <t>, 5 H</t>
    </r>
    <r>
      <rPr>
        <vertAlign val="subscript"/>
        <sz val="10"/>
        <color theme="1"/>
        <rFont val="Arial"/>
        <family val="2"/>
      </rPr>
      <t>2</t>
    </r>
    <r>
      <rPr>
        <sz val="10"/>
        <color theme="1"/>
        <rFont val="Arial"/>
        <family val="2"/>
      </rPr>
      <t>O]</t>
    </r>
  </si>
  <si>
    <r>
      <t>[NiSO</t>
    </r>
    <r>
      <rPr>
        <vertAlign val="subscript"/>
        <sz val="10"/>
        <color theme="1"/>
        <rFont val="Arial"/>
        <family val="2"/>
      </rPr>
      <t>4</t>
    </r>
    <r>
      <rPr>
        <sz val="10"/>
        <color theme="1"/>
        <rFont val="Arial"/>
        <family val="2"/>
      </rPr>
      <t>, 6 H</t>
    </r>
    <r>
      <rPr>
        <vertAlign val="subscript"/>
        <sz val="10"/>
        <color theme="1"/>
        <rFont val="Arial"/>
        <family val="2"/>
      </rPr>
      <t>2</t>
    </r>
    <r>
      <rPr>
        <sz val="10"/>
        <color theme="1"/>
        <rFont val="Arial"/>
        <family val="2"/>
      </rPr>
      <t>O]</t>
    </r>
  </si>
  <si>
    <r>
      <t>[Ni(SO</t>
    </r>
    <r>
      <rPr>
        <vertAlign val="subscript"/>
        <sz val="10"/>
        <color theme="1"/>
        <rFont val="Arial"/>
        <family val="2"/>
      </rPr>
      <t>3</t>
    </r>
    <r>
      <rPr>
        <sz val="10"/>
        <color theme="1"/>
        <rFont val="Arial"/>
        <family val="2"/>
      </rPr>
      <t>NH</t>
    </r>
    <r>
      <rPr>
        <vertAlign val="subscript"/>
        <sz val="10"/>
        <color theme="1"/>
        <rFont val="Arial"/>
        <family val="2"/>
      </rPr>
      <t>2</t>
    </r>
    <r>
      <rPr>
        <sz val="10"/>
        <color theme="1"/>
        <rFont val="Arial"/>
        <family val="2"/>
      </rPr>
      <t>)</t>
    </r>
    <r>
      <rPr>
        <vertAlign val="subscript"/>
        <sz val="10"/>
        <color theme="1"/>
        <rFont val="Arial"/>
        <family val="2"/>
      </rPr>
      <t>2</t>
    </r>
    <r>
      <rPr>
        <sz val="10"/>
        <color theme="1"/>
        <rFont val="Arial"/>
        <family val="2"/>
      </rPr>
      <t>, 4 H</t>
    </r>
    <r>
      <rPr>
        <vertAlign val="subscript"/>
        <sz val="10"/>
        <color theme="1"/>
        <rFont val="Arial"/>
        <family val="2"/>
      </rPr>
      <t>2</t>
    </r>
    <r>
      <rPr>
        <sz val="10"/>
        <color theme="1"/>
        <rFont val="Arial"/>
        <family val="2"/>
      </rPr>
      <t>O]</t>
    </r>
  </si>
  <si>
    <r>
      <t>[NiCl</t>
    </r>
    <r>
      <rPr>
        <vertAlign val="subscript"/>
        <sz val="10"/>
        <color theme="1"/>
        <rFont val="Arial"/>
        <family val="2"/>
      </rPr>
      <t>2</t>
    </r>
    <r>
      <rPr>
        <sz val="10"/>
        <color theme="1"/>
        <rFont val="Arial"/>
        <family val="2"/>
      </rPr>
      <t>, 6 H</t>
    </r>
    <r>
      <rPr>
        <vertAlign val="subscript"/>
        <sz val="10"/>
        <color theme="1"/>
        <rFont val="Arial"/>
        <family val="2"/>
      </rPr>
      <t>2</t>
    </r>
    <r>
      <rPr>
        <sz val="10"/>
        <color theme="1"/>
        <rFont val="Arial"/>
        <family val="2"/>
      </rPr>
      <t>O]</t>
    </r>
  </si>
  <si>
    <r>
      <t>H</t>
    </r>
    <r>
      <rPr>
        <vertAlign val="subscript"/>
        <sz val="10"/>
        <color theme="1"/>
        <rFont val="Arial"/>
        <family val="2"/>
      </rPr>
      <t>3</t>
    </r>
    <r>
      <rPr>
        <sz val="10"/>
        <color theme="1"/>
        <rFont val="Arial"/>
        <family val="2"/>
      </rPr>
      <t>BO</t>
    </r>
    <r>
      <rPr>
        <vertAlign val="subscript"/>
        <sz val="10"/>
        <color theme="1"/>
        <rFont val="Arial"/>
        <family val="2"/>
      </rPr>
      <t>3</t>
    </r>
  </si>
  <si>
    <r>
      <t>Benzocyclobutene (C</t>
    </r>
    <r>
      <rPr>
        <vertAlign val="subscript"/>
        <sz val="10"/>
        <color theme="1"/>
        <rFont val="Arial"/>
        <family val="2"/>
      </rPr>
      <t>8</t>
    </r>
    <r>
      <rPr>
        <sz val="10"/>
        <color theme="1"/>
        <rFont val="Arial"/>
        <family val="2"/>
      </rPr>
      <t>H</t>
    </r>
    <r>
      <rPr>
        <vertAlign val="subscript"/>
        <sz val="10"/>
        <color theme="1"/>
        <rFont val="Arial"/>
        <family val="2"/>
      </rPr>
      <t>8</t>
    </r>
    <r>
      <rPr>
        <sz val="10"/>
        <color theme="1"/>
        <rFont val="Arial"/>
        <family val="2"/>
      </rPr>
      <t>)</t>
    </r>
  </si>
  <si>
    <t>PELCA IGBT Designer - Open-source manufacturing Life Cycle Inventory (LCI) model for Si IGBT power semiconductor</t>
  </si>
  <si>
    <t>[2025FRA]_Technical interviews &amp; exchanges with experts from Fraunhofer IISB institute, Germany, between january 2025 and december 2025</t>
  </si>
  <si>
    <t>[2025CEA]_Technical interviews &amp; exchanges with experts from CEA-Leti, France, between january 2025 and december 2025</t>
  </si>
  <si>
    <t>[2018GEN]_Geng, H. Semiconductor Manufacturing Handbook, Second Edition, McGraw Hill Education, 2018</t>
  </si>
  <si>
    <t>[2017YOL]_Barbarini, E. Infineon FS820R08A6P2B – HybridPACK Drive 750V IGBT Module, Reverse Costing and Technology Analysis Report, System Plus Consulting, 2017</t>
  </si>
  <si>
    <t>[2018BAP]_Baptista, A.; Silva, F.; Porteiro, J.; Míguez, J.; Pinto, G. Sputtering Physical Vapour Deposition (PVD) Coatings: A Critical Review on Process Improvement and Market Trend Demands, Coatings 2018, 8, 402</t>
  </si>
  <si>
    <r>
      <t>[2008HU]_</t>
    </r>
    <r>
      <rPr>
        <sz val="10"/>
        <rFont val="Arial"/>
        <family val="2"/>
      </rPr>
      <t xml:space="preserve">Hu, S.C.; Wu, J.S.; Chan, D.Y.L.; Hsu, R.T.C.; Lee, J.C.C. Power consumption benchmark for a semiconductor cleanroom facility system. </t>
    </r>
    <r>
      <rPr>
        <i/>
        <sz val="10"/>
        <rFont val="Arial"/>
        <family val="2"/>
      </rPr>
      <t>Energy and Buildings</t>
    </r>
    <r>
      <rPr>
        <sz val="10"/>
        <rFont val="Arial"/>
        <family val="2"/>
      </rPr>
      <t xml:space="preserve"> 2008, </t>
    </r>
    <r>
      <rPr>
        <i/>
        <sz val="10"/>
        <rFont val="Arial"/>
        <family val="2"/>
      </rPr>
      <t>40</t>
    </r>
    <r>
      <rPr>
        <sz val="10"/>
        <rFont val="Arial"/>
        <family val="2"/>
      </rPr>
      <t>, 1765–1770</t>
    </r>
  </si>
  <si>
    <t>[2002XU]_Xu, T.; Tschudi, W. Energy Performance of Cleanroom Environmental Systems. In Proceedings of the 48th Annual Technical Meeting and Exposition of the Institute of Environmental Science and Technology (ESTECH), Anaheim, CA, USA, April 28 – May 1, 2002</t>
  </si>
  <si>
    <r>
      <t>[2003WIL]_</t>
    </r>
    <r>
      <rPr>
        <sz val="10"/>
        <rFont val="Arial"/>
        <family val="2"/>
      </rPr>
      <t xml:space="preserve">Williams, K.R.; Gupta, K.; Wasilik, M. Etch Rates for Micromachining Processing—Part I. </t>
    </r>
    <r>
      <rPr>
        <i/>
        <sz val="10"/>
        <rFont val="Arial"/>
        <family val="2"/>
      </rPr>
      <t>J. Microelectromech. Syst.</t>
    </r>
    <r>
      <rPr>
        <sz val="10"/>
        <rFont val="Arial"/>
        <family val="2"/>
      </rPr>
      <t xml:space="preserve"> 2003, </t>
    </r>
    <r>
      <rPr>
        <i/>
        <sz val="10"/>
        <rFont val="Arial"/>
        <family val="2"/>
      </rPr>
      <t>12</t>
    </r>
    <r>
      <rPr>
        <sz val="10"/>
        <rFont val="Arial"/>
        <family val="2"/>
      </rPr>
      <t>, 761-778</t>
    </r>
  </si>
  <si>
    <r>
      <t xml:space="preserve">[2024LIA]_Liao, P.Y.; Lin, T.; Zargar, O.A.; Hsu, C.J.; Chou, C.H.; Shih, Y.C.; Hu, S.C.; Leggett, G. Energy Consumption and Carbon Emission Reduction in HVAC System of a Dynamic Random Access Memory (DRAM) Semiconductor Fabrication Plant (fab). </t>
    </r>
    <r>
      <rPr>
        <i/>
        <sz val="10"/>
        <rFont val="Arial"/>
        <family val="2"/>
      </rPr>
      <t>IEEE Transactions on Semiconductor Manufacturing</t>
    </r>
    <r>
      <rPr>
        <sz val="10"/>
        <rFont val="Arial"/>
        <family val="2"/>
      </rPr>
      <t xml:space="preserve"> 2024, 37, 174-184</t>
    </r>
  </si>
  <si>
    <r>
      <t>[2023ARD]_</t>
    </r>
    <r>
      <rPr>
        <sz val="10"/>
        <rFont val="Arial"/>
        <family val="2"/>
      </rPr>
      <t xml:space="preserve">Arduino, D.; Stassi, S.; Spano, C.; Scaltrito, L.; Ferrero, S.; Bertana, V. Silicon and Silicon Carbide Recrystallization by Laser Annealing: A Review. </t>
    </r>
    <r>
      <rPr>
        <i/>
        <sz val="10"/>
        <rFont val="Arial"/>
        <family val="2"/>
      </rPr>
      <t>Materials</t>
    </r>
    <r>
      <rPr>
        <sz val="10"/>
        <rFont val="Arial"/>
        <family val="2"/>
      </rPr>
      <t xml:space="preserve"> 2023, </t>
    </r>
    <r>
      <rPr>
        <i/>
        <sz val="10"/>
        <rFont val="Arial"/>
        <family val="2"/>
      </rPr>
      <t>16</t>
    </r>
    <r>
      <rPr>
        <sz val="10"/>
        <rFont val="Arial"/>
        <family val="2"/>
      </rPr>
      <t>, 7674</t>
    </r>
  </si>
  <si>
    <r>
      <t>[2023SEM]_</t>
    </r>
    <r>
      <rPr>
        <i/>
        <sz val="10"/>
        <rFont val="Arial"/>
        <family val="2"/>
      </rPr>
      <t>SEMI S23-1021E2</t>
    </r>
    <r>
      <rPr>
        <sz val="10"/>
        <rFont val="Arial"/>
        <family val="2"/>
      </rPr>
      <t>; Guide for Energy, Utilities, and Materials Use Efficiency of Semiconductor Manufacturing Equipment. SEMI: 2021</t>
    </r>
  </si>
  <si>
    <r>
      <t>[2022SHA]_</t>
    </r>
    <r>
      <rPr>
        <sz val="10"/>
        <rFont val="Arial"/>
        <family val="2"/>
      </rPr>
      <t>Sharma, P.; Pleil, M.; Jackson, N. Effect of SF6 and C4F8 flow rate on etched surface profile and grass formation in deep reactive ion etching process. In Proceedings of the ASME International Mechanical Engineering Congress and Exposition (IMECE), Columbus, Ohio, USA, October 30-November 3, 2022</t>
    </r>
  </si>
  <si>
    <r>
      <t>[2022YOU]_</t>
    </r>
    <r>
      <rPr>
        <sz val="10"/>
        <rFont val="Arial"/>
        <family val="2"/>
      </rPr>
      <t xml:space="preserve">You, Y.-B.; Lee, Y.-S.; Kim, S.-J.; Cho, C.-H.; Seong, I.-H.; Jeong, W.-N.; Choi, M.-S.; You, S.-J. Influence of Additive N2 on O2 Plasma Ashing Process in Inductively Coupled Plasma. </t>
    </r>
    <r>
      <rPr>
        <i/>
        <sz val="10"/>
        <rFont val="Arial"/>
        <family val="2"/>
      </rPr>
      <t>Nanomaterials</t>
    </r>
    <r>
      <rPr>
        <sz val="10"/>
        <rFont val="Arial"/>
        <family val="2"/>
      </rPr>
      <t xml:space="preserve"> 2022, </t>
    </r>
    <r>
      <rPr>
        <i/>
        <sz val="10"/>
        <rFont val="Arial"/>
        <family val="2"/>
      </rPr>
      <t>12</t>
    </r>
    <r>
      <rPr>
        <sz val="10"/>
        <rFont val="Arial"/>
        <family val="2"/>
      </rPr>
      <t>, 3798</t>
    </r>
  </si>
  <si>
    <r>
      <t>[2021VEL]_</t>
    </r>
    <r>
      <rPr>
        <sz val="10"/>
        <rFont val="Arial"/>
        <family val="2"/>
      </rPr>
      <t xml:space="preserve">Veltkamp, H.-W.; Janssens, Y.L.; de Boer, M.J.; Zhao, Y.; Wiegerink, R.J.; Tas, N.R.; Lötters, J.C. Method for Keyhole-Free High-Aspect-Ratio Trench Refill by LPCVD. </t>
    </r>
    <r>
      <rPr>
        <i/>
        <sz val="10"/>
        <rFont val="Arial"/>
        <family val="2"/>
      </rPr>
      <t>Micromachines</t>
    </r>
    <r>
      <rPr>
        <sz val="10"/>
        <rFont val="Arial"/>
        <family val="2"/>
      </rPr>
      <t xml:space="preserve"> 2021, </t>
    </r>
    <r>
      <rPr>
        <i/>
        <sz val="10"/>
        <rFont val="Arial"/>
        <family val="2"/>
      </rPr>
      <t>13</t>
    </r>
    <r>
      <rPr>
        <sz val="10"/>
        <rFont val="Arial"/>
        <family val="2"/>
      </rPr>
      <t>, 1908</t>
    </r>
  </si>
  <si>
    <r>
      <t xml:space="preserve">[2013LEE]_Lee, H.; Park, S.; Jeong, H. Evaluation of environmental impacts during chemical mechanical polishing (CMP) for sustainable manufacturing. </t>
    </r>
    <r>
      <rPr>
        <i/>
        <sz val="10"/>
        <rFont val="Arial"/>
        <family val="2"/>
      </rPr>
      <t>J. Mech. Sc. Technol.</t>
    </r>
    <r>
      <rPr>
        <sz val="10"/>
        <rFont val="Arial"/>
        <family val="2"/>
      </rPr>
      <t xml:space="preserve"> 2013, </t>
    </r>
    <r>
      <rPr>
        <i/>
        <sz val="10"/>
        <rFont val="Arial"/>
        <family val="2"/>
      </rPr>
      <t>27</t>
    </r>
    <r>
      <rPr>
        <sz val="10"/>
        <rFont val="Arial"/>
        <family val="2"/>
      </rPr>
      <t>, 511-518</t>
    </r>
  </si>
  <si>
    <t>[2024SEM]_SEMI M1-0924 standard</t>
  </si>
  <si>
    <t>[2024VAU]_Vauche, L.; Guillemaud, G.; Lopes Barbosa, J.-C.; Di Cioccio, L. Cradle-to-Gate Life Cycle Assessment (LCA) of GaN Power Semiconductor Device. Sustainability 2024, 16, 901</t>
  </si>
  <si>
    <t>[2024BOA]_Boakes, L.; Ragnarsson, L.A.; Rolin, C.; Liu, I.Y.; Vanhouche, B.; Schellekens, V. Life cycle assessment methodology for imec.netzero, version 3.4, 2024</t>
  </si>
  <si>
    <t>[2023MIU]_Miura, S.; Hachikubo, Y.; Yamagishi, R.; Ando, M.; Takei, S. Water-Soluble Biomass Resist Materials Based on Polyglucuronic Acid for Eco-Friendly Photolithography. Coatings 2023, 13, 2038</t>
  </si>
  <si>
    <t>[2023SER]_Servin, I.; Teolis, A.; Bazin, A.; Durin, P.; Sysova, O.; Gablin, C.; Saudet, B.; Leonard, D.; Soppera, O.; Leclercq, J.L.; Chevolot, Y.; Tiron, R.; Delair, T.; Trombotto, S. Water-soluble bio-sourced resists for DUV lithography in a 200/300 mm pilot line environment. Micro Nano Eng 2023, 19, 100202</t>
  </si>
  <si>
    <t>[2021DIA]_Díaz Triana, A.; Schmidt, S.; Glaser, S.; Makoschitz, M. A “Life Cycle Thinking” Approach to Assess Differences in the Energy Use of SiC- vs. Si Power Semiconductors. In Proceedings of the e.nova 2021 Conference “Green Deal, Energy—Building— Environment”, Pinkafeld, Austria, June 2022</t>
  </si>
  <si>
    <t>[2021PED]_Pedersen, H.; Barry, S.T.; Sundqvist, J. Green CVD—Toward a sustainable philosophy for thin film deposition by chemical vapor deposition. J. Vac. Sci. Technol. A 2021, 39, 051001</t>
  </si>
  <si>
    <t>[2012BOY]_Boyd, S. Life Cycle Assessment of Semiconductors, Springer, New York, NY, USA, 2012</t>
  </si>
  <si>
    <t>[2011PRA]_Prakash, S.; Schischke, K.; Stobbe, L. Schaffung einer Datenbasis zur Ermittlung ökologischer Wirkungen der Produkte der Informations- und Kommunikationstechnik. Ressourcenschonung im Aktionsfeld IKT, unpublished, 2011</t>
  </si>
  <si>
    <t>[2011TAN]_Tanjyo, M.; Naito, M. History of Ion Implanter and Its Future Perspective. SEI Technical Review 2011, 73, 22-30</t>
  </si>
  <si>
    <t>[2010KRI]_Krishnan, M.; Nalaskowski, J.W.; Cook, L.M. Chemical Mechanical Planarization: Slurry Chemistry, Materials, and Mechanisms. Chem. Rev. 2010, 110, 178-204</t>
  </si>
  <si>
    <t>[2008KRI]_Krishnan, N.; Boyd, S.; Somani, A.; Raoux, S.; Clark, D.; Dornfeld, D. A Hybrid Life Cycle Inventory of Nano-Scale Semiconductor Manufacturing. Environ. Sci. Technol., 2008, 42, 3069</t>
  </si>
  <si>
    <t>[2006BOY]_Boyd, S. Life Cycle Inventory of a CMOS Chip. In Proceedings of the IEEE International Symposium on Electronics and the Environment, Scottsdale, AZ, USA, 8-11 May 2006</t>
  </si>
  <si>
    <t>[2005DEV]_De Vries, D.K., Investigation of gross die per wafer formulas. IEEE Transactions on Semiconductor Manufacturing 2005, 18, 136</t>
  </si>
  <si>
    <t>[2003MUR_1]_Murphy, C.; Laurent, J.P.; Allen, D.T. Life Cycle Inventory Development for Wafer Fabrication in Semiconductor Manufacturing. In Proceedings of the IEEE International Symposium on Electronics and the Environment, Boston, MA, USA, 19-22 May 2003</t>
  </si>
  <si>
    <t>[2003MUR_2]_Murphy, C.F.; Kenig, G.A.; Allen, D.T.; Laurent, J.P.; Dyer, D.E. Development of Parametric Material, Energy, and Emission Inventories for Wafer Fabrication in the Semiconductor Industry. Environ Sci Technol 2003, 37, 5373-5382</t>
  </si>
  <si>
    <t>Die voltage rating</t>
  </si>
  <si>
    <t>Die current rating</t>
  </si>
  <si>
    <t>540 s</t>
  </si>
  <si>
    <t>N+ frontside implant for contacts</t>
  </si>
  <si>
    <t>9960 s</t>
  </si>
  <si>
    <t>1309 s</t>
  </si>
  <si>
    <t>45 s</t>
  </si>
  <si>
    <t>2580 s</t>
  </si>
  <si>
    <t>1680 s</t>
  </si>
  <si>
    <t>525 s</t>
  </si>
  <si>
    <t>200 s</t>
  </si>
  <si>
    <t>1280 s</t>
  </si>
  <si>
    <t>765 s</t>
  </si>
  <si>
    <t>400 s</t>
  </si>
  <si>
    <t>1800 s</t>
  </si>
  <si>
    <t>7620 s</t>
  </si>
  <si>
    <t>418 s</t>
  </si>
  <si>
    <t>186 s</t>
  </si>
  <si>
    <t>105 s</t>
  </si>
  <si>
    <t>363 s</t>
  </si>
  <si>
    <t>Nominal electrical power (kW)</t>
  </si>
  <si>
    <t>LP-CVD - W</t>
  </si>
  <si>
    <t>CVD - LP-CVD INTER LAYER DIELECTRIC (ILD, SiO2)</t>
  </si>
  <si>
    <t>CVD - LP-CVD TUNGSTEN (W)</t>
  </si>
  <si>
    <t>market for dimethyldichlorosilane</t>
  </si>
  <si>
    <t>SiC2H6Cl2 - Dimethyldichlorosilane, ecoinvent proxy for dichlorosilane (DCS, SiH2Cl2)</t>
  </si>
  <si>
    <t>SiH4 (silane) - Gaseous precursor for PolySi and SiO2 deposition</t>
  </si>
  <si>
    <t>WF6 density</t>
  </si>
  <si>
    <t>WF6 molar mass</t>
  </si>
  <si>
    <t>WF6 as precursor gas</t>
  </si>
  <si>
    <t>WF6 to W molar mass ratio</t>
  </si>
  <si>
    <t>W - ecoinvent proxy for tungsten hexafluoride</t>
  </si>
  <si>
    <t>SiH2Cl2 to Si3N4 molar mass ratio</t>
  </si>
  <si>
    <t>250 nm-thick interlayer dielectric oxide layer</t>
  </si>
  <si>
    <t>dimethyldichlorosilane</t>
  </si>
  <si>
    <t>Wafer and die metrics</t>
  </si>
  <si>
    <t>Fab location and associated electricity mix</t>
  </si>
  <si>
    <t>Wet thermal oxidation - LOCOS (field oxide)</t>
  </si>
  <si>
    <t>DEVICE OVERVIEW - ULTRATHIN TRENCH FIELD-STOP IGBT</t>
  </si>
  <si>
    <t>Reference device</t>
  </si>
  <si>
    <t>WAFER PROCESS STEPS - BILL OF MATERIALS (BoM)</t>
  </si>
  <si>
    <t>DETAILED BoM - WAFER PROCESS STEPS - PER WAFER</t>
  </si>
  <si>
    <t>DETAILED BoM - WAFER PROCESS STEPS - PER CM² OF GOOD DIE</t>
  </si>
  <si>
    <t>TOTAL BoM - WAFER PROCESS STEPS</t>
  </si>
  <si>
    <r>
      <t xml:space="preserve">Guillemet, T.; Pichon, P.-Y.; Degrenne, N. An Open-Source Life Cycle Inventory (LCI) Model to Assess the Environmental Impacts of IGBT Power Semiconductor Manufacturing. </t>
    </r>
    <r>
      <rPr>
        <i/>
        <sz val="11"/>
        <color theme="1"/>
        <rFont val="Arial"/>
        <family val="2"/>
      </rPr>
      <t>Sustainability</t>
    </r>
    <r>
      <rPr>
        <sz val="11"/>
        <color theme="1"/>
        <rFont val="Arial"/>
        <family val="2"/>
      </rPr>
      <t xml:space="preserve"> 2026, 18, 2663. https://doi.org/10.3390/su18052663</t>
    </r>
  </si>
  <si>
    <t>WAFER PROCESS STEPS</t>
  </si>
  <si>
    <t>ELECTRICITY CONSUMPTION BREAKDOWN - RAW WAFER PRODUCTION / WAFER PROCESS STEPS / CLEANROOM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</si>
</sst>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
    <numFmt numFmtId="165" formatCode="_-* #,##0.00\ _€_-;\-* #,##0.00\ _€_-;_-* &quot;-&quot;??\ _€_-;_-@_-"/>
    <numFmt numFmtId="166" formatCode="_(* #,##0.00_);_(* \(#,##0.00\);_(* &quot;-&quot;??_);_(@_)"/>
    <numFmt numFmtId="167" formatCode="0.0"/>
    <numFmt numFmtId="168" formatCode="0.000"/>
    <numFmt numFmtId="169" formatCode="0.00000"/>
    <numFmt numFmtId="170" formatCode="0.000000"/>
    <numFmt numFmtId="171" formatCode="0.0E+00"/>
    <numFmt numFmtId="172" formatCode="0.E+00"/>
  </numFmts>
  <fonts count="55"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scheme val="minor"/>
    </font>
    <font>
      <b/>
      <sz val="10"/>
      <name val="Arial"/>
      <family val="2"/>
    </font>
    <font>
      <sz val="10"/>
      <name val="Arial"/>
      <family val="2"/>
    </font>
    <font>
      <sz val="11"/>
      <name val="Calibri"/>
      <family val="2"/>
      <scheme val="minor"/>
    </font>
    <font>
      <sz val="11"/>
      <color indexed="8"/>
      <name val="Calibri"/>
      <family val="2"/>
    </font>
    <font>
      <b/>
      <sz val="11"/>
      <name val="Calibri"/>
      <family val="2"/>
      <scheme val="minor"/>
    </font>
    <font>
      <u/>
      <sz val="10"/>
      <color theme="10"/>
      <name val="Arial"/>
      <family val="2"/>
    </font>
    <font>
      <sz val="10"/>
      <color theme="1"/>
      <name val="Arial"/>
      <family val="2"/>
    </font>
    <font>
      <b/>
      <sz val="10"/>
      <color theme="0"/>
      <name val="Arial"/>
      <family val="2"/>
    </font>
    <font>
      <i/>
      <sz val="11"/>
      <color theme="1"/>
      <name val="Calibri"/>
      <family val="2"/>
      <scheme val="minor"/>
    </font>
    <font>
      <b/>
      <sz val="10"/>
      <color theme="1"/>
      <name val="Arial"/>
      <family val="2"/>
    </font>
    <font>
      <sz val="8"/>
      <name val="Calibri"/>
      <family val="2"/>
      <scheme val="minor"/>
    </font>
    <font>
      <b/>
      <sz val="12"/>
      <color theme="1"/>
      <name val="Calibri"/>
      <family val="2"/>
      <scheme val="minor"/>
    </font>
    <font>
      <sz val="11"/>
      <color theme="1"/>
      <name val="Calibri"/>
      <family val="2"/>
    </font>
    <font>
      <sz val="9.35"/>
      <color theme="1"/>
      <name val="Calibri"/>
      <family val="2"/>
    </font>
    <font>
      <sz val="11"/>
      <color rgb="FFFF0000"/>
      <name val="Calibri"/>
      <family val="2"/>
      <scheme val="minor"/>
    </font>
    <font>
      <b/>
      <sz val="14"/>
      <color theme="1"/>
      <name val="Calibri"/>
      <family val="2"/>
      <scheme val="minor"/>
    </font>
    <font>
      <sz val="12"/>
      <color theme="1"/>
      <name val="Calibri"/>
      <family val="2"/>
      <scheme val="minor"/>
    </font>
    <font>
      <sz val="11"/>
      <name val="Calibri"/>
      <family val="2"/>
    </font>
    <font>
      <sz val="9.35"/>
      <name val="Calibri"/>
      <family val="2"/>
    </font>
    <font>
      <sz val="10"/>
      <color theme="1"/>
      <name val="Calibri"/>
      <family val="2"/>
      <scheme val="minor"/>
    </font>
    <font>
      <b/>
      <sz val="10"/>
      <color theme="1"/>
      <name val="Calibri"/>
      <family val="2"/>
      <scheme val="minor"/>
    </font>
    <font>
      <b/>
      <sz val="16"/>
      <color theme="1"/>
      <name val="Calibri"/>
      <family val="2"/>
      <scheme val="minor"/>
    </font>
    <font>
      <b/>
      <i/>
      <sz val="11"/>
      <color theme="1"/>
      <name val="Calibri"/>
      <family val="2"/>
      <scheme val="minor"/>
    </font>
    <font>
      <vertAlign val="superscript"/>
      <sz val="11"/>
      <color theme="1"/>
      <name val="Calibri"/>
      <family val="2"/>
      <scheme val="minor"/>
    </font>
    <font>
      <vertAlign val="subscript"/>
      <sz val="11"/>
      <color theme="1"/>
      <name val="Calibri"/>
      <family val="2"/>
      <scheme val="minor"/>
    </font>
    <font>
      <b/>
      <i/>
      <vertAlign val="subscript"/>
      <sz val="11"/>
      <color theme="1"/>
      <name val="Calibri"/>
      <family val="2"/>
      <scheme val="minor"/>
    </font>
    <font>
      <b/>
      <vertAlign val="superscript"/>
      <sz val="11"/>
      <color theme="1"/>
      <name val="Calibri"/>
      <family val="2"/>
      <scheme val="minor"/>
    </font>
    <font>
      <b/>
      <vertAlign val="subscript"/>
      <sz val="11"/>
      <color theme="1"/>
      <name val="Calibri"/>
      <family val="2"/>
      <scheme val="minor"/>
    </font>
    <font>
      <i/>
      <sz val="11"/>
      <color rgb="FF7F7F7F"/>
      <name val="Calibri"/>
      <family val="2"/>
      <scheme val="minor"/>
    </font>
    <font>
      <b/>
      <i/>
      <sz val="11"/>
      <color theme="1" tint="0.499984740745262"/>
      <name val="Calibri"/>
      <family val="2"/>
      <scheme val="minor"/>
    </font>
    <font>
      <i/>
      <vertAlign val="subscript"/>
      <sz val="11"/>
      <color theme="1"/>
      <name val="Calibri"/>
      <family val="2"/>
      <scheme val="minor"/>
    </font>
    <font>
      <i/>
      <sz val="11"/>
      <color theme="1"/>
      <name val="Calibri"/>
      <family val="2"/>
    </font>
    <font>
      <i/>
      <vertAlign val="subscript"/>
      <sz val="11"/>
      <color theme="1"/>
      <name val="Calibri"/>
      <family val="2"/>
    </font>
    <font>
      <sz val="10"/>
      <color rgb="FF000000"/>
      <name val="Calibri"/>
      <family val="2"/>
      <scheme val="minor"/>
    </font>
    <font>
      <vertAlign val="superscript"/>
      <sz val="11"/>
      <name val="Calibri"/>
      <family val="2"/>
      <scheme val="minor"/>
    </font>
    <font>
      <b/>
      <vertAlign val="superscript"/>
      <sz val="10"/>
      <name val="Arial"/>
      <family val="2"/>
    </font>
    <font>
      <sz val="10"/>
      <name val="Aptos Narrow"/>
      <family val="2"/>
    </font>
    <font>
      <b/>
      <sz val="11"/>
      <color rgb="FFFFFFFF"/>
      <name val="Calibri"/>
      <family val="2"/>
      <scheme val="minor"/>
    </font>
    <font>
      <b/>
      <sz val="11"/>
      <color rgb="FF000000"/>
      <name val="Calibri"/>
      <family val="2"/>
      <scheme val="minor"/>
    </font>
    <font>
      <sz val="11"/>
      <color rgb="FF000000"/>
      <name val="Calibri"/>
      <family val="2"/>
      <scheme val="minor"/>
    </font>
    <font>
      <sz val="11"/>
      <color theme="0"/>
      <name val="Calibri"/>
      <family val="2"/>
      <scheme val="minor"/>
    </font>
    <font>
      <b/>
      <sz val="10"/>
      <name val="Calibri"/>
      <family val="2"/>
      <scheme val="minor"/>
    </font>
    <font>
      <b/>
      <vertAlign val="subscript"/>
      <sz val="10"/>
      <color theme="1"/>
      <name val="Arial"/>
      <family val="2"/>
    </font>
    <font>
      <vertAlign val="subscript"/>
      <sz val="10"/>
      <color theme="1"/>
      <name val="Arial"/>
      <family val="2"/>
    </font>
    <font>
      <b/>
      <sz val="12"/>
      <color theme="1"/>
      <name val="Arial"/>
      <family val="2"/>
    </font>
    <font>
      <b/>
      <sz val="11"/>
      <color theme="1"/>
      <name val="Arial"/>
      <family val="2"/>
    </font>
    <font>
      <sz val="11"/>
      <color theme="1"/>
      <name val="Arial"/>
      <family val="2"/>
    </font>
    <font>
      <i/>
      <sz val="10"/>
      <name val="Arial"/>
      <family val="2"/>
    </font>
    <font>
      <sz val="10"/>
      <color theme="1"/>
      <name val="Palatino Linotype"/>
      <family val="1"/>
    </font>
    <font>
      <i/>
      <sz val="11"/>
      <color theme="1"/>
      <name val="Arial"/>
      <family val="2"/>
    </font>
  </fonts>
  <fills count="29">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8" tint="0.59999389629810485"/>
        <bgColor indexed="64"/>
      </patternFill>
    </fill>
    <fill>
      <patternFill patternType="solid">
        <fgColor theme="8"/>
        <bgColor indexed="64"/>
      </patternFill>
    </fill>
    <fill>
      <patternFill patternType="solid">
        <fgColor theme="5"/>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rgb="FF92D050"/>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rgb="FFCCFF33"/>
        <bgColor indexed="64"/>
      </patternFill>
    </fill>
    <fill>
      <patternFill patternType="solid">
        <fgColor theme="2" tint="-0.249977111117893"/>
        <bgColor indexed="64"/>
      </patternFill>
    </fill>
    <fill>
      <patternFill patternType="solid">
        <fgColor theme="6"/>
        <bgColor indexed="64"/>
      </patternFill>
    </fill>
    <fill>
      <patternFill patternType="solid">
        <fgColor rgb="FFE60012"/>
        <bgColor indexed="64"/>
      </patternFill>
    </fill>
    <fill>
      <patternFill patternType="solid">
        <fgColor rgb="FFF5CBCC"/>
        <bgColor indexed="64"/>
      </patternFill>
    </fill>
    <fill>
      <patternFill patternType="solid">
        <fgColor rgb="FFFAE7E7"/>
        <bgColor indexed="64"/>
      </patternFill>
    </fill>
    <fill>
      <patternFill patternType="solid">
        <fgColor rgb="FFFF7C80"/>
        <bgColor indexed="64"/>
      </patternFill>
    </fill>
    <fill>
      <patternFill patternType="solid">
        <fgColor theme="3" tint="-0.249977111117893"/>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3"/>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rgb="FF66FFCC"/>
        <bgColor indexed="64"/>
      </patternFill>
    </fill>
    <fill>
      <patternFill patternType="solid">
        <fgColor theme="8" tint="-0.499984740745262"/>
        <bgColor indexed="64"/>
      </patternFill>
    </fill>
  </fills>
  <borders count="7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top/>
      <bottom/>
      <diagonal/>
    </border>
    <border>
      <left style="thin">
        <color indexed="64"/>
      </left>
      <right style="medium">
        <color indexed="64"/>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right style="thin">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
      <left style="thin">
        <color indexed="64"/>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right/>
      <top/>
      <bottom style="double">
        <color indexed="64"/>
      </bottom>
      <diagonal/>
    </border>
    <border>
      <left style="thin">
        <color indexed="64"/>
      </left>
      <right style="medium">
        <color indexed="64"/>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bottom style="thin">
        <color indexed="64"/>
      </bottom>
      <diagonal/>
    </border>
  </borders>
  <cellStyleXfs count="8">
    <xf numFmtId="0" fontId="0" fillId="0" borderId="0"/>
    <xf numFmtId="0" fontId="4" fillId="0" borderId="0" applyNumberFormat="0" applyFill="0" applyBorder="0" applyAlignment="0" applyProtection="0"/>
    <xf numFmtId="0" fontId="6" fillId="0" borderId="0"/>
    <xf numFmtId="9" fontId="8" fillId="0" borderId="0" applyFont="0" applyFill="0" applyBorder="0" applyAlignment="0" applyProtection="0"/>
    <xf numFmtId="9" fontId="6" fillId="0" borderId="0" applyFont="0" applyFill="0" applyBorder="0" applyAlignment="0" applyProtection="0"/>
    <xf numFmtId="0" fontId="3" fillId="0" borderId="0"/>
    <xf numFmtId="0" fontId="10" fillId="0" borderId="0" applyNumberFormat="0" applyFill="0" applyBorder="0" applyAlignment="0" applyProtection="0"/>
    <xf numFmtId="0" fontId="33" fillId="0" borderId="0" applyNumberFormat="0" applyFill="0" applyBorder="0" applyAlignment="0" applyProtection="0"/>
  </cellStyleXfs>
  <cellXfs count="1252">
    <xf numFmtId="0" fontId="0" fillId="0" borderId="0" xfId="0"/>
    <xf numFmtId="0" fontId="0" fillId="0" borderId="0" xfId="0" applyAlignment="1">
      <alignment horizontal="center"/>
    </xf>
    <xf numFmtId="11" fontId="0" fillId="0" borderId="0" xfId="0" applyNumberFormat="1"/>
    <xf numFmtId="0" fontId="0" fillId="3" borderId="42" xfId="0" applyFill="1" applyBorder="1"/>
    <xf numFmtId="0" fontId="0" fillId="0" borderId="42" xfId="0" applyBorder="1"/>
    <xf numFmtId="0" fontId="11" fillId="0" borderId="0" xfId="0" applyFont="1" applyAlignment="1">
      <alignment vertical="center"/>
    </xf>
    <xf numFmtId="0" fontId="11" fillId="0" borderId="0" xfId="0" applyFont="1" applyAlignment="1">
      <alignment horizontal="center" vertical="center"/>
    </xf>
    <xf numFmtId="0" fontId="14" fillId="2" borderId="1" xfId="0" applyFont="1" applyFill="1" applyBorder="1" applyAlignment="1">
      <alignment horizontal="center" vertical="center"/>
    </xf>
    <xf numFmtId="0" fontId="14" fillId="0" borderId="0" xfId="0" applyFont="1" applyAlignment="1">
      <alignment horizontal="center" vertical="center"/>
    </xf>
    <xf numFmtId="0" fontId="0" fillId="0" borderId="0" xfId="0" applyAlignment="1">
      <alignment horizontal="center" vertical="center"/>
    </xf>
    <xf numFmtId="0" fontId="0" fillId="0" borderId="49" xfId="0" applyBorder="1" applyAlignment="1">
      <alignment horizontal="center"/>
    </xf>
    <xf numFmtId="0" fontId="0" fillId="0" borderId="50" xfId="0" applyBorder="1" applyAlignment="1">
      <alignment horizontal="center"/>
    </xf>
    <xf numFmtId="0" fontId="0" fillId="0" borderId="56" xfId="0" applyBorder="1"/>
    <xf numFmtId="2" fontId="11" fillId="0" borderId="0" xfId="0" applyNumberFormat="1" applyFont="1" applyAlignment="1">
      <alignment horizontal="center" vertical="center"/>
    </xf>
    <xf numFmtId="0" fontId="0" fillId="0" borderId="0" xfId="0" applyAlignment="1">
      <alignment vertical="center"/>
    </xf>
    <xf numFmtId="0" fontId="0" fillId="3" borderId="42" xfId="0" applyFill="1" applyBorder="1" applyAlignment="1">
      <alignment vertical="center"/>
    </xf>
    <xf numFmtId="0" fontId="0" fillId="0" borderId="47" xfId="0" applyBorder="1" applyAlignment="1">
      <alignment vertical="center"/>
    </xf>
    <xf numFmtId="0" fontId="0" fillId="0" borderId="48" xfId="0" applyBorder="1" applyAlignment="1">
      <alignment vertical="center"/>
    </xf>
    <xf numFmtId="0" fontId="0" fillId="0" borderId="42" xfId="0" applyBorder="1" applyAlignment="1">
      <alignment vertical="center"/>
    </xf>
    <xf numFmtId="0" fontId="0" fillId="0" borderId="55" xfId="0" applyBorder="1" applyAlignment="1">
      <alignment vertical="center"/>
    </xf>
    <xf numFmtId="0" fontId="0" fillId="0" borderId="56" xfId="0" applyBorder="1" applyAlignment="1">
      <alignment vertical="center"/>
    </xf>
    <xf numFmtId="0" fontId="1" fillId="7" borderId="54" xfId="0" applyFont="1" applyFill="1" applyBorder="1" applyAlignment="1">
      <alignment vertical="center"/>
    </xf>
    <xf numFmtId="0" fontId="0" fillId="0" borderId="50" xfId="0" applyBorder="1" applyAlignment="1">
      <alignment horizontal="right" vertical="center"/>
    </xf>
    <xf numFmtId="0" fontId="1" fillId="7" borderId="45" xfId="0" applyFont="1" applyFill="1" applyBorder="1" applyAlignment="1">
      <alignment horizontal="right" vertical="center"/>
    </xf>
    <xf numFmtId="0" fontId="0" fillId="0" borderId="49" xfId="0" applyBorder="1" applyAlignment="1">
      <alignment horizontal="right" vertical="center"/>
    </xf>
    <xf numFmtId="0" fontId="11" fillId="0" borderId="0" xfId="0" applyFont="1" applyAlignment="1">
      <alignment horizontal="left" vertical="center"/>
    </xf>
    <xf numFmtId="0" fontId="1" fillId="7" borderId="54" xfId="0" applyFont="1" applyFill="1" applyBorder="1" applyAlignment="1">
      <alignment horizontal="right" vertical="center"/>
    </xf>
    <xf numFmtId="0" fontId="0" fillId="0" borderId="42" xfId="0" applyBorder="1" applyAlignment="1">
      <alignment horizontal="right" vertical="center"/>
    </xf>
    <xf numFmtId="0" fontId="0" fillId="0" borderId="51" xfId="0" applyBorder="1" applyAlignment="1">
      <alignment horizontal="right" vertical="center"/>
    </xf>
    <xf numFmtId="0" fontId="0" fillId="0" borderId="46" xfId="0" applyBorder="1" applyAlignment="1">
      <alignment vertical="center"/>
    </xf>
    <xf numFmtId="0" fontId="0" fillId="0" borderId="42" xfId="0" applyBorder="1" applyAlignment="1">
      <alignment horizontal="left" vertical="center"/>
    </xf>
    <xf numFmtId="0" fontId="0" fillId="0" borderId="56" xfId="0" applyBorder="1" applyAlignment="1">
      <alignment horizontal="left" vertical="center"/>
    </xf>
    <xf numFmtId="0" fontId="19" fillId="0" borderId="42" xfId="0" applyFont="1" applyBorder="1" applyAlignment="1">
      <alignment vertical="center"/>
    </xf>
    <xf numFmtId="0" fontId="0" fillId="0" borderId="64" xfId="0" applyBorder="1" applyAlignment="1">
      <alignment horizontal="right" vertical="center"/>
    </xf>
    <xf numFmtId="0" fontId="0" fillId="0" borderId="59" xfId="0" applyBorder="1" applyAlignment="1">
      <alignment horizontal="right" vertical="center"/>
    </xf>
    <xf numFmtId="0" fontId="1" fillId="7" borderId="33" xfId="0" applyFont="1" applyFill="1" applyBorder="1" applyAlignment="1">
      <alignment horizontal="left" vertical="center"/>
    </xf>
    <xf numFmtId="0" fontId="0" fillId="0" borderId="0" xfId="0" applyAlignment="1">
      <alignment horizontal="left"/>
    </xf>
    <xf numFmtId="0" fontId="24" fillId="0" borderId="0" xfId="0" applyFont="1"/>
    <xf numFmtId="0" fontId="0" fillId="3" borderId="42" xfId="0" applyFill="1" applyBorder="1" applyAlignment="1">
      <alignment horizontal="left" vertical="center"/>
    </xf>
    <xf numFmtId="0" fontId="0" fillId="3" borderId="39" xfId="0" applyFill="1" applyBorder="1" applyAlignment="1">
      <alignment vertical="center"/>
    </xf>
    <xf numFmtId="0" fontId="13" fillId="8" borderId="42" xfId="0" applyFont="1" applyFill="1" applyBorder="1" applyAlignment="1">
      <alignment vertical="center"/>
    </xf>
    <xf numFmtId="0" fontId="0" fillId="0" borderId="28" xfId="0" applyBorder="1" applyAlignment="1">
      <alignment horizontal="right" vertical="center"/>
    </xf>
    <xf numFmtId="0" fontId="0" fillId="11" borderId="42" xfId="0" applyFill="1" applyBorder="1" applyAlignment="1">
      <alignment vertical="center"/>
    </xf>
    <xf numFmtId="0" fontId="0" fillId="5" borderId="42" xfId="0" applyFill="1" applyBorder="1" applyAlignment="1">
      <alignment vertical="center"/>
    </xf>
    <xf numFmtId="0" fontId="7" fillId="0" borderId="42" xfId="0" applyFont="1" applyBorder="1" applyAlignment="1">
      <alignment vertical="center"/>
    </xf>
    <xf numFmtId="0" fontId="7" fillId="0" borderId="47" xfId="0" applyFont="1" applyBorder="1" applyAlignment="1">
      <alignment vertical="center"/>
    </xf>
    <xf numFmtId="0" fontId="0" fillId="0" borderId="58" xfId="0" applyBorder="1" applyAlignment="1">
      <alignment vertical="center"/>
    </xf>
    <xf numFmtId="0" fontId="0" fillId="0" borderId="38" xfId="0" applyBorder="1" applyAlignment="1">
      <alignment vertical="center"/>
    </xf>
    <xf numFmtId="0" fontId="7" fillId="0" borderId="38" xfId="0" applyFont="1" applyBorder="1" applyAlignment="1">
      <alignment vertical="center"/>
    </xf>
    <xf numFmtId="0" fontId="7" fillId="3" borderId="42" xfId="0" applyFont="1" applyFill="1" applyBorder="1" applyAlignment="1">
      <alignment horizontal="left" vertical="center"/>
    </xf>
    <xf numFmtId="0" fontId="13" fillId="8" borderId="42" xfId="0" applyFont="1" applyFill="1" applyBorder="1" applyAlignment="1">
      <alignment horizontal="left" vertical="center"/>
    </xf>
    <xf numFmtId="0" fontId="0" fillId="0" borderId="0" xfId="0" applyAlignment="1">
      <alignment horizontal="left" vertical="center"/>
    </xf>
    <xf numFmtId="0" fontId="0" fillId="11" borderId="42" xfId="0" applyFill="1" applyBorder="1" applyAlignment="1">
      <alignment horizontal="left" vertical="center"/>
    </xf>
    <xf numFmtId="0" fontId="0" fillId="5" borderId="42" xfId="0" applyFill="1" applyBorder="1" applyAlignment="1">
      <alignment horizontal="left" vertical="center"/>
    </xf>
    <xf numFmtId="0" fontId="0" fillId="7" borderId="16" xfId="0" applyFill="1" applyBorder="1"/>
    <xf numFmtId="0" fontId="16" fillId="7" borderId="16" xfId="0" applyFont="1" applyFill="1" applyBorder="1"/>
    <xf numFmtId="0" fontId="0" fillId="7" borderId="0" xfId="0" applyFill="1"/>
    <xf numFmtId="0" fontId="0" fillId="7" borderId="35" xfId="0" applyFill="1" applyBorder="1"/>
    <xf numFmtId="0" fontId="0" fillId="3" borderId="42" xfId="0" applyFill="1" applyBorder="1" applyAlignment="1">
      <alignment horizontal="left"/>
    </xf>
    <xf numFmtId="0" fontId="0" fillId="7" borderId="35" xfId="0" applyFill="1" applyBorder="1" applyAlignment="1">
      <alignment horizontal="left"/>
    </xf>
    <xf numFmtId="0" fontId="0" fillId="7" borderId="6" xfId="0" applyFill="1" applyBorder="1" applyAlignment="1">
      <alignment horizontal="left"/>
    </xf>
    <xf numFmtId="0" fontId="0" fillId="7" borderId="0" xfId="0" applyFill="1" applyAlignment="1">
      <alignment horizontal="left"/>
    </xf>
    <xf numFmtId="0" fontId="0" fillId="7" borderId="30" xfId="0" applyFill="1" applyBorder="1" applyAlignment="1">
      <alignment horizontal="left"/>
    </xf>
    <xf numFmtId="0" fontId="0" fillId="3" borderId="50" xfId="0" applyFill="1" applyBorder="1" applyAlignment="1">
      <alignment horizontal="left"/>
    </xf>
    <xf numFmtId="11" fontId="0" fillId="0" borderId="0" xfId="0" applyNumberFormat="1" applyAlignment="1">
      <alignment horizontal="left"/>
    </xf>
    <xf numFmtId="0" fontId="1" fillId="10" borderId="47" xfId="0" applyFont="1" applyFill="1" applyBorder="1" applyAlignment="1">
      <alignment vertical="center"/>
    </xf>
    <xf numFmtId="0" fontId="0" fillId="0" borderId="12" xfId="0" applyBorder="1" applyAlignment="1">
      <alignment horizontal="center"/>
    </xf>
    <xf numFmtId="0" fontId="0" fillId="0" borderId="13" xfId="0" applyBorder="1" applyAlignment="1">
      <alignment horizontal="center"/>
    </xf>
    <xf numFmtId="0" fontId="0" fillId="0" borderId="25" xfId="0" applyBorder="1" applyAlignment="1">
      <alignment horizontal="center"/>
    </xf>
    <xf numFmtId="0" fontId="0" fillId="0" borderId="14" xfId="0" applyBorder="1" applyAlignment="1">
      <alignment horizontal="center"/>
    </xf>
    <xf numFmtId="0" fontId="0" fillId="0" borderId="24" xfId="0" applyBorder="1"/>
    <xf numFmtId="0" fontId="0" fillId="0" borderId="69" xfId="0" applyBorder="1" applyAlignment="1">
      <alignment horizontal="left"/>
    </xf>
    <xf numFmtId="0" fontId="0" fillId="0" borderId="69" xfId="0" applyBorder="1"/>
    <xf numFmtId="0" fontId="0" fillId="0" borderId="17" xfId="0" applyBorder="1" applyAlignment="1">
      <alignment horizontal="left"/>
    </xf>
    <xf numFmtId="0" fontId="0" fillId="14" borderId="13" xfId="0" applyFill="1" applyBorder="1" applyAlignment="1">
      <alignment horizontal="right"/>
    </xf>
    <xf numFmtId="0" fontId="0" fillId="0" borderId="16" xfId="0" applyBorder="1"/>
    <xf numFmtId="0" fontId="0" fillId="0" borderId="47" xfId="0" applyBorder="1"/>
    <xf numFmtId="0" fontId="0" fillId="0" borderId="48" xfId="0" applyBorder="1"/>
    <xf numFmtId="0" fontId="0" fillId="0" borderId="42" xfId="0" applyBorder="1" applyAlignment="1">
      <alignment horizontal="center" vertical="center"/>
    </xf>
    <xf numFmtId="0" fontId="0" fillId="0" borderId="55" xfId="0" applyBorder="1" applyAlignment="1">
      <alignment horizontal="center" vertical="center"/>
    </xf>
    <xf numFmtId="0" fontId="0" fillId="0" borderId="49" xfId="0" applyBorder="1" applyAlignment="1">
      <alignment horizontal="center" vertical="center"/>
    </xf>
    <xf numFmtId="0" fontId="34" fillId="0" borderId="70" xfId="7" applyFont="1" applyFill="1" applyBorder="1" applyAlignment="1">
      <alignment wrapText="1"/>
    </xf>
    <xf numFmtId="0" fontId="0" fillId="15" borderId="42" xfId="0" applyFill="1" applyBorder="1"/>
    <xf numFmtId="0" fontId="33" fillId="0" borderId="41" xfId="7" applyBorder="1" applyAlignment="1">
      <alignment wrapText="1"/>
    </xf>
    <xf numFmtId="0" fontId="0" fillId="3" borderId="42" xfId="0" applyFill="1" applyBorder="1" applyAlignment="1">
      <alignment wrapText="1"/>
    </xf>
    <xf numFmtId="0" fontId="0" fillId="16" borderId="38" xfId="0" applyFill="1" applyBorder="1" applyAlignment="1">
      <alignment horizontal="left" vertical="center"/>
    </xf>
    <xf numFmtId="0" fontId="0" fillId="16" borderId="38" xfId="0" applyFill="1" applyBorder="1" applyAlignment="1">
      <alignment horizontal="left" vertical="center" wrapText="1"/>
    </xf>
    <xf numFmtId="0" fontId="0" fillId="16" borderId="42" xfId="0" applyFill="1" applyBorder="1" applyAlignment="1">
      <alignment horizontal="left" vertical="center" wrapText="1"/>
    </xf>
    <xf numFmtId="0" fontId="0" fillId="0" borderId="42" xfId="0" applyBorder="1" applyAlignment="1">
      <alignment horizontal="left"/>
    </xf>
    <xf numFmtId="0" fontId="0" fillId="0" borderId="56" xfId="0" applyBorder="1" applyAlignment="1">
      <alignment horizontal="left"/>
    </xf>
    <xf numFmtId="0" fontId="0" fillId="3" borderId="39" xfId="0" applyFill="1" applyBorder="1" applyAlignment="1">
      <alignment horizontal="left"/>
    </xf>
    <xf numFmtId="0" fontId="0" fillId="0" borderId="72" xfId="0" applyBorder="1" applyAlignment="1">
      <alignment horizontal="left"/>
    </xf>
    <xf numFmtId="0" fontId="0" fillId="0" borderId="51" xfId="0" applyBorder="1" applyAlignment="1">
      <alignment horizontal="left"/>
    </xf>
    <xf numFmtId="0" fontId="21" fillId="7" borderId="16" xfId="0" applyFont="1" applyFill="1" applyBorder="1"/>
    <xf numFmtId="0" fontId="0" fillId="0" borderId="39" xfId="0" applyBorder="1" applyAlignment="1">
      <alignment horizontal="left"/>
    </xf>
    <xf numFmtId="0" fontId="0" fillId="0" borderId="63" xfId="0" applyBorder="1" applyAlignment="1">
      <alignment horizontal="left"/>
    </xf>
    <xf numFmtId="0" fontId="0" fillId="0" borderId="41" xfId="0" applyBorder="1" applyAlignment="1">
      <alignment horizontal="left"/>
    </xf>
    <xf numFmtId="0" fontId="0" fillId="0" borderId="64" xfId="0" applyBorder="1" applyAlignment="1">
      <alignment horizontal="left"/>
    </xf>
    <xf numFmtId="0" fontId="0" fillId="0" borderId="50" xfId="0" applyBorder="1" applyAlignment="1">
      <alignment horizontal="left"/>
    </xf>
    <xf numFmtId="0" fontId="1" fillId="7" borderId="67" xfId="0" applyFont="1" applyFill="1" applyBorder="1" applyAlignment="1">
      <alignment vertical="center"/>
    </xf>
    <xf numFmtId="0" fontId="1" fillId="7" borderId="67" xfId="0" applyFont="1" applyFill="1" applyBorder="1" applyAlignment="1">
      <alignment horizontal="right" vertical="center"/>
    </xf>
    <xf numFmtId="0" fontId="1" fillId="7" borderId="71" xfId="0" applyFont="1" applyFill="1" applyBorder="1" applyAlignment="1">
      <alignment horizontal="right" vertical="center"/>
    </xf>
    <xf numFmtId="0" fontId="1" fillId="2" borderId="48" xfId="0" applyFont="1" applyFill="1" applyBorder="1" applyAlignment="1">
      <alignment vertical="center"/>
    </xf>
    <xf numFmtId="0" fontId="0" fillId="0" borderId="41" xfId="0" applyBorder="1" applyAlignment="1">
      <alignment vertical="center"/>
    </xf>
    <xf numFmtId="11" fontId="2" fillId="0" borderId="44" xfId="0" applyNumberFormat="1" applyFont="1" applyBorder="1" applyAlignment="1">
      <alignment horizontal="right" vertical="center"/>
    </xf>
    <xf numFmtId="0" fontId="2" fillId="0" borderId="49" xfId="0" applyFont="1" applyBorder="1" applyAlignment="1">
      <alignment horizontal="right" vertical="center"/>
    </xf>
    <xf numFmtId="0" fontId="2" fillId="0" borderId="50" xfId="0" applyFont="1" applyBorder="1" applyAlignment="1">
      <alignment horizontal="right" vertical="center"/>
    </xf>
    <xf numFmtId="11" fontId="0" fillId="3" borderId="42" xfId="0" applyNumberFormat="1" applyFill="1" applyBorder="1" applyAlignment="1">
      <alignment horizontal="right" vertical="center"/>
    </xf>
    <xf numFmtId="11" fontId="0" fillId="0" borderId="50" xfId="0" applyNumberFormat="1" applyBorder="1" applyAlignment="1">
      <alignment horizontal="right" vertical="center"/>
    </xf>
    <xf numFmtId="0" fontId="0" fillId="3" borderId="42" xfId="0" applyFill="1" applyBorder="1" applyAlignment="1">
      <alignment horizontal="right" vertical="center"/>
    </xf>
    <xf numFmtId="0" fontId="0" fillId="4" borderId="48" xfId="0" applyFill="1" applyBorder="1" applyAlignment="1">
      <alignment vertical="center"/>
    </xf>
    <xf numFmtId="0" fontId="0" fillId="4" borderId="56" xfId="0" applyFill="1" applyBorder="1" applyAlignment="1">
      <alignment vertical="center"/>
    </xf>
    <xf numFmtId="0" fontId="0" fillId="4" borderId="42" xfId="0" applyFill="1" applyBorder="1" applyAlignment="1">
      <alignment vertical="center"/>
    </xf>
    <xf numFmtId="0" fontId="0" fillId="4" borderId="38" xfId="0" applyFill="1" applyBorder="1" applyAlignment="1">
      <alignment vertical="center"/>
    </xf>
    <xf numFmtId="11" fontId="0" fillId="4" borderId="56" xfId="0" applyNumberFormat="1" applyFill="1" applyBorder="1" applyAlignment="1">
      <alignment horizontal="right" vertical="center"/>
    </xf>
    <xf numFmtId="11" fontId="0" fillId="4" borderId="42" xfId="0" applyNumberFormat="1" applyFill="1" applyBorder="1" applyAlignment="1">
      <alignment horizontal="right" vertical="center"/>
    </xf>
    <xf numFmtId="0" fontId="0" fillId="4" borderId="47" xfId="0" applyFill="1" applyBorder="1" applyAlignment="1">
      <alignment vertical="center"/>
    </xf>
    <xf numFmtId="11" fontId="7" fillId="4" borderId="56" xfId="0" applyNumberFormat="1" applyFont="1" applyFill="1" applyBorder="1" applyAlignment="1">
      <alignment horizontal="right" vertical="center"/>
    </xf>
    <xf numFmtId="0" fontId="7" fillId="4" borderId="56" xfId="0" applyFont="1" applyFill="1" applyBorder="1" applyAlignment="1">
      <alignment vertical="center"/>
    </xf>
    <xf numFmtId="0" fontId="0" fillId="0" borderId="65" xfId="0" applyBorder="1" applyAlignment="1">
      <alignment vertical="center"/>
    </xf>
    <xf numFmtId="2" fontId="0" fillId="0" borderId="0" xfId="0" applyNumberFormat="1" applyAlignment="1">
      <alignment horizontal="left"/>
    </xf>
    <xf numFmtId="167" fontId="0" fillId="0" borderId="0" xfId="0" applyNumberFormat="1" applyAlignment="1">
      <alignment horizontal="left"/>
    </xf>
    <xf numFmtId="1" fontId="0" fillId="0" borderId="0" xfId="0" applyNumberFormat="1"/>
    <xf numFmtId="0" fontId="0" fillId="2" borderId="38" xfId="0" applyFill="1" applyBorder="1" applyAlignment="1">
      <alignment vertical="center"/>
    </xf>
    <xf numFmtId="11" fontId="0" fillId="4" borderId="38" xfId="0" applyNumberFormat="1" applyFill="1" applyBorder="1" applyAlignment="1">
      <alignment horizontal="right" vertical="center"/>
    </xf>
    <xf numFmtId="0" fontId="0" fillId="20" borderId="42" xfId="0" applyFill="1" applyBorder="1" applyAlignment="1">
      <alignment vertical="center"/>
    </xf>
    <xf numFmtId="0" fontId="1" fillId="0" borderId="47" xfId="0" applyFont="1" applyBorder="1" applyAlignment="1">
      <alignment vertical="center"/>
    </xf>
    <xf numFmtId="0" fontId="7" fillId="4" borderId="42" xfId="0" applyFont="1" applyFill="1" applyBorder="1" applyAlignment="1">
      <alignment vertical="center"/>
    </xf>
    <xf numFmtId="0" fontId="24" fillId="0" borderId="0" xfId="0" applyFont="1" applyAlignment="1">
      <alignment horizontal="center"/>
    </xf>
    <xf numFmtId="0" fontId="0" fillId="14" borderId="18" xfId="0" applyFill="1" applyBorder="1"/>
    <xf numFmtId="0" fontId="0" fillId="14" borderId="19" xfId="0" applyFill="1" applyBorder="1"/>
    <xf numFmtId="0" fontId="0" fillId="14" borderId="19" xfId="0" applyFill="1" applyBorder="1" applyAlignment="1">
      <alignment vertical="center"/>
    </xf>
    <xf numFmtId="0" fontId="0" fillId="8" borderId="47" xfId="0" applyFill="1" applyBorder="1" applyAlignment="1">
      <alignment vertical="center"/>
    </xf>
    <xf numFmtId="0" fontId="0" fillId="4" borderId="24" xfId="0" applyFill="1" applyBorder="1" applyAlignment="1">
      <alignment vertical="center"/>
    </xf>
    <xf numFmtId="2" fontId="0" fillId="0" borderId="42" xfId="0" applyNumberFormat="1" applyBorder="1" applyAlignment="1">
      <alignment horizontal="right" vertical="center"/>
    </xf>
    <xf numFmtId="0" fontId="7" fillId="0" borderId="55" xfId="0" applyFont="1" applyBorder="1" applyAlignment="1">
      <alignment vertical="center"/>
    </xf>
    <xf numFmtId="0" fontId="0" fillId="0" borderId="55" xfId="0" applyBorder="1" applyAlignment="1">
      <alignment horizontal="right" vertical="center"/>
    </xf>
    <xf numFmtId="11" fontId="0" fillId="0" borderId="42" xfId="0" applyNumberFormat="1" applyBorder="1" applyAlignment="1">
      <alignment horizontal="right" vertical="center"/>
    </xf>
    <xf numFmtId="1" fontId="0" fillId="0" borderId="42" xfId="0" applyNumberFormat="1" applyBorder="1" applyAlignment="1">
      <alignment horizontal="right" vertical="center"/>
    </xf>
    <xf numFmtId="167" fontId="0" fillId="0" borderId="42" xfId="0" applyNumberFormat="1" applyBorder="1" applyAlignment="1">
      <alignment horizontal="right" vertical="center"/>
    </xf>
    <xf numFmtId="0" fontId="0" fillId="0" borderId="41" xfId="0" applyBorder="1" applyAlignment="1">
      <alignment horizontal="left" vertical="center"/>
    </xf>
    <xf numFmtId="0" fontId="0" fillId="0" borderId="41" xfId="0" applyBorder="1" applyAlignment="1">
      <alignment horizontal="right" vertical="center"/>
    </xf>
    <xf numFmtId="11" fontId="0" fillId="0" borderId="41" xfId="0" applyNumberFormat="1" applyBorder="1" applyAlignment="1">
      <alignment horizontal="right" vertical="center"/>
    </xf>
    <xf numFmtId="171" fontId="0" fillId="0" borderId="41" xfId="0" applyNumberFormat="1" applyBorder="1" applyAlignment="1">
      <alignment horizontal="right" vertical="center"/>
    </xf>
    <xf numFmtId="0" fontId="7" fillId="0" borderId="42" xfId="0" applyFont="1" applyBorder="1" applyAlignment="1">
      <alignment horizontal="right" vertical="center"/>
    </xf>
    <xf numFmtId="0" fontId="1" fillId="7" borderId="73" xfId="0" applyFont="1" applyFill="1" applyBorder="1" applyAlignment="1">
      <alignment horizontal="left" vertical="center"/>
    </xf>
    <xf numFmtId="0" fontId="0" fillId="0" borderId="50" xfId="0" applyBorder="1"/>
    <xf numFmtId="0" fontId="0" fillId="0" borderId="38" xfId="0" applyBorder="1" applyAlignment="1">
      <alignment horizontal="right" vertical="center"/>
    </xf>
    <xf numFmtId="0" fontId="0" fillId="0" borderId="51" xfId="0" applyBorder="1"/>
    <xf numFmtId="11" fontId="9" fillId="0" borderId="42" xfId="0" applyNumberFormat="1" applyFont="1" applyBorder="1" applyAlignment="1">
      <alignment horizontal="right" vertical="center"/>
    </xf>
    <xf numFmtId="11" fontId="7" fillId="0" borderId="42" xfId="0" applyNumberFormat="1" applyFont="1" applyBorder="1" applyAlignment="1">
      <alignment horizontal="right" vertical="center"/>
    </xf>
    <xf numFmtId="0" fontId="0" fillId="0" borderId="67" xfId="0" applyBorder="1" applyAlignment="1">
      <alignment vertical="center"/>
    </xf>
    <xf numFmtId="0" fontId="7" fillId="0" borderId="41" xfId="0" applyFont="1" applyBorder="1" applyAlignment="1">
      <alignment vertical="center"/>
    </xf>
    <xf numFmtId="10" fontId="7" fillId="0" borderId="42" xfId="0" applyNumberFormat="1" applyFont="1" applyBorder="1" applyAlignment="1">
      <alignment horizontal="right" vertical="center"/>
    </xf>
    <xf numFmtId="167" fontId="0" fillId="0" borderId="41" xfId="0" applyNumberFormat="1" applyBorder="1" applyAlignment="1">
      <alignment horizontal="right" vertical="center"/>
    </xf>
    <xf numFmtId="0" fontId="0" fillId="0" borderId="55" xfId="0" applyBorder="1" applyAlignment="1">
      <alignment vertical="center" wrapText="1"/>
    </xf>
    <xf numFmtId="0" fontId="0" fillId="0" borderId="41" xfId="0" applyBorder="1" applyAlignment="1">
      <alignment vertical="center" wrapText="1"/>
    </xf>
    <xf numFmtId="11" fontId="0" fillId="0" borderId="42" xfId="0" applyNumberFormat="1" applyBorder="1" applyAlignment="1">
      <alignment vertical="center"/>
    </xf>
    <xf numFmtId="2" fontId="0" fillId="0" borderId="41" xfId="0" applyNumberFormat="1" applyBorder="1" applyAlignment="1">
      <alignment horizontal="right" vertical="center"/>
    </xf>
    <xf numFmtId="1" fontId="7" fillId="0" borderId="42" xfId="0" applyNumberFormat="1" applyFont="1" applyBorder="1" applyAlignment="1">
      <alignment horizontal="right" vertical="center"/>
    </xf>
    <xf numFmtId="1" fontId="7" fillId="0" borderId="38" xfId="0" applyNumberFormat="1" applyFont="1" applyBorder="1" applyAlignment="1">
      <alignment horizontal="right" vertical="center"/>
    </xf>
    <xf numFmtId="168" fontId="0" fillId="0" borderId="42" xfId="0" applyNumberFormat="1" applyBorder="1" applyAlignment="1">
      <alignment horizontal="right" vertical="center"/>
    </xf>
    <xf numFmtId="0" fontId="7" fillId="0" borderId="58" xfId="0" applyFont="1" applyBorder="1" applyAlignment="1">
      <alignment vertical="center"/>
    </xf>
    <xf numFmtId="1" fontId="2" fillId="0" borderId="55" xfId="0" applyNumberFormat="1" applyFont="1" applyBorder="1" applyAlignment="1">
      <alignment horizontal="right" vertical="center"/>
    </xf>
    <xf numFmtId="1" fontId="2" fillId="0" borderId="41" xfId="0" applyNumberFormat="1" applyFont="1" applyBorder="1" applyAlignment="1">
      <alignment horizontal="right" vertical="center"/>
    </xf>
    <xf numFmtId="0" fontId="2" fillId="0" borderId="64" xfId="0" applyFont="1" applyBorder="1" applyAlignment="1">
      <alignment horizontal="right" vertical="center"/>
    </xf>
    <xf numFmtId="167" fontId="7" fillId="0" borderId="42" xfId="0" applyNumberFormat="1" applyFont="1" applyBorder="1" applyAlignment="1">
      <alignment horizontal="right" vertical="center"/>
    </xf>
    <xf numFmtId="0" fontId="7" fillId="0" borderId="50" xfId="0" applyFont="1" applyBorder="1" applyAlignment="1">
      <alignment horizontal="right" vertical="center"/>
    </xf>
    <xf numFmtId="2" fontId="7" fillId="0" borderId="42" xfId="0" applyNumberFormat="1" applyFont="1" applyBorder="1" applyAlignment="1">
      <alignment horizontal="right" vertical="center"/>
    </xf>
    <xf numFmtId="164" fontId="7" fillId="0" borderId="42" xfId="0" applyNumberFormat="1" applyFont="1" applyBorder="1" applyAlignment="1">
      <alignment horizontal="right" vertical="center"/>
    </xf>
    <xf numFmtId="11" fontId="2" fillId="0" borderId="55" xfId="0" applyNumberFormat="1" applyFont="1" applyBorder="1" applyAlignment="1">
      <alignment horizontal="right" vertical="center"/>
    </xf>
    <xf numFmtId="11" fontId="9" fillId="0" borderId="55" xfId="0" applyNumberFormat="1" applyFont="1" applyBorder="1" applyAlignment="1">
      <alignment horizontal="right" vertical="center"/>
    </xf>
    <xf numFmtId="0" fontId="0" fillId="0" borderId="62" xfId="0" applyBorder="1" applyAlignment="1">
      <alignment horizontal="right" vertical="center"/>
    </xf>
    <xf numFmtId="0" fontId="7" fillId="0" borderId="61" xfId="0" applyFont="1" applyBorder="1" applyAlignment="1">
      <alignment vertical="center"/>
    </xf>
    <xf numFmtId="1" fontId="7" fillId="0" borderId="44" xfId="0" applyNumberFormat="1" applyFont="1" applyBorder="1" applyAlignment="1">
      <alignment horizontal="right" vertical="center"/>
    </xf>
    <xf numFmtId="0" fontId="0" fillId="0" borderId="44" xfId="0" applyBorder="1" applyAlignment="1">
      <alignment vertical="center"/>
    </xf>
    <xf numFmtId="0" fontId="7" fillId="0" borderId="44" xfId="0" applyFont="1" applyBorder="1" applyAlignment="1">
      <alignment vertical="center"/>
    </xf>
    <xf numFmtId="2" fontId="7" fillId="0" borderId="38" xfId="0" applyNumberFormat="1" applyFont="1" applyBorder="1" applyAlignment="1">
      <alignment horizontal="right" vertical="center"/>
    </xf>
    <xf numFmtId="0" fontId="16" fillId="7" borderId="5" xfId="0" applyFont="1" applyFill="1" applyBorder="1" applyAlignment="1">
      <alignment vertical="center"/>
    </xf>
    <xf numFmtId="0" fontId="20" fillId="2" borderId="1" xfId="0" applyFont="1" applyFill="1" applyBorder="1" applyAlignment="1">
      <alignment horizontal="left" vertical="center"/>
    </xf>
    <xf numFmtId="0" fontId="0" fillId="7" borderId="35" xfId="0" applyFill="1" applyBorder="1" applyAlignment="1">
      <alignment vertical="center"/>
    </xf>
    <xf numFmtId="0" fontId="0" fillId="7" borderId="35" xfId="0" applyFill="1" applyBorder="1" applyAlignment="1">
      <alignment horizontal="left" vertical="center"/>
    </xf>
    <xf numFmtId="0" fontId="0" fillId="7" borderId="6" xfId="0" applyFill="1" applyBorder="1" applyAlignment="1">
      <alignment horizontal="left" vertical="center"/>
    </xf>
    <xf numFmtId="20" fontId="0" fillId="0" borderId="42" xfId="0" applyNumberFormat="1" applyBorder="1" applyAlignment="1">
      <alignment horizontal="right" vertical="center"/>
    </xf>
    <xf numFmtId="168" fontId="11" fillId="0" borderId="0" xfId="0" applyNumberFormat="1" applyFont="1" applyAlignment="1">
      <alignment horizontal="center" vertical="center"/>
    </xf>
    <xf numFmtId="11" fontId="0" fillId="0" borderId="64" xfId="0" applyNumberFormat="1" applyBorder="1" applyAlignment="1">
      <alignment horizontal="right" vertical="center"/>
    </xf>
    <xf numFmtId="0" fontId="0" fillId="0" borderId="21" xfId="0" applyBorder="1" applyAlignment="1">
      <alignment horizontal="center"/>
    </xf>
    <xf numFmtId="0" fontId="1" fillId="7" borderId="51" xfId="0" applyFont="1" applyFill="1" applyBorder="1" applyAlignment="1">
      <alignment horizontal="center" vertical="center"/>
    </xf>
    <xf numFmtId="0" fontId="1" fillId="7" borderId="57" xfId="0" applyFont="1" applyFill="1" applyBorder="1" applyAlignment="1">
      <alignment horizontal="center" vertical="center"/>
    </xf>
    <xf numFmtId="0" fontId="1" fillId="7" borderId="12" xfId="0" applyFont="1" applyFill="1" applyBorder="1" applyAlignment="1">
      <alignment horizontal="center" vertical="center"/>
    </xf>
    <xf numFmtId="0" fontId="1" fillId="7" borderId="14" xfId="0" applyFont="1" applyFill="1" applyBorder="1" applyAlignment="1">
      <alignment horizontal="center" vertical="center"/>
    </xf>
    <xf numFmtId="0" fontId="0" fillId="0" borderId="12" xfId="0" applyBorder="1"/>
    <xf numFmtId="0" fontId="0" fillId="0" borderId="13" xfId="0" applyBorder="1"/>
    <xf numFmtId="0" fontId="0" fillId="0" borderId="14" xfId="0" applyBorder="1"/>
    <xf numFmtId="0" fontId="0" fillId="0" borderId="18" xfId="0" applyBorder="1"/>
    <xf numFmtId="0" fontId="0" fillId="0" borderId="19" xfId="0" applyBorder="1"/>
    <xf numFmtId="10" fontId="0" fillId="0" borderId="18" xfId="0" applyNumberFormat="1" applyBorder="1" applyAlignment="1">
      <alignment horizontal="center"/>
    </xf>
    <xf numFmtId="10" fontId="0" fillId="0" borderId="19" xfId="0" applyNumberFormat="1" applyBorder="1" applyAlignment="1">
      <alignment horizontal="center"/>
    </xf>
    <xf numFmtId="0" fontId="0" fillId="0" borderId="19" xfId="0" applyBorder="1" applyAlignment="1">
      <alignment horizontal="center"/>
    </xf>
    <xf numFmtId="0" fontId="0" fillId="0" borderId="21" xfId="0" applyBorder="1"/>
    <xf numFmtId="0" fontId="0" fillId="0" borderId="22" xfId="0" applyBorder="1"/>
    <xf numFmtId="0" fontId="0" fillId="0" borderId="22" xfId="0" applyBorder="1" applyAlignment="1">
      <alignment horizontal="center"/>
    </xf>
    <xf numFmtId="0" fontId="0" fillId="0" borderId="23" xfId="0" applyBorder="1" applyAlignment="1">
      <alignment horizontal="center"/>
    </xf>
    <xf numFmtId="10" fontId="0" fillId="0" borderId="43" xfId="0" applyNumberFormat="1" applyBorder="1" applyAlignment="1">
      <alignment horizontal="center"/>
    </xf>
    <xf numFmtId="0" fontId="0" fillId="0" borderId="43" xfId="0" applyBorder="1"/>
    <xf numFmtId="0" fontId="0" fillId="0" borderId="26" xfId="0" applyBorder="1"/>
    <xf numFmtId="0" fontId="1" fillId="7" borderId="63" xfId="0" applyFont="1" applyFill="1" applyBorder="1" applyAlignment="1">
      <alignment horizontal="center" vertical="center"/>
    </xf>
    <xf numFmtId="0" fontId="1" fillId="7" borderId="23" xfId="0" applyFont="1" applyFill="1" applyBorder="1" applyAlignment="1">
      <alignment horizontal="center" vertical="center"/>
    </xf>
    <xf numFmtId="0" fontId="1" fillId="7" borderId="20" xfId="0" applyFont="1" applyFill="1" applyBorder="1" applyAlignment="1">
      <alignment horizontal="center" vertical="center"/>
    </xf>
    <xf numFmtId="0" fontId="1" fillId="7" borderId="48" xfId="0" applyFont="1" applyFill="1" applyBorder="1" applyAlignment="1">
      <alignment horizontal="center" vertical="center"/>
    </xf>
    <xf numFmtId="0" fontId="1" fillId="7" borderId="29" xfId="0" applyFont="1" applyFill="1" applyBorder="1" applyAlignment="1">
      <alignment horizontal="center" vertical="center"/>
    </xf>
    <xf numFmtId="1" fontId="0" fillId="0" borderId="12" xfId="0" applyNumberFormat="1" applyBorder="1" applyAlignment="1">
      <alignment horizontal="center"/>
    </xf>
    <xf numFmtId="1" fontId="0" fillId="0" borderId="13" xfId="0" applyNumberFormat="1" applyBorder="1" applyAlignment="1">
      <alignment horizontal="center"/>
    </xf>
    <xf numFmtId="1" fontId="0" fillId="0" borderId="14" xfId="0" applyNumberFormat="1" applyBorder="1" applyAlignment="1">
      <alignment horizontal="center"/>
    </xf>
    <xf numFmtId="1" fontId="0" fillId="0" borderId="25" xfId="0" applyNumberFormat="1" applyBorder="1" applyAlignment="1">
      <alignment horizontal="center"/>
    </xf>
    <xf numFmtId="0" fontId="0" fillId="0" borderId="5" xfId="0" applyBorder="1"/>
    <xf numFmtId="0" fontId="0" fillId="0" borderId="35" xfId="0" applyBorder="1"/>
    <xf numFmtId="0" fontId="0" fillId="0" borderId="6" xfId="0" applyBorder="1"/>
    <xf numFmtId="0" fontId="0" fillId="0" borderId="30" xfId="0" applyBorder="1"/>
    <xf numFmtId="0" fontId="0" fillId="0" borderId="7" xfId="0" applyBorder="1"/>
    <xf numFmtId="0" fontId="0" fillId="0" borderId="34" xfId="0" applyBorder="1"/>
    <xf numFmtId="0" fontId="0" fillId="0" borderId="8" xfId="0" applyBorder="1"/>
    <xf numFmtId="0" fontId="0" fillId="0" borderId="13" xfId="0" applyBorder="1" applyAlignment="1">
      <alignment horizontal="left"/>
    </xf>
    <xf numFmtId="0" fontId="0" fillId="0" borderId="14" xfId="0" applyBorder="1" applyAlignment="1">
      <alignment horizontal="left"/>
    </xf>
    <xf numFmtId="0" fontId="0" fillId="4" borderId="56" xfId="0" applyFill="1" applyBorder="1"/>
    <xf numFmtId="0" fontId="0" fillId="3" borderId="0" xfId="0" applyFill="1" applyAlignment="1">
      <alignment horizontal="left"/>
    </xf>
    <xf numFmtId="0" fontId="0" fillId="0" borderId="55" xfId="0" applyBorder="1"/>
    <xf numFmtId="10" fontId="0" fillId="0" borderId="21" xfId="0" applyNumberFormat="1" applyBorder="1" applyAlignment="1">
      <alignment horizontal="center"/>
    </xf>
    <xf numFmtId="10" fontId="0" fillId="0" borderId="52" xfId="0" applyNumberFormat="1" applyBorder="1" applyAlignment="1">
      <alignment horizontal="center"/>
    </xf>
    <xf numFmtId="10" fontId="0" fillId="0" borderId="7" xfId="0" applyNumberFormat="1" applyBorder="1" applyAlignment="1">
      <alignment horizontal="center"/>
    </xf>
    <xf numFmtId="0" fontId="0" fillId="0" borderId="58" xfId="0" applyBorder="1"/>
    <xf numFmtId="0" fontId="0" fillId="0" borderId="59" xfId="0" applyBorder="1"/>
    <xf numFmtId="0" fontId="1" fillId="0" borderId="50" xfId="0" applyFont="1" applyBorder="1" applyAlignment="1">
      <alignment vertical="center"/>
    </xf>
    <xf numFmtId="10" fontId="0" fillId="0" borderId="22" xfId="0" applyNumberFormat="1" applyBorder="1" applyAlignment="1">
      <alignment horizontal="center"/>
    </xf>
    <xf numFmtId="10" fontId="0" fillId="0" borderId="23" xfId="0" applyNumberFormat="1" applyBorder="1" applyAlignment="1">
      <alignment horizontal="center"/>
    </xf>
    <xf numFmtId="1" fontId="0" fillId="0" borderId="42" xfId="0" applyNumberFormat="1" applyBorder="1" applyAlignment="1">
      <alignment vertical="center"/>
    </xf>
    <xf numFmtId="168" fontId="0" fillId="14" borderId="22" xfId="0" applyNumberFormat="1" applyFill="1" applyBorder="1"/>
    <xf numFmtId="168" fontId="0" fillId="14" borderId="21" xfId="0" applyNumberFormat="1" applyFill="1" applyBorder="1"/>
    <xf numFmtId="0" fontId="0" fillId="14" borderId="22" xfId="0" applyFill="1" applyBorder="1" applyAlignment="1">
      <alignment horizontal="right"/>
    </xf>
    <xf numFmtId="0" fontId="0" fillId="14" borderId="12" xfId="0" applyFill="1" applyBorder="1" applyAlignment="1">
      <alignment horizontal="right"/>
    </xf>
    <xf numFmtId="0" fontId="0" fillId="14" borderId="35" xfId="0" applyFill="1" applyBorder="1"/>
    <xf numFmtId="0" fontId="0" fillId="14" borderId="37" xfId="0" applyFill="1" applyBorder="1"/>
    <xf numFmtId="0" fontId="0" fillId="14" borderId="20" xfId="0" applyFill="1" applyBorder="1"/>
    <xf numFmtId="0" fontId="0" fillId="0" borderId="38" xfId="0" applyBorder="1"/>
    <xf numFmtId="0" fontId="0" fillId="4" borderId="42" xfId="0" applyFill="1" applyBorder="1"/>
    <xf numFmtId="2" fontId="0" fillId="0" borderId="0" xfId="0" applyNumberFormat="1" applyAlignment="1">
      <alignment horizontal="center"/>
    </xf>
    <xf numFmtId="167" fontId="0" fillId="0" borderId="0" xfId="0" applyNumberFormat="1" applyAlignment="1">
      <alignment horizontal="center"/>
    </xf>
    <xf numFmtId="0" fontId="0" fillId="0" borderId="0" xfId="0" applyAlignment="1">
      <alignment horizontal="right"/>
    </xf>
    <xf numFmtId="0" fontId="25" fillId="0" borderId="0" xfId="0" applyFont="1"/>
    <xf numFmtId="10" fontId="24" fillId="0" borderId="0" xfId="0" applyNumberFormat="1" applyFont="1" applyAlignment="1">
      <alignment horizontal="center"/>
    </xf>
    <xf numFmtId="167" fontId="24" fillId="0" borderId="0" xfId="0" applyNumberFormat="1" applyFont="1" applyAlignment="1">
      <alignment horizontal="center"/>
    </xf>
    <xf numFmtId="2" fontId="24" fillId="0" borderId="0" xfId="0" applyNumberFormat="1" applyFont="1" applyAlignment="1">
      <alignment horizontal="center"/>
    </xf>
    <xf numFmtId="11" fontId="24" fillId="0" borderId="0" xfId="0" applyNumberFormat="1" applyFont="1" applyAlignment="1">
      <alignment horizontal="center"/>
    </xf>
    <xf numFmtId="167" fontId="7" fillId="0" borderId="50" xfId="0" applyNumberFormat="1" applyFont="1" applyBorder="1" applyAlignment="1">
      <alignment horizontal="right"/>
    </xf>
    <xf numFmtId="2" fontId="0" fillId="0" borderId="50" xfId="0" applyNumberFormat="1" applyBorder="1" applyAlignment="1">
      <alignment horizontal="right"/>
    </xf>
    <xf numFmtId="167" fontId="0" fillId="0" borderId="50" xfId="0" applyNumberFormat="1" applyBorder="1" applyAlignment="1">
      <alignment horizontal="right"/>
    </xf>
    <xf numFmtId="0" fontId="7" fillId="3" borderId="56" xfId="0" applyFont="1" applyFill="1" applyBorder="1" applyAlignment="1">
      <alignment horizontal="left" vertical="center"/>
    </xf>
    <xf numFmtId="167" fontId="0" fillId="0" borderId="51" xfId="0" applyNumberFormat="1" applyBorder="1" applyAlignment="1">
      <alignment horizontal="right"/>
    </xf>
    <xf numFmtId="11" fontId="0" fillId="0" borderId="50" xfId="0" applyNumberFormat="1" applyBorder="1" applyAlignment="1">
      <alignment horizontal="right"/>
    </xf>
    <xf numFmtId="11" fontId="0" fillId="0" borderId="51" xfId="0" applyNumberFormat="1" applyBorder="1" applyAlignment="1">
      <alignment horizontal="right"/>
    </xf>
    <xf numFmtId="0" fontId="0" fillId="0" borderId="38" xfId="0" applyBorder="1" applyAlignment="1">
      <alignment horizontal="left" vertical="center"/>
    </xf>
    <xf numFmtId="11" fontId="0" fillId="0" borderId="38" xfId="0" applyNumberFormat="1" applyBorder="1" applyAlignment="1">
      <alignment horizontal="right" vertical="center"/>
    </xf>
    <xf numFmtId="0" fontId="7" fillId="3" borderId="42" xfId="0" applyFont="1" applyFill="1" applyBorder="1" applyAlignment="1">
      <alignment vertical="center"/>
    </xf>
    <xf numFmtId="11" fontId="0" fillId="0" borderId="59" xfId="0" applyNumberFormat="1" applyBorder="1" applyAlignment="1">
      <alignment horizontal="right"/>
    </xf>
    <xf numFmtId="2" fontId="0" fillId="0" borderId="42" xfId="0" applyNumberFormat="1" applyBorder="1"/>
    <xf numFmtId="11" fontId="0" fillId="0" borderId="42" xfId="0" applyNumberFormat="1" applyBorder="1"/>
    <xf numFmtId="167" fontId="0" fillId="0" borderId="42" xfId="0" applyNumberFormat="1" applyBorder="1"/>
    <xf numFmtId="0" fontId="1" fillId="14"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11" xfId="0" applyFont="1" applyFill="1" applyBorder="1" applyAlignment="1">
      <alignment horizontal="center" vertical="center"/>
    </xf>
    <xf numFmtId="168" fontId="0" fillId="0" borderId="42" xfId="0" applyNumberFormat="1" applyBorder="1"/>
    <xf numFmtId="0" fontId="0" fillId="8" borderId="42" xfId="0" applyFill="1" applyBorder="1" applyAlignment="1">
      <alignment vertical="center"/>
    </xf>
    <xf numFmtId="0" fontId="0" fillId="8" borderId="38" xfId="0" applyFill="1" applyBorder="1" applyAlignment="1">
      <alignment vertical="center"/>
    </xf>
    <xf numFmtId="0" fontId="0" fillId="8" borderId="38" xfId="0" applyFill="1" applyBorder="1" applyAlignment="1">
      <alignment horizontal="right" vertical="center"/>
    </xf>
    <xf numFmtId="0" fontId="0" fillId="0" borderId="46" xfId="0" applyBorder="1"/>
    <xf numFmtId="172" fontId="0" fillId="0" borderId="42" xfId="0" applyNumberFormat="1" applyBorder="1" applyAlignment="1">
      <alignment horizontal="right" vertical="center"/>
    </xf>
    <xf numFmtId="0" fontId="0" fillId="3" borderId="50" xfId="0" applyFill="1" applyBorder="1" applyAlignment="1">
      <alignment horizontal="right" vertical="center"/>
    </xf>
    <xf numFmtId="0" fontId="14" fillId="2" borderId="10" xfId="0" applyFont="1" applyFill="1" applyBorder="1" applyAlignment="1">
      <alignment horizontal="center" vertical="center"/>
    </xf>
    <xf numFmtId="0" fontId="5" fillId="2" borderId="10" xfId="2" applyFont="1" applyFill="1" applyBorder="1" applyAlignment="1">
      <alignment horizontal="center" vertical="center" wrapText="1"/>
    </xf>
    <xf numFmtId="0" fontId="0" fillId="0" borderId="65" xfId="0" applyBorder="1" applyAlignment="1">
      <alignment horizontal="left" vertical="center"/>
    </xf>
    <xf numFmtId="10" fontId="0" fillId="14" borderId="22" xfId="0" applyNumberFormat="1" applyFill="1" applyBorder="1" applyAlignment="1">
      <alignment horizontal="right" vertical="center"/>
    </xf>
    <xf numFmtId="11" fontId="7" fillId="4" borderId="42" xfId="0" applyNumberFormat="1" applyFont="1" applyFill="1" applyBorder="1" applyAlignment="1">
      <alignment horizontal="right" vertical="center"/>
    </xf>
    <xf numFmtId="0" fontId="0" fillId="4" borderId="50" xfId="0" applyFill="1" applyBorder="1" applyAlignment="1">
      <alignment horizontal="right" vertical="center"/>
    </xf>
    <xf numFmtId="0" fontId="0" fillId="4" borderId="51" xfId="0" applyFill="1" applyBorder="1" applyAlignment="1">
      <alignment horizontal="right" vertical="center"/>
    </xf>
    <xf numFmtId="0" fontId="0" fillId="4" borderId="58" xfId="0" applyFill="1" applyBorder="1" applyAlignment="1">
      <alignment vertical="center"/>
    </xf>
    <xf numFmtId="0" fontId="7" fillId="3" borderId="47" xfId="0" applyFont="1" applyFill="1" applyBorder="1" applyAlignment="1">
      <alignment vertical="center"/>
    </xf>
    <xf numFmtId="11" fontId="7" fillId="3" borderId="42" xfId="0" applyNumberFormat="1" applyFont="1" applyFill="1" applyBorder="1" applyAlignment="1">
      <alignment horizontal="right" vertical="center"/>
    </xf>
    <xf numFmtId="0" fontId="7" fillId="3" borderId="47" xfId="0" applyFont="1" applyFill="1" applyBorder="1" applyAlignment="1">
      <alignment horizontal="left" vertical="center"/>
    </xf>
    <xf numFmtId="0" fontId="0" fillId="10" borderId="42" xfId="0" applyFill="1" applyBorder="1" applyAlignment="1">
      <alignment vertical="center"/>
    </xf>
    <xf numFmtId="0" fontId="0" fillId="10" borderId="42" xfId="0" applyFill="1" applyBorder="1" applyAlignment="1">
      <alignment horizontal="right" vertical="center"/>
    </xf>
    <xf numFmtId="0" fontId="0" fillId="10" borderId="50" xfId="0" applyFill="1" applyBorder="1" applyAlignment="1">
      <alignment horizontal="right" vertical="center"/>
    </xf>
    <xf numFmtId="0" fontId="0" fillId="4" borderId="59" xfId="0" applyFill="1" applyBorder="1" applyAlignment="1">
      <alignment horizontal="right" vertical="center"/>
    </xf>
    <xf numFmtId="0" fontId="0" fillId="4" borderId="51" xfId="0" applyFill="1" applyBorder="1"/>
    <xf numFmtId="0" fontId="0" fillId="3" borderId="47" xfId="0" applyFill="1" applyBorder="1" applyAlignment="1">
      <alignment vertical="center"/>
    </xf>
    <xf numFmtId="0" fontId="0" fillId="4" borderId="41" xfId="0" applyFill="1" applyBorder="1" applyAlignment="1">
      <alignment vertical="center"/>
    </xf>
    <xf numFmtId="11" fontId="7" fillId="4" borderId="38" xfId="0" applyNumberFormat="1" applyFont="1" applyFill="1" applyBorder="1" applyAlignment="1">
      <alignment horizontal="right" vertical="center"/>
    </xf>
    <xf numFmtId="171" fontId="0" fillId="0" borderId="42" xfId="0" applyNumberFormat="1" applyBorder="1" applyAlignment="1">
      <alignment horizontal="right" vertical="center"/>
    </xf>
    <xf numFmtId="11" fontId="0" fillId="2" borderId="42" xfId="0" applyNumberFormat="1" applyFill="1" applyBorder="1" applyAlignment="1">
      <alignment horizontal="left"/>
    </xf>
    <xf numFmtId="0" fontId="0" fillId="3" borderId="47" xfId="0" applyFill="1" applyBorder="1" applyAlignment="1">
      <alignment horizontal="left" vertical="center"/>
    </xf>
    <xf numFmtId="11" fontId="0" fillId="3" borderId="42" xfId="0" applyNumberFormat="1" applyFill="1" applyBorder="1" applyAlignment="1">
      <alignment vertical="center"/>
    </xf>
    <xf numFmtId="167" fontId="0" fillId="0" borderId="55" xfId="0" applyNumberFormat="1" applyBorder="1" applyAlignment="1">
      <alignment horizontal="right" vertical="center"/>
    </xf>
    <xf numFmtId="0" fontId="0" fillId="4" borderId="48" xfId="0" applyFill="1" applyBorder="1"/>
    <xf numFmtId="11" fontId="0" fillId="2" borderId="42" xfId="0" applyNumberFormat="1" applyFill="1" applyBorder="1" applyAlignment="1">
      <alignment horizontal="left" vertical="center"/>
    </xf>
    <xf numFmtId="0" fontId="5" fillId="2" borderId="1" xfId="2" applyFont="1" applyFill="1" applyBorder="1" applyAlignment="1">
      <alignment horizontal="center" vertical="center" wrapText="1"/>
    </xf>
    <xf numFmtId="0" fontId="20" fillId="9" borderId="15" xfId="0" applyFont="1" applyFill="1" applyBorder="1" applyAlignment="1">
      <alignment vertical="center"/>
    </xf>
    <xf numFmtId="0" fontId="20" fillId="9" borderId="11" xfId="0" applyFont="1" applyFill="1" applyBorder="1" applyAlignment="1">
      <alignment vertical="center"/>
    </xf>
    <xf numFmtId="0" fontId="0" fillId="20" borderId="47" xfId="0" applyFill="1" applyBorder="1" applyAlignment="1">
      <alignment vertical="center"/>
    </xf>
    <xf numFmtId="11" fontId="0" fillId="3" borderId="42" xfId="0" applyNumberFormat="1" applyFill="1" applyBorder="1"/>
    <xf numFmtId="0" fontId="0" fillId="0" borderId="42" xfId="0" applyBorder="1" applyAlignment="1">
      <alignment vertical="center" wrapText="1"/>
    </xf>
    <xf numFmtId="0" fontId="4" fillId="0" borderId="0" xfId="1"/>
    <xf numFmtId="11" fontId="7" fillId="4" borderId="51" xfId="0" applyNumberFormat="1" applyFont="1" applyFill="1" applyBorder="1" applyAlignment="1">
      <alignment horizontal="right" vertical="center"/>
    </xf>
    <xf numFmtId="2" fontId="0" fillId="3" borderId="42" xfId="0" applyNumberFormat="1" applyFill="1" applyBorder="1" applyAlignment="1">
      <alignment horizontal="right" vertical="center"/>
    </xf>
    <xf numFmtId="0" fontId="7" fillId="4" borderId="47" xfId="0" applyFont="1" applyFill="1" applyBorder="1" applyAlignment="1">
      <alignment vertical="center"/>
    </xf>
    <xf numFmtId="0" fontId="0" fillId="0" borderId="50" xfId="0" applyBorder="1" applyAlignment="1">
      <alignment horizontal="right"/>
    </xf>
    <xf numFmtId="0" fontId="0" fillId="3" borderId="50" xfId="0" applyFill="1" applyBorder="1" applyAlignment="1">
      <alignment horizontal="right"/>
    </xf>
    <xf numFmtId="0" fontId="0" fillId="0" borderId="47" xfId="0" applyBorder="1" applyAlignment="1">
      <alignment horizontal="left" vertical="center"/>
    </xf>
    <xf numFmtId="0" fontId="0" fillId="3" borderId="40" xfId="0" applyFill="1" applyBorder="1" applyAlignment="1">
      <alignment vertical="center"/>
    </xf>
    <xf numFmtId="0" fontId="0" fillId="0" borderId="44" xfId="0" applyBorder="1" applyAlignment="1">
      <alignment vertical="center" wrapText="1"/>
    </xf>
    <xf numFmtId="0" fontId="0" fillId="0" borderId="67" xfId="0" applyBorder="1" applyAlignment="1">
      <alignment horizontal="right" vertical="center"/>
    </xf>
    <xf numFmtId="0" fontId="0" fillId="0" borderId="0" xfId="0" applyAlignment="1">
      <alignment horizontal="right" vertical="center"/>
    </xf>
    <xf numFmtId="11" fontId="0" fillId="3" borderId="50" xfId="0" applyNumberFormat="1" applyFill="1" applyBorder="1" applyAlignment="1">
      <alignment horizontal="right" vertical="center"/>
    </xf>
    <xf numFmtId="11" fontId="0" fillId="4" borderId="51" xfId="0" applyNumberFormat="1" applyFill="1" applyBorder="1" applyAlignment="1">
      <alignment horizontal="right" vertical="center"/>
    </xf>
    <xf numFmtId="0" fontId="4" fillId="0" borderId="0" xfId="1" applyBorder="1" applyAlignment="1">
      <alignment horizontal="right" vertical="center"/>
    </xf>
    <xf numFmtId="0" fontId="7" fillId="3" borderId="22" xfId="0" applyFont="1" applyFill="1" applyBorder="1" applyAlignment="1">
      <alignment horizontal="left" vertical="center"/>
    </xf>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horizontal="left"/>
    </xf>
    <xf numFmtId="0" fontId="14" fillId="12" borderId="1" xfId="0" applyFont="1" applyFill="1" applyBorder="1" applyAlignment="1">
      <alignment horizontal="center" vertical="center"/>
    </xf>
    <xf numFmtId="0" fontId="14" fillId="12" borderId="2" xfId="0" applyFont="1" applyFill="1" applyBorder="1" applyAlignment="1">
      <alignment horizontal="center" vertical="center"/>
    </xf>
    <xf numFmtId="1" fontId="0" fillId="0" borderId="0" xfId="0" applyNumberFormat="1" applyAlignment="1">
      <alignment horizontal="right" vertical="center"/>
    </xf>
    <xf numFmtId="0" fontId="20" fillId="0" borderId="0" xfId="0" applyFont="1" applyAlignment="1">
      <alignment vertical="center"/>
    </xf>
    <xf numFmtId="0" fontId="1" fillId="0" borderId="0" xfId="0" applyFont="1" applyAlignment="1">
      <alignment horizontal="right" vertical="center"/>
    </xf>
    <xf numFmtId="0" fontId="4" fillId="0" borderId="0" xfId="1" applyFill="1" applyBorder="1" applyAlignment="1">
      <alignment horizontal="right" vertical="center"/>
    </xf>
    <xf numFmtId="11" fontId="0" fillId="0" borderId="0" xfId="0" applyNumberFormat="1" applyAlignment="1">
      <alignment horizontal="right" vertical="center"/>
    </xf>
    <xf numFmtId="2" fontId="0" fillId="0" borderId="0" xfId="0" applyNumberFormat="1" applyAlignment="1">
      <alignment horizontal="right" vertical="center"/>
    </xf>
    <xf numFmtId="0" fontId="9" fillId="0" borderId="0" xfId="0" applyFont="1" applyAlignment="1">
      <alignment vertical="center"/>
    </xf>
    <xf numFmtId="11" fontId="1" fillId="0" borderId="0" xfId="0" applyNumberFormat="1" applyFont="1" applyAlignment="1">
      <alignment horizontal="right" vertical="center"/>
    </xf>
    <xf numFmtId="0" fontId="9" fillId="0" borderId="0" xfId="0" applyFont="1" applyAlignment="1">
      <alignment horizontal="left" vertical="center"/>
    </xf>
    <xf numFmtId="11" fontId="9" fillId="0" borderId="0" xfId="0" applyNumberFormat="1" applyFont="1" applyAlignment="1">
      <alignment horizontal="right" vertical="center"/>
    </xf>
    <xf numFmtId="0" fontId="19" fillId="0" borderId="0" xfId="0" applyFont="1" applyAlignment="1">
      <alignment vertical="center"/>
    </xf>
    <xf numFmtId="11" fontId="7" fillId="0" borderId="0" xfId="0" applyNumberFormat="1" applyFont="1" applyAlignment="1">
      <alignment horizontal="right" vertical="center"/>
    </xf>
    <xf numFmtId="0" fontId="0" fillId="0" borderId="65" xfId="0" applyBorder="1"/>
    <xf numFmtId="167" fontId="0" fillId="0" borderId="56" xfId="0" applyNumberFormat="1" applyBorder="1"/>
    <xf numFmtId="0" fontId="7" fillId="3" borderId="16" xfId="0" applyFont="1" applyFill="1" applyBorder="1" applyAlignment="1">
      <alignment vertical="center"/>
    </xf>
    <xf numFmtId="0" fontId="7" fillId="3" borderId="0" xfId="0" applyFont="1" applyFill="1" applyAlignment="1">
      <alignment vertical="center"/>
    </xf>
    <xf numFmtId="2" fontId="0" fillId="0" borderId="55" xfId="0" applyNumberFormat="1" applyBorder="1"/>
    <xf numFmtId="2" fontId="0" fillId="0" borderId="56" xfId="0" applyNumberFormat="1" applyBorder="1"/>
    <xf numFmtId="2" fontId="0" fillId="0" borderId="38" xfId="0" applyNumberFormat="1" applyBorder="1"/>
    <xf numFmtId="0" fontId="0" fillId="0" borderId="22" xfId="0" applyBorder="1" applyAlignment="1">
      <alignment vertical="center"/>
    </xf>
    <xf numFmtId="0" fontId="0" fillId="12" borderId="19" xfId="0" applyFill="1" applyBorder="1"/>
    <xf numFmtId="168" fontId="0" fillId="12" borderId="22" xfId="0" applyNumberFormat="1" applyFill="1" applyBorder="1"/>
    <xf numFmtId="0" fontId="0" fillId="12" borderId="25" xfId="0" applyFill="1" applyBorder="1" applyAlignment="1">
      <alignment horizontal="right"/>
    </xf>
    <xf numFmtId="0" fontId="0" fillId="12" borderId="13" xfId="0" applyFill="1" applyBorder="1" applyAlignment="1">
      <alignment horizontal="right"/>
    </xf>
    <xf numFmtId="0" fontId="0" fillId="12" borderId="22" xfId="0" applyFill="1" applyBorder="1"/>
    <xf numFmtId="167" fontId="0" fillId="12" borderId="22" xfId="0" applyNumberFormat="1" applyFill="1" applyBorder="1"/>
    <xf numFmtId="1" fontId="0" fillId="12" borderId="22" xfId="0" applyNumberFormat="1" applyFill="1" applyBorder="1"/>
    <xf numFmtId="10" fontId="0" fillId="12" borderId="22" xfId="0" applyNumberFormat="1" applyFill="1" applyBorder="1" applyAlignment="1">
      <alignment horizontal="right"/>
    </xf>
    <xf numFmtId="10" fontId="0" fillId="12" borderId="22" xfId="0" applyNumberFormat="1" applyFill="1" applyBorder="1"/>
    <xf numFmtId="0" fontId="0" fillId="12" borderId="20" xfId="0" applyFill="1" applyBorder="1"/>
    <xf numFmtId="11" fontId="0" fillId="12" borderId="23" xfId="0" applyNumberFormat="1" applyFill="1" applyBorder="1"/>
    <xf numFmtId="0" fontId="0" fillId="12" borderId="14" xfId="0" applyFill="1" applyBorder="1" applyAlignment="1">
      <alignment horizontal="right"/>
    </xf>
    <xf numFmtId="0" fontId="0" fillId="12" borderId="37" xfId="0" applyFill="1" applyBorder="1"/>
    <xf numFmtId="0" fontId="0" fillId="12" borderId="43" xfId="0" applyFill="1" applyBorder="1"/>
    <xf numFmtId="0" fontId="0" fillId="3" borderId="28" xfId="0" applyFill="1" applyBorder="1" applyAlignment="1">
      <alignment horizontal="right" vertical="center"/>
    </xf>
    <xf numFmtId="2" fontId="0" fillId="0" borderId="56" xfId="0" applyNumberFormat="1" applyBorder="1" applyAlignment="1">
      <alignment horizontal="right" vertical="center"/>
    </xf>
    <xf numFmtId="0" fontId="7" fillId="0" borderId="56" xfId="0" applyFont="1" applyBorder="1" applyAlignment="1">
      <alignment vertical="center"/>
    </xf>
    <xf numFmtId="0" fontId="7" fillId="3" borderId="19" xfId="0" applyFont="1" applyFill="1" applyBorder="1" applyAlignment="1">
      <alignment vertical="center"/>
    </xf>
    <xf numFmtId="0" fontId="14" fillId="12" borderId="7" xfId="0" applyFont="1" applyFill="1" applyBorder="1" applyAlignment="1">
      <alignment horizontal="center" vertical="center"/>
    </xf>
    <xf numFmtId="166" fontId="6" fillId="22" borderId="12" xfId="2" applyNumberFormat="1" applyFill="1" applyBorder="1" applyAlignment="1">
      <alignment horizontal="center" vertical="center" wrapText="1"/>
    </xf>
    <xf numFmtId="166" fontId="6" fillId="22" borderId="32" xfId="2" applyNumberFormat="1" applyFill="1" applyBorder="1" applyAlignment="1">
      <alignment horizontal="center" vertical="center" wrapText="1"/>
    </xf>
    <xf numFmtId="166" fontId="6" fillId="22" borderId="13" xfId="2" applyNumberFormat="1" applyFill="1" applyBorder="1" applyAlignment="1">
      <alignment horizontal="center" vertical="center" wrapText="1"/>
    </xf>
    <xf numFmtId="166" fontId="6" fillId="22" borderId="25" xfId="2" applyNumberFormat="1" applyFill="1" applyBorder="1" applyAlignment="1">
      <alignment horizontal="center" vertical="center" wrapText="1"/>
    </xf>
    <xf numFmtId="166" fontId="6" fillId="22" borderId="14" xfId="2" applyNumberFormat="1" applyFill="1" applyBorder="1" applyAlignment="1">
      <alignment horizontal="center" vertical="center" wrapText="1"/>
    </xf>
    <xf numFmtId="166" fontId="6" fillId="22" borderId="10" xfId="2" applyNumberFormat="1" applyFill="1" applyBorder="1" applyAlignment="1">
      <alignment horizontal="center" vertical="center" wrapText="1"/>
    </xf>
    <xf numFmtId="0" fontId="11" fillId="22" borderId="1" xfId="0" applyFont="1" applyFill="1" applyBorder="1" applyAlignment="1">
      <alignment horizontal="center" vertical="center" wrapText="1"/>
    </xf>
    <xf numFmtId="166" fontId="6" fillId="22" borderId="11" xfId="2" applyNumberFormat="1" applyFill="1" applyBorder="1" applyAlignment="1">
      <alignment horizontal="center" vertical="center" wrapText="1"/>
    </xf>
    <xf numFmtId="0" fontId="1" fillId="8" borderId="1" xfId="0" applyFont="1" applyFill="1" applyBorder="1" applyAlignment="1">
      <alignment vertical="center"/>
    </xf>
    <xf numFmtId="0" fontId="1" fillId="8" borderId="1" xfId="0" applyFont="1" applyFill="1" applyBorder="1" applyAlignment="1">
      <alignment horizontal="right" vertical="center"/>
    </xf>
    <xf numFmtId="0" fontId="1" fillId="8" borderId="10" xfId="0" applyFont="1" applyFill="1" applyBorder="1" applyAlignment="1">
      <alignment horizontal="right" vertical="center"/>
    </xf>
    <xf numFmtId="0" fontId="11" fillId="23" borderId="5" xfId="0" applyFont="1" applyFill="1" applyBorder="1"/>
    <xf numFmtId="0" fontId="11" fillId="23" borderId="35" xfId="0" applyFont="1" applyFill="1" applyBorder="1"/>
    <xf numFmtId="0" fontId="11" fillId="23" borderId="6" xfId="0" applyFont="1" applyFill="1" applyBorder="1"/>
    <xf numFmtId="0" fontId="11" fillId="23" borderId="16" xfId="0" applyFont="1" applyFill="1" applyBorder="1"/>
    <xf numFmtId="0" fontId="11" fillId="23" borderId="0" xfId="0" applyFont="1" applyFill="1"/>
    <xf numFmtId="0" fontId="11" fillId="23" borderId="30" xfId="0" applyFont="1" applyFill="1" applyBorder="1"/>
    <xf numFmtId="0" fontId="0" fillId="0" borderId="21" xfId="0" applyBorder="1" applyAlignment="1">
      <alignment horizontal="left"/>
    </xf>
    <xf numFmtId="0" fontId="0" fillId="0" borderId="22" xfId="0" applyBorder="1" applyAlignment="1">
      <alignment horizontal="left"/>
    </xf>
    <xf numFmtId="0" fontId="0" fillId="0" borderId="23" xfId="0" applyBorder="1" applyAlignment="1">
      <alignment horizontal="left"/>
    </xf>
    <xf numFmtId="0" fontId="0" fillId="0" borderId="26" xfId="0" applyBorder="1" applyAlignment="1">
      <alignment horizontal="left"/>
    </xf>
    <xf numFmtId="0" fontId="0" fillId="0" borderId="16" xfId="0" applyBorder="1" applyAlignment="1">
      <alignment horizontal="left"/>
    </xf>
    <xf numFmtId="2" fontId="0" fillId="0" borderId="67" xfId="0" applyNumberFormat="1" applyBorder="1"/>
    <xf numFmtId="0" fontId="0" fillId="0" borderId="41" xfId="0" applyBorder="1"/>
    <xf numFmtId="0" fontId="11" fillId="0" borderId="42" xfId="0" applyFont="1" applyBorder="1" applyAlignment="1">
      <alignment horizontal="center" vertical="center"/>
    </xf>
    <xf numFmtId="0" fontId="0" fillId="0" borderId="49" xfId="0" applyBorder="1" applyAlignment="1">
      <alignment horizontal="right"/>
    </xf>
    <xf numFmtId="2" fontId="0" fillId="0" borderId="38" xfId="0" applyNumberFormat="1" applyBorder="1" applyAlignment="1">
      <alignment horizontal="right" vertical="center"/>
    </xf>
    <xf numFmtId="0" fontId="7" fillId="3" borderId="22" xfId="0" applyFont="1" applyFill="1" applyBorder="1" applyAlignment="1">
      <alignment vertical="center"/>
    </xf>
    <xf numFmtId="11" fontId="0" fillId="2" borderId="38" xfId="0" applyNumberFormat="1" applyFill="1" applyBorder="1" applyAlignment="1">
      <alignment horizontal="left"/>
    </xf>
    <xf numFmtId="0" fontId="0" fillId="0" borderId="51" xfId="0" applyBorder="1" applyAlignment="1">
      <alignment horizontal="right"/>
    </xf>
    <xf numFmtId="0" fontId="0" fillId="0" borderId="64" xfId="0" applyBorder="1" applyAlignment="1">
      <alignment horizontal="right"/>
    </xf>
    <xf numFmtId="0" fontId="0" fillId="7" borderId="42" xfId="0" applyFill="1" applyBorder="1" applyAlignment="1">
      <alignment horizontal="left"/>
    </xf>
    <xf numFmtId="0" fontId="0" fillId="2" borderId="42" xfId="0" applyFill="1" applyBorder="1"/>
    <xf numFmtId="0" fontId="0" fillId="0" borderId="61" xfId="0" applyBorder="1"/>
    <xf numFmtId="0" fontId="0" fillId="0" borderId="44" xfId="0" applyBorder="1"/>
    <xf numFmtId="0" fontId="0" fillId="0" borderId="42" xfId="0" applyBorder="1" applyAlignment="1">
      <alignment horizontal="right"/>
    </xf>
    <xf numFmtId="0" fontId="0" fillId="2" borderId="24" xfId="0" applyFill="1" applyBorder="1"/>
    <xf numFmtId="0" fontId="0" fillId="2" borderId="69" xfId="0" applyFill="1" applyBorder="1"/>
    <xf numFmtId="168" fontId="0" fillId="0" borderId="55" xfId="0" applyNumberFormat="1" applyBorder="1"/>
    <xf numFmtId="168" fontId="0" fillId="0" borderId="41" xfId="0" applyNumberFormat="1" applyBorder="1"/>
    <xf numFmtId="168" fontId="0" fillId="0" borderId="0" xfId="0" applyNumberFormat="1"/>
    <xf numFmtId="168" fontId="0" fillId="0" borderId="44" xfId="0" applyNumberFormat="1" applyBorder="1"/>
    <xf numFmtId="168" fontId="0" fillId="2" borderId="69" xfId="0" applyNumberFormat="1" applyFill="1" applyBorder="1"/>
    <xf numFmtId="168" fontId="0" fillId="2" borderId="56" xfId="0" applyNumberFormat="1" applyFill="1" applyBorder="1"/>
    <xf numFmtId="0" fontId="0" fillId="2" borderId="58" xfId="0" applyFill="1" applyBorder="1"/>
    <xf numFmtId="0" fontId="0" fillId="2" borderId="38" xfId="0" applyFill="1" applyBorder="1"/>
    <xf numFmtId="168" fontId="0" fillId="2" borderId="38" xfId="0" applyNumberFormat="1" applyFill="1" applyBorder="1"/>
    <xf numFmtId="168" fontId="0" fillId="2" borderId="42" xfId="0" applyNumberFormat="1" applyFill="1" applyBorder="1"/>
    <xf numFmtId="0" fontId="13" fillId="0" borderId="0" xfId="0" applyFont="1"/>
    <xf numFmtId="0" fontId="0" fillId="3" borderId="0" xfId="0" applyFill="1"/>
    <xf numFmtId="0" fontId="13" fillId="0" borderId="48" xfId="0" applyFont="1" applyBorder="1"/>
    <xf numFmtId="0" fontId="13" fillId="0" borderId="56" xfId="0" applyFont="1" applyBorder="1"/>
    <xf numFmtId="167" fontId="0" fillId="0" borderId="55" xfId="0" applyNumberFormat="1" applyBorder="1"/>
    <xf numFmtId="0" fontId="0" fillId="2" borderId="64" xfId="0" applyFill="1" applyBorder="1" applyAlignment="1">
      <alignment horizontal="right"/>
    </xf>
    <xf numFmtId="168" fontId="0" fillId="0" borderId="67" xfId="0" applyNumberFormat="1" applyBorder="1"/>
    <xf numFmtId="0" fontId="0" fillId="2" borderId="68" xfId="0" applyFill="1" applyBorder="1" applyAlignment="1">
      <alignment horizontal="right"/>
    </xf>
    <xf numFmtId="0" fontId="0" fillId="2" borderId="17" xfId="0" applyFill="1" applyBorder="1" applyAlignment="1">
      <alignment horizontal="right"/>
    </xf>
    <xf numFmtId="0" fontId="0" fillId="2" borderId="48" xfId="0" applyFill="1" applyBorder="1"/>
    <xf numFmtId="0" fontId="0" fillId="2" borderId="56" xfId="0" applyFill="1" applyBorder="1" applyAlignment="1">
      <alignment vertical="center"/>
    </xf>
    <xf numFmtId="0" fontId="0" fillId="2" borderId="56" xfId="0" applyFill="1" applyBorder="1"/>
    <xf numFmtId="168" fontId="0" fillId="0" borderId="38" xfId="0" applyNumberFormat="1" applyBorder="1"/>
    <xf numFmtId="168" fontId="0" fillId="0" borderId="41" xfId="0" applyNumberFormat="1" applyBorder="1" applyAlignment="1">
      <alignment horizontal="right" vertical="center"/>
    </xf>
    <xf numFmtId="0" fontId="0" fillId="0" borderId="71" xfId="0" applyBorder="1" applyAlignment="1">
      <alignment horizontal="right"/>
    </xf>
    <xf numFmtId="168" fontId="0" fillId="2" borderId="42" xfId="0" applyNumberFormat="1" applyFill="1" applyBorder="1" applyAlignment="1">
      <alignment horizontal="right"/>
    </xf>
    <xf numFmtId="0" fontId="0" fillId="0" borderId="41" xfId="0" applyBorder="1" applyAlignment="1">
      <alignment horizontal="center" vertical="center"/>
    </xf>
    <xf numFmtId="168" fontId="0" fillId="2" borderId="56" xfId="0" applyNumberFormat="1" applyFill="1" applyBorder="1" applyAlignment="1">
      <alignment horizontal="right"/>
    </xf>
    <xf numFmtId="0" fontId="0" fillId="0" borderId="38" xfId="0" applyBorder="1" applyAlignment="1">
      <alignment horizontal="center" vertical="center"/>
    </xf>
    <xf numFmtId="168" fontId="0" fillId="0" borderId="38" xfId="0" applyNumberFormat="1" applyBorder="1" applyAlignment="1">
      <alignment horizontal="right" vertical="center"/>
    </xf>
    <xf numFmtId="0" fontId="0" fillId="0" borderId="48" xfId="0" applyBorder="1" applyAlignment="1">
      <alignment horizontal="left" vertical="center"/>
    </xf>
    <xf numFmtId="0" fontId="0" fillId="0" borderId="56" xfId="0" applyBorder="1" applyAlignment="1">
      <alignment horizontal="center" vertical="center"/>
    </xf>
    <xf numFmtId="0" fontId="0" fillId="0" borderId="46" xfId="0" applyBorder="1" applyAlignment="1">
      <alignment horizontal="left" vertical="center"/>
    </xf>
    <xf numFmtId="168" fontId="0" fillId="0" borderId="55" xfId="0" applyNumberFormat="1" applyBorder="1" applyAlignment="1">
      <alignment horizontal="right" vertical="center"/>
    </xf>
    <xf numFmtId="0" fontId="0" fillId="0" borderId="58" xfId="0" applyBorder="1" applyAlignment="1">
      <alignment horizontal="left" vertical="center"/>
    </xf>
    <xf numFmtId="168" fontId="0" fillId="2" borderId="56" xfId="0" applyNumberFormat="1" applyFill="1" applyBorder="1" applyAlignment="1">
      <alignment horizontal="right" vertical="center"/>
    </xf>
    <xf numFmtId="0" fontId="0" fillId="2" borderId="51" xfId="0" applyFill="1" applyBorder="1" applyAlignment="1">
      <alignment horizontal="right" vertical="center"/>
    </xf>
    <xf numFmtId="0" fontId="0" fillId="3" borderId="59" xfId="0" applyFill="1" applyBorder="1" applyAlignment="1">
      <alignment horizontal="right"/>
    </xf>
    <xf numFmtId="1" fontId="0" fillId="0" borderId="41" xfId="0" applyNumberFormat="1" applyBorder="1" applyAlignment="1">
      <alignment horizontal="right" vertical="center"/>
    </xf>
    <xf numFmtId="11" fontId="7" fillId="2" borderId="42" xfId="0" applyNumberFormat="1" applyFont="1" applyFill="1" applyBorder="1" applyAlignment="1">
      <alignment horizontal="left" vertical="center"/>
    </xf>
    <xf numFmtId="11" fontId="0" fillId="4" borderId="56" xfId="0" applyNumberFormat="1" applyFill="1" applyBorder="1"/>
    <xf numFmtId="1" fontId="0" fillId="0" borderId="38" xfId="0" applyNumberFormat="1" applyBorder="1" applyAlignment="1">
      <alignment horizontal="right" vertical="center"/>
    </xf>
    <xf numFmtId="11" fontId="7" fillId="0" borderId="38" xfId="0" applyNumberFormat="1" applyFont="1" applyBorder="1" applyAlignment="1">
      <alignment horizontal="right" vertical="center"/>
    </xf>
    <xf numFmtId="0" fontId="0" fillId="3" borderId="58" xfId="0" applyFill="1" applyBorder="1" applyAlignment="1">
      <alignment vertical="center"/>
    </xf>
    <xf numFmtId="0" fontId="0" fillId="3" borderId="38" xfId="0" applyFill="1" applyBorder="1" applyAlignment="1">
      <alignment vertical="center"/>
    </xf>
    <xf numFmtId="0" fontId="0" fillId="3" borderId="38" xfId="0" applyFill="1" applyBorder="1" applyAlignment="1">
      <alignment horizontal="left" vertical="center"/>
    </xf>
    <xf numFmtId="11" fontId="0" fillId="3" borderId="38" xfId="0" applyNumberFormat="1" applyFill="1" applyBorder="1" applyAlignment="1">
      <alignment horizontal="right" vertical="center"/>
    </xf>
    <xf numFmtId="11" fontId="0" fillId="3" borderId="59" xfId="0" applyNumberFormat="1" applyFill="1" applyBorder="1" applyAlignment="1">
      <alignment horizontal="right" vertical="center"/>
    </xf>
    <xf numFmtId="1" fontId="7" fillId="0" borderId="56" xfId="0" applyNumberFormat="1" applyFont="1" applyBorder="1" applyAlignment="1">
      <alignment horizontal="right" vertical="center"/>
    </xf>
    <xf numFmtId="0" fontId="0" fillId="3" borderId="28" xfId="0" applyFill="1" applyBorder="1" applyAlignment="1">
      <alignment horizontal="right"/>
    </xf>
    <xf numFmtId="0" fontId="7" fillId="0" borderId="28" xfId="0" applyFont="1" applyBorder="1" applyAlignment="1">
      <alignment horizontal="right" vertical="center"/>
    </xf>
    <xf numFmtId="169" fontId="7" fillId="0" borderId="42" xfId="0" applyNumberFormat="1" applyFont="1" applyBorder="1" applyAlignment="1">
      <alignment horizontal="right" vertical="center"/>
    </xf>
    <xf numFmtId="0" fontId="2" fillId="0" borderId="42" xfId="0" applyFont="1" applyBorder="1" applyAlignment="1">
      <alignment vertical="center"/>
    </xf>
    <xf numFmtId="0" fontId="7" fillId="0" borderId="19" xfId="0" applyFont="1" applyBorder="1" applyAlignment="1">
      <alignment vertical="center"/>
    </xf>
    <xf numFmtId="0" fontId="0" fillId="0" borderId="47" xfId="0" applyBorder="1" applyAlignment="1">
      <alignment vertical="center" wrapText="1"/>
    </xf>
    <xf numFmtId="0" fontId="7" fillId="3" borderId="59" xfId="0" applyFont="1" applyFill="1" applyBorder="1" applyAlignment="1">
      <alignment horizontal="right" vertical="center"/>
    </xf>
    <xf numFmtId="9" fontId="7" fillId="0" borderId="42" xfId="0" applyNumberFormat="1" applyFont="1" applyBorder="1" applyAlignment="1">
      <alignment vertical="center"/>
    </xf>
    <xf numFmtId="11" fontId="7" fillId="3" borderId="50" xfId="0" applyNumberFormat="1" applyFont="1" applyFill="1" applyBorder="1" applyAlignment="1">
      <alignment horizontal="right" vertical="center"/>
    </xf>
    <xf numFmtId="9" fontId="7" fillId="0" borderId="38" xfId="0" applyNumberFormat="1" applyFont="1" applyBorder="1" applyAlignment="1">
      <alignment vertical="center"/>
    </xf>
    <xf numFmtId="0" fontId="45" fillId="0" borderId="49" xfId="0" applyFont="1" applyBorder="1" applyAlignment="1">
      <alignment horizontal="right" vertical="center"/>
    </xf>
    <xf numFmtId="11" fontId="7" fillId="0" borderId="50" xfId="0" applyNumberFormat="1" applyFont="1" applyBorder="1" applyAlignment="1">
      <alignment horizontal="right" vertical="center"/>
    </xf>
    <xf numFmtId="0" fontId="7" fillId="0" borderId="49" xfId="0" applyFont="1" applyBorder="1" applyAlignment="1">
      <alignment horizontal="right" vertical="center"/>
    </xf>
    <xf numFmtId="0" fontId="7" fillId="0" borderId="68" xfId="0" applyFont="1" applyBorder="1" applyAlignment="1">
      <alignment horizontal="right" vertical="center"/>
    </xf>
    <xf numFmtId="0" fontId="7" fillId="0" borderId="59" xfId="0" applyFont="1" applyBorder="1" applyAlignment="1">
      <alignment horizontal="right" vertical="center"/>
    </xf>
    <xf numFmtId="10" fontId="0" fillId="0" borderId="42" xfId="0" applyNumberFormat="1" applyBorder="1" applyAlignment="1">
      <alignment horizontal="right" vertical="center"/>
    </xf>
    <xf numFmtId="0" fontId="1" fillId="0" borderId="33" xfId="0" applyFont="1" applyBorder="1" applyAlignment="1">
      <alignment horizontal="left" vertical="center"/>
    </xf>
    <xf numFmtId="0" fontId="1" fillId="0" borderId="54" xfId="0" applyFont="1" applyBorder="1" applyAlignment="1">
      <alignment vertical="center"/>
    </xf>
    <xf numFmtId="0" fontId="1" fillId="0" borderId="54" xfId="0" applyFont="1" applyBorder="1" applyAlignment="1">
      <alignment horizontal="right" vertical="center"/>
    </xf>
    <xf numFmtId="0" fontId="1" fillId="0" borderId="45" xfId="0" applyFont="1" applyBorder="1" applyAlignment="1">
      <alignment horizontal="right" vertical="center"/>
    </xf>
    <xf numFmtId="11" fontId="2" fillId="0" borderId="42" xfId="0" applyNumberFormat="1" applyFont="1" applyBorder="1" applyAlignment="1">
      <alignment horizontal="right" vertical="center"/>
    </xf>
    <xf numFmtId="0" fontId="0" fillId="3" borderId="59" xfId="0" applyFill="1" applyBorder="1" applyAlignment="1">
      <alignment horizontal="right" vertical="center"/>
    </xf>
    <xf numFmtId="9" fontId="7" fillId="0" borderId="19" xfId="0" applyNumberFormat="1" applyFont="1" applyBorder="1" applyAlignment="1">
      <alignment vertical="center"/>
    </xf>
    <xf numFmtId="0" fontId="7" fillId="0" borderId="64" xfId="0" applyFont="1" applyBorder="1" applyAlignment="1">
      <alignment horizontal="right" vertical="center"/>
    </xf>
    <xf numFmtId="0" fontId="7" fillId="3" borderId="50" xfId="0" applyFont="1" applyFill="1" applyBorder="1" applyAlignment="1">
      <alignment horizontal="right" vertical="center"/>
    </xf>
    <xf numFmtId="0" fontId="0" fillId="4" borderId="51" xfId="0" applyFill="1" applyBorder="1" applyAlignment="1">
      <alignment horizontal="right"/>
    </xf>
    <xf numFmtId="0" fontId="0" fillId="3" borderId="39" xfId="0" applyFill="1" applyBorder="1"/>
    <xf numFmtId="0" fontId="1" fillId="14" borderId="10" xfId="0" applyFont="1" applyFill="1" applyBorder="1" applyAlignment="1">
      <alignment horizontal="center" vertical="center"/>
    </xf>
    <xf numFmtId="0" fontId="1" fillId="14" borderId="10" xfId="0" applyFont="1" applyFill="1" applyBorder="1" applyAlignment="1">
      <alignment horizontal="center" vertical="center" wrapText="1"/>
    </xf>
    <xf numFmtId="0" fontId="1" fillId="0" borderId="16" xfId="0" applyFont="1" applyBorder="1" applyAlignment="1">
      <alignment horizontal="center" vertical="center"/>
    </xf>
    <xf numFmtId="0" fontId="1" fillId="0" borderId="30" xfId="0" applyFont="1" applyBorder="1" applyAlignment="1">
      <alignment horizontal="center" vertical="center"/>
    </xf>
    <xf numFmtId="0" fontId="1" fillId="14" borderId="12" xfId="0" applyFont="1" applyFill="1" applyBorder="1" applyAlignment="1">
      <alignment horizontal="center"/>
    </xf>
    <xf numFmtId="0" fontId="1" fillId="14" borderId="13" xfId="0" applyFont="1" applyFill="1" applyBorder="1" applyAlignment="1">
      <alignment horizontal="center"/>
    </xf>
    <xf numFmtId="0" fontId="1" fillId="14" borderId="14" xfId="0" applyFont="1" applyFill="1" applyBorder="1" applyAlignment="1">
      <alignment horizontal="center"/>
    </xf>
    <xf numFmtId="0" fontId="1" fillId="14" borderId="25" xfId="0" applyFont="1" applyFill="1" applyBorder="1" applyAlignment="1">
      <alignment horizontal="center"/>
    </xf>
    <xf numFmtId="0" fontId="1" fillId="14" borderId="15" xfId="0" applyFont="1" applyFill="1" applyBorder="1" applyAlignment="1">
      <alignment horizontal="center"/>
    </xf>
    <xf numFmtId="0" fontId="0" fillId="0" borderId="16" xfId="0" applyBorder="1" applyAlignment="1">
      <alignment vertical="center" wrapText="1"/>
    </xf>
    <xf numFmtId="0" fontId="0" fillId="0" borderId="30" xfId="0" applyBorder="1" applyAlignment="1">
      <alignment vertical="center" wrapText="1"/>
    </xf>
    <xf numFmtId="0" fontId="1" fillId="0" borderId="16" xfId="0" applyFont="1" applyBorder="1" applyAlignment="1">
      <alignment vertical="center"/>
    </xf>
    <xf numFmtId="0" fontId="1" fillId="0" borderId="30" xfId="0" applyFont="1" applyBorder="1" applyAlignment="1">
      <alignment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1" xfId="0" applyFont="1" applyBorder="1"/>
    <xf numFmtId="0" fontId="1" fillId="2" borderId="1" xfId="0" applyFont="1" applyFill="1" applyBorder="1" applyAlignment="1">
      <alignment horizontal="center"/>
    </xf>
    <xf numFmtId="11" fontId="1" fillId="2" borderId="11" xfId="0" applyNumberFormat="1" applyFont="1" applyFill="1" applyBorder="1" applyAlignment="1">
      <alignment horizontal="center"/>
    </xf>
    <xf numFmtId="0" fontId="1" fillId="14" borderId="21" xfId="0" applyFont="1" applyFill="1" applyBorder="1" applyAlignment="1">
      <alignment horizontal="center"/>
    </xf>
    <xf numFmtId="0" fontId="1" fillId="14" borderId="26" xfId="0" applyFont="1" applyFill="1" applyBorder="1" applyAlignment="1">
      <alignment horizontal="center"/>
    </xf>
    <xf numFmtId="0" fontId="1" fillId="14" borderId="23" xfId="0" applyFont="1" applyFill="1" applyBorder="1" applyAlignment="1">
      <alignment horizontal="center"/>
    </xf>
    <xf numFmtId="11" fontId="0" fillId="2" borderId="39" xfId="0" applyNumberFormat="1" applyFill="1" applyBorder="1" applyAlignment="1">
      <alignment horizontal="left" vertical="center"/>
    </xf>
    <xf numFmtId="11" fontId="0" fillId="4" borderId="50" xfId="0" applyNumberFormat="1" applyFill="1" applyBorder="1" applyAlignment="1">
      <alignment horizontal="right" vertical="center"/>
    </xf>
    <xf numFmtId="0" fontId="0" fillId="14" borderId="0" xfId="0" applyFill="1"/>
    <xf numFmtId="0" fontId="0" fillId="14" borderId="49" xfId="0" applyFill="1" applyBorder="1"/>
    <xf numFmtId="0" fontId="0" fillId="14" borderId="50" xfId="0" applyFill="1" applyBorder="1"/>
    <xf numFmtId="0" fontId="0" fillId="12" borderId="50" xfId="0" applyFill="1" applyBorder="1"/>
    <xf numFmtId="0" fontId="0" fillId="14" borderId="25" xfId="0" applyFill="1" applyBorder="1" applyAlignment="1">
      <alignment horizontal="right"/>
    </xf>
    <xf numFmtId="0" fontId="0" fillId="0" borderId="38" xfId="0" quotePrefix="1" applyBorder="1" applyAlignment="1">
      <alignment vertical="center"/>
    </xf>
    <xf numFmtId="0" fontId="1" fillId="14" borderId="2" xfId="0" applyFont="1" applyFill="1" applyBorder="1" applyAlignment="1">
      <alignment horizontal="center" vertical="center"/>
    </xf>
    <xf numFmtId="0" fontId="0" fillId="0" borderId="52" xfId="0" applyBorder="1" applyAlignment="1">
      <alignment horizontal="left"/>
    </xf>
    <xf numFmtId="0" fontId="0" fillId="5" borderId="47" xfId="0" applyFill="1" applyBorder="1" applyAlignment="1">
      <alignment vertical="center"/>
    </xf>
    <xf numFmtId="0" fontId="0" fillId="5" borderId="42" xfId="0" applyFill="1" applyBorder="1"/>
    <xf numFmtId="0" fontId="0" fillId="5" borderId="42" xfId="0" applyFill="1" applyBorder="1" applyAlignment="1">
      <alignment horizontal="left"/>
    </xf>
    <xf numFmtId="0" fontId="7" fillId="5" borderId="42" xfId="0" applyFont="1" applyFill="1" applyBorder="1" applyAlignment="1">
      <alignment vertical="center"/>
    </xf>
    <xf numFmtId="0" fontId="0" fillId="5" borderId="39" xfId="0" applyFill="1" applyBorder="1" applyAlignment="1">
      <alignment horizontal="left"/>
    </xf>
    <xf numFmtId="0" fontId="0" fillId="5" borderId="50" xfId="0" applyFill="1" applyBorder="1" applyAlignment="1">
      <alignment horizontal="left"/>
    </xf>
    <xf numFmtId="0" fontId="7" fillId="4" borderId="42" xfId="0" applyFont="1" applyFill="1" applyBorder="1" applyAlignment="1">
      <alignment horizontal="left" vertical="center"/>
    </xf>
    <xf numFmtId="0" fontId="0" fillId="4" borderId="42" xfId="0" applyFill="1" applyBorder="1" applyAlignment="1">
      <alignment horizontal="left"/>
    </xf>
    <xf numFmtId="0" fontId="0" fillId="4" borderId="39" xfId="0" applyFill="1" applyBorder="1" applyAlignment="1">
      <alignment horizontal="left"/>
    </xf>
    <xf numFmtId="0" fontId="0" fillId="4" borderId="50" xfId="0" applyFill="1" applyBorder="1" applyAlignment="1">
      <alignment horizontal="left"/>
    </xf>
    <xf numFmtId="0" fontId="0" fillId="5" borderId="42" xfId="0" applyFill="1" applyBorder="1" applyAlignment="1">
      <alignment horizontal="right" vertical="center"/>
    </xf>
    <xf numFmtId="0" fontId="0" fillId="5" borderId="50" xfId="0" applyFill="1" applyBorder="1" applyAlignment="1">
      <alignment horizontal="right" vertical="center"/>
    </xf>
    <xf numFmtId="0" fontId="7" fillId="5" borderId="47" xfId="0" applyFont="1" applyFill="1" applyBorder="1" applyAlignment="1">
      <alignment vertical="center"/>
    </xf>
    <xf numFmtId="0" fontId="0" fillId="5" borderId="38" xfId="0" applyFill="1" applyBorder="1" applyAlignment="1">
      <alignment vertical="center"/>
    </xf>
    <xf numFmtId="0" fontId="0" fillId="5" borderId="59" xfId="0" applyFill="1" applyBorder="1" applyAlignment="1">
      <alignment horizontal="right" vertical="center"/>
    </xf>
    <xf numFmtId="11" fontId="0" fillId="5" borderId="42" xfId="0" applyNumberFormat="1" applyFill="1" applyBorder="1" applyAlignment="1">
      <alignment horizontal="right" vertical="center"/>
    </xf>
    <xf numFmtId="0" fontId="0" fillId="5" borderId="48" xfId="0" applyFill="1" applyBorder="1" applyAlignment="1">
      <alignment vertical="center"/>
    </xf>
    <xf numFmtId="0" fontId="0" fillId="5" borderId="56" xfId="0" applyFill="1" applyBorder="1" applyAlignment="1">
      <alignment vertical="center"/>
    </xf>
    <xf numFmtId="11" fontId="0" fillId="5" borderId="56" xfId="0" applyNumberFormat="1" applyFill="1" applyBorder="1" applyAlignment="1">
      <alignment horizontal="right" vertical="center"/>
    </xf>
    <xf numFmtId="0" fontId="0" fillId="5" borderId="51" xfId="0" applyFill="1" applyBorder="1" applyAlignment="1">
      <alignment horizontal="right" vertical="center"/>
    </xf>
    <xf numFmtId="11" fontId="0" fillId="4" borderId="38" xfId="0" applyNumberFormat="1" applyFill="1" applyBorder="1" applyAlignment="1">
      <alignment vertical="center"/>
    </xf>
    <xf numFmtId="0" fontId="7" fillId="4" borderId="0" xfId="0" applyFont="1" applyFill="1" applyAlignment="1">
      <alignment vertical="center"/>
    </xf>
    <xf numFmtId="0" fontId="7" fillId="4" borderId="19" xfId="0" applyFont="1" applyFill="1" applyBorder="1" applyAlignment="1">
      <alignment vertical="center"/>
    </xf>
    <xf numFmtId="11" fontId="0" fillId="4" borderId="56" xfId="0" applyNumberFormat="1" applyFill="1" applyBorder="1" applyAlignment="1">
      <alignment vertical="center"/>
    </xf>
    <xf numFmtId="0" fontId="0" fillId="4" borderId="65" xfId="0" applyFill="1" applyBorder="1" applyAlignment="1">
      <alignment vertical="center"/>
    </xf>
    <xf numFmtId="0" fontId="0" fillId="3" borderId="47" xfId="0" applyFill="1" applyBorder="1"/>
    <xf numFmtId="0" fontId="0" fillId="0" borderId="64" xfId="0" applyBorder="1" applyAlignment="1">
      <alignment horizontal="center" vertical="center"/>
    </xf>
    <xf numFmtId="0" fontId="0" fillId="14" borderId="42" xfId="0" applyFill="1" applyBorder="1"/>
    <xf numFmtId="0" fontId="0" fillId="14" borderId="42" xfId="0" applyFill="1" applyBorder="1" applyAlignment="1">
      <alignment vertical="center"/>
    </xf>
    <xf numFmtId="1" fontId="0" fillId="0" borderId="42" xfId="0" applyNumberFormat="1" applyBorder="1"/>
    <xf numFmtId="0" fontId="0" fillId="4" borderId="61" xfId="0" applyFill="1" applyBorder="1" applyAlignment="1">
      <alignment vertical="center"/>
    </xf>
    <xf numFmtId="0" fontId="0" fillId="4" borderId="44" xfId="0" applyFill="1" applyBorder="1" applyAlignment="1">
      <alignment vertical="center"/>
    </xf>
    <xf numFmtId="0" fontId="0" fillId="4" borderId="69" xfId="0" applyFill="1" applyBorder="1" applyAlignment="1">
      <alignment vertical="center"/>
    </xf>
    <xf numFmtId="11" fontId="0" fillId="3" borderId="44" xfId="0" applyNumberFormat="1" applyFill="1" applyBorder="1" applyAlignment="1">
      <alignment horizontal="right" vertical="center"/>
    </xf>
    <xf numFmtId="0" fontId="0" fillId="3" borderId="64" xfId="0" applyFill="1" applyBorder="1" applyAlignment="1">
      <alignment horizontal="right" vertical="center"/>
    </xf>
    <xf numFmtId="0" fontId="7" fillId="3" borderId="55" xfId="0" applyFont="1" applyFill="1" applyBorder="1" applyAlignment="1">
      <alignment horizontal="left" vertical="center"/>
    </xf>
    <xf numFmtId="11" fontId="0" fillId="0" borderId="49" xfId="0" applyNumberFormat="1" applyBorder="1" applyAlignment="1">
      <alignment horizontal="right"/>
    </xf>
    <xf numFmtId="2" fontId="7" fillId="0" borderId="49" xfId="0" applyNumberFormat="1" applyFont="1" applyBorder="1" applyAlignment="1">
      <alignment horizontal="right"/>
    </xf>
    <xf numFmtId="168" fontId="0" fillId="0" borderId="50" xfId="0" applyNumberFormat="1" applyBorder="1"/>
    <xf numFmtId="0" fontId="1" fillId="2" borderId="60" xfId="0" applyFont="1" applyFill="1" applyBorder="1" applyAlignment="1">
      <alignment vertical="center"/>
    </xf>
    <xf numFmtId="0" fontId="7" fillId="3" borderId="55" xfId="0" applyFont="1" applyFill="1" applyBorder="1" applyAlignment="1">
      <alignment vertical="center"/>
    </xf>
    <xf numFmtId="11" fontId="0" fillId="0" borderId="49" xfId="0" applyNumberFormat="1" applyBorder="1"/>
    <xf numFmtId="0" fontId="1" fillId="2" borderId="58" xfId="0" applyFont="1" applyFill="1" applyBorder="1" applyAlignment="1">
      <alignment vertical="center"/>
    </xf>
    <xf numFmtId="11" fontId="0" fillId="0" borderId="50" xfId="0" applyNumberFormat="1" applyBorder="1"/>
    <xf numFmtId="0" fontId="1" fillId="2" borderId="47" xfId="0" applyFont="1" applyFill="1" applyBorder="1" applyAlignment="1">
      <alignment vertical="center"/>
    </xf>
    <xf numFmtId="11" fontId="0" fillId="0" borderId="51" xfId="0" applyNumberFormat="1" applyBorder="1"/>
    <xf numFmtId="0" fontId="0" fillId="4" borderId="58" xfId="0" applyFill="1" applyBorder="1"/>
    <xf numFmtId="0" fontId="0" fillId="4" borderId="74" xfId="0" applyFill="1" applyBorder="1"/>
    <xf numFmtId="0" fontId="0" fillId="4" borderId="38" xfId="0" applyFill="1" applyBorder="1"/>
    <xf numFmtId="11" fontId="0" fillId="4" borderId="38" xfId="0" applyNumberFormat="1" applyFill="1" applyBorder="1"/>
    <xf numFmtId="0" fontId="0" fillId="4" borderId="59" xfId="0" applyFill="1" applyBorder="1" applyAlignment="1">
      <alignment horizontal="right"/>
    </xf>
    <xf numFmtId="11" fontId="0" fillId="4" borderId="42" xfId="0" applyNumberFormat="1" applyFill="1" applyBorder="1"/>
    <xf numFmtId="11" fontId="0" fillId="0" borderId="38" xfId="0" applyNumberFormat="1" applyBorder="1"/>
    <xf numFmtId="0" fontId="0" fillId="0" borderId="59" xfId="0" applyBorder="1" applyAlignment="1">
      <alignment horizontal="right"/>
    </xf>
    <xf numFmtId="0" fontId="7" fillId="0" borderId="31" xfId="0" applyFont="1" applyBorder="1" applyAlignment="1">
      <alignment horizontal="right" vertical="center"/>
    </xf>
    <xf numFmtId="0" fontId="45" fillId="3" borderId="50" xfId="0" applyFont="1" applyFill="1" applyBorder="1" applyAlignment="1">
      <alignment horizontal="right" vertical="center"/>
    </xf>
    <xf numFmtId="0" fontId="0" fillId="4" borderId="42" xfId="0" applyFill="1" applyBorder="1" applyAlignment="1">
      <alignment horizontal="right" vertical="center"/>
    </xf>
    <xf numFmtId="0" fontId="7" fillId="4" borderId="65" xfId="0" applyFont="1" applyFill="1" applyBorder="1" applyAlignment="1">
      <alignment vertical="center"/>
    </xf>
    <xf numFmtId="0" fontId="0" fillId="4" borderId="36" xfId="0" applyFill="1" applyBorder="1" applyAlignment="1">
      <alignment vertical="center"/>
    </xf>
    <xf numFmtId="11" fontId="0" fillId="4" borderId="74" xfId="0" applyNumberFormat="1" applyFill="1" applyBorder="1" applyAlignment="1">
      <alignment horizontal="right" vertical="center"/>
    </xf>
    <xf numFmtId="0" fontId="21" fillId="7" borderId="0" xfId="0" applyFont="1" applyFill="1"/>
    <xf numFmtId="0" fontId="16" fillId="7" borderId="0" xfId="0" applyFont="1" applyFill="1"/>
    <xf numFmtId="11" fontId="0" fillId="4" borderId="59" xfId="0" applyNumberFormat="1" applyFill="1" applyBorder="1" applyAlignment="1">
      <alignment horizontal="right" vertical="center"/>
    </xf>
    <xf numFmtId="0" fontId="0" fillId="14" borderId="47" xfId="0" applyFill="1" applyBorder="1" applyAlignment="1">
      <alignment vertical="center"/>
    </xf>
    <xf numFmtId="0" fontId="0" fillId="14" borderId="50" xfId="0" applyFill="1" applyBorder="1" applyAlignment="1">
      <alignment horizontal="right" vertical="center"/>
    </xf>
    <xf numFmtId="0" fontId="0" fillId="8" borderId="42" xfId="0" applyFill="1" applyBorder="1" applyAlignment="1">
      <alignment horizontal="left" vertical="center"/>
    </xf>
    <xf numFmtId="0" fontId="1" fillId="8" borderId="42" xfId="0" applyFont="1" applyFill="1" applyBorder="1" applyAlignment="1">
      <alignment vertical="center"/>
    </xf>
    <xf numFmtId="0" fontId="1" fillId="8" borderId="1" xfId="0" applyFont="1" applyFill="1" applyBorder="1" applyAlignment="1">
      <alignment vertical="center" wrapText="1"/>
    </xf>
    <xf numFmtId="0" fontId="0" fillId="0" borderId="61" xfId="0" applyBorder="1" applyAlignment="1">
      <alignment horizontal="left" vertical="center"/>
    </xf>
    <xf numFmtId="0" fontId="42" fillId="17" borderId="42" xfId="0" applyFont="1" applyFill="1" applyBorder="1" applyAlignment="1">
      <alignment horizontal="left" vertical="center" wrapText="1" readingOrder="1"/>
    </xf>
    <xf numFmtId="0" fontId="43" fillId="18" borderId="42" xfId="0" applyFont="1" applyFill="1" applyBorder="1" applyAlignment="1">
      <alignment horizontal="left" vertical="center" wrapText="1" readingOrder="1"/>
    </xf>
    <xf numFmtId="0" fontId="44" fillId="18" borderId="42" xfId="0" applyFont="1" applyFill="1" applyBorder="1" applyAlignment="1">
      <alignment horizontal="left" vertical="center" wrapText="1" readingOrder="1"/>
    </xf>
    <xf numFmtId="0" fontId="43" fillId="7" borderId="42" xfId="0" applyFont="1" applyFill="1" applyBorder="1" applyAlignment="1">
      <alignment horizontal="left" vertical="center" wrapText="1" readingOrder="1"/>
    </xf>
    <xf numFmtId="0" fontId="43" fillId="19" borderId="42" xfId="0" applyFont="1" applyFill="1" applyBorder="1" applyAlignment="1">
      <alignment horizontal="left" vertical="center" wrapText="1" readingOrder="1"/>
    </xf>
    <xf numFmtId="0" fontId="44" fillId="19" borderId="42" xfId="0" applyFont="1" applyFill="1" applyBorder="1" applyAlignment="1">
      <alignment horizontal="left" vertical="center" wrapText="1" readingOrder="1"/>
    </xf>
    <xf numFmtId="0" fontId="1" fillId="2" borderId="42" xfId="0" applyFont="1" applyFill="1" applyBorder="1"/>
    <xf numFmtId="0" fontId="0" fillId="2" borderId="42" xfId="0" applyFill="1" applyBorder="1" applyAlignment="1">
      <alignment horizontal="center"/>
    </xf>
    <xf numFmtId="0" fontId="0" fillId="0" borderId="42" xfId="0" applyBorder="1" applyAlignment="1">
      <alignment horizontal="center"/>
    </xf>
    <xf numFmtId="168" fontId="0" fillId="0" borderId="42" xfId="0" applyNumberFormat="1" applyBorder="1" applyAlignment="1">
      <alignment horizontal="center"/>
    </xf>
    <xf numFmtId="0" fontId="0" fillId="14" borderId="42" xfId="0" applyFill="1" applyBorder="1" applyAlignment="1">
      <alignment horizontal="center"/>
    </xf>
    <xf numFmtId="0" fontId="0" fillId="3" borderId="42" xfId="0" applyFill="1" applyBorder="1" applyAlignment="1">
      <alignment horizontal="center"/>
    </xf>
    <xf numFmtId="10" fontId="0" fillId="0" borderId="42" xfId="0" applyNumberFormat="1" applyBorder="1" applyAlignment="1">
      <alignment horizontal="center"/>
    </xf>
    <xf numFmtId="0" fontId="0" fillId="13" borderId="47" xfId="0" applyFill="1" applyBorder="1" applyAlignment="1">
      <alignment vertical="center"/>
    </xf>
    <xf numFmtId="0" fontId="0" fillId="13" borderId="42" xfId="0" applyFill="1" applyBorder="1" applyAlignment="1">
      <alignment vertical="center"/>
    </xf>
    <xf numFmtId="11" fontId="0" fillId="13" borderId="42" xfId="0" applyNumberFormat="1" applyFill="1" applyBorder="1" applyAlignment="1">
      <alignment horizontal="right" vertical="center"/>
    </xf>
    <xf numFmtId="0" fontId="0" fillId="13" borderId="50" xfId="0" applyFill="1" applyBorder="1" applyAlignment="1">
      <alignment horizontal="right" vertical="center"/>
    </xf>
    <xf numFmtId="170" fontId="0" fillId="0" borderId="42" xfId="0" applyNumberFormat="1" applyBorder="1" applyAlignment="1">
      <alignment horizontal="right" vertical="center"/>
    </xf>
    <xf numFmtId="0" fontId="0" fillId="0" borderId="55" xfId="0" applyBorder="1" applyAlignment="1">
      <alignment horizontal="left"/>
    </xf>
    <xf numFmtId="168" fontId="0" fillId="0" borderId="51" xfId="0" applyNumberFormat="1" applyBorder="1"/>
    <xf numFmtId="0" fontId="1" fillId="14" borderId="10" xfId="0" applyFont="1" applyFill="1" applyBorder="1" applyAlignment="1">
      <alignment horizontal="left" vertical="center"/>
    </xf>
    <xf numFmtId="11" fontId="0" fillId="0" borderId="42" xfId="0" applyNumberFormat="1" applyBorder="1" applyAlignment="1">
      <alignment horizontal="center" vertical="center"/>
    </xf>
    <xf numFmtId="1" fontId="0" fillId="0" borderId="42" xfId="0" applyNumberFormat="1" applyBorder="1" applyAlignment="1">
      <alignment horizontal="center" vertical="center"/>
    </xf>
    <xf numFmtId="1" fontId="7" fillId="0" borderId="42" xfId="0" applyNumberFormat="1" applyFont="1" applyBorder="1" applyAlignment="1">
      <alignment horizontal="center" vertical="center" wrapText="1" readingOrder="1"/>
    </xf>
    <xf numFmtId="0" fontId="7" fillId="0" borderId="42" xfId="0" applyFont="1" applyBorder="1" applyAlignment="1">
      <alignment horizontal="center" vertical="center" wrapText="1" readingOrder="1"/>
    </xf>
    <xf numFmtId="0" fontId="0" fillId="0" borderId="46" xfId="0" applyBorder="1" applyAlignment="1">
      <alignment horizontal="left"/>
    </xf>
    <xf numFmtId="0" fontId="0" fillId="0" borderId="55" xfId="0" applyBorder="1" applyAlignment="1">
      <alignment horizontal="center"/>
    </xf>
    <xf numFmtId="11" fontId="0" fillId="0" borderId="55" xfId="0" applyNumberFormat="1" applyBorder="1" applyAlignment="1">
      <alignment horizontal="center" vertical="center"/>
    </xf>
    <xf numFmtId="0" fontId="0" fillId="0" borderId="47" xfId="0" applyBorder="1" applyAlignment="1">
      <alignment horizontal="left"/>
    </xf>
    <xf numFmtId="0" fontId="0" fillId="0" borderId="48" xfId="0" applyBorder="1" applyAlignment="1">
      <alignment horizontal="left"/>
    </xf>
    <xf numFmtId="0" fontId="7" fillId="0" borderId="56" xfId="0" applyFont="1" applyBorder="1" applyAlignment="1">
      <alignment horizontal="center" vertical="center" wrapText="1" readingOrder="1"/>
    </xf>
    <xf numFmtId="11" fontId="0" fillId="0" borderId="56" xfId="0" applyNumberFormat="1" applyBorder="1" applyAlignment="1">
      <alignment horizontal="center" vertical="center"/>
    </xf>
    <xf numFmtId="0" fontId="0" fillId="0" borderId="51" xfId="0" applyBorder="1" applyAlignment="1">
      <alignment horizontal="center"/>
    </xf>
    <xf numFmtId="0" fontId="20" fillId="9" borderId="10" xfId="0" applyFont="1" applyFill="1" applyBorder="1" applyAlignment="1">
      <alignment vertical="center"/>
    </xf>
    <xf numFmtId="0" fontId="11" fillId="0" borderId="42" xfId="0" quotePrefix="1" applyFont="1" applyBorder="1" applyAlignment="1">
      <alignment horizontal="center" vertical="center"/>
    </xf>
    <xf numFmtId="0" fontId="11" fillId="0" borderId="46" xfId="0" applyFont="1" applyBorder="1" applyAlignment="1">
      <alignment horizontal="center" vertical="center"/>
    </xf>
    <xf numFmtId="0" fontId="11" fillId="0" borderId="55" xfId="0" applyFont="1" applyBorder="1" applyAlignment="1">
      <alignment horizontal="center" vertical="center"/>
    </xf>
    <xf numFmtId="0" fontId="11" fillId="0" borderId="49" xfId="0" applyFont="1" applyBorder="1" applyAlignment="1">
      <alignment horizontal="center" vertical="center"/>
    </xf>
    <xf numFmtId="0" fontId="11" fillId="0" borderId="47" xfId="0" applyFont="1" applyBorder="1" applyAlignment="1">
      <alignment horizontal="center" vertical="center"/>
    </xf>
    <xf numFmtId="0" fontId="11" fillId="0" borderId="50" xfId="0" applyFont="1" applyBorder="1" applyAlignment="1">
      <alignment horizontal="center" vertical="center"/>
    </xf>
    <xf numFmtId="0" fontId="11" fillId="0" borderId="47" xfId="0" applyFont="1" applyBorder="1" applyAlignment="1">
      <alignment horizontal="center" vertical="center" wrapText="1"/>
    </xf>
    <xf numFmtId="0" fontId="11" fillId="0" borderId="48" xfId="0" applyFont="1" applyBorder="1" applyAlignment="1">
      <alignment horizontal="center" vertical="center"/>
    </xf>
    <xf numFmtId="0" fontId="11" fillId="0" borderId="56" xfId="0" applyFont="1" applyBorder="1" applyAlignment="1">
      <alignment horizontal="center" vertical="center"/>
    </xf>
    <xf numFmtId="0" fontId="11" fillId="0" borderId="51" xfId="0" applyFont="1" applyBorder="1" applyAlignment="1">
      <alignment horizontal="center" vertical="center"/>
    </xf>
    <xf numFmtId="10" fontId="0" fillId="0" borderId="56" xfId="0" applyNumberFormat="1" applyBorder="1" applyAlignment="1">
      <alignment horizontal="right" vertical="center"/>
    </xf>
    <xf numFmtId="0" fontId="0" fillId="8" borderId="2" xfId="0" applyFill="1" applyBorder="1"/>
    <xf numFmtId="0" fontId="0" fillId="8" borderId="4" xfId="0" applyFill="1" applyBorder="1"/>
    <xf numFmtId="0" fontId="0" fillId="8" borderId="3" xfId="0" applyFill="1" applyBorder="1"/>
    <xf numFmtId="0" fontId="0" fillId="8" borderId="34" xfId="0" applyFill="1" applyBorder="1"/>
    <xf numFmtId="0" fontId="0" fillId="8" borderId="0" xfId="0" applyFill="1"/>
    <xf numFmtId="0" fontId="0" fillId="14" borderId="48" xfId="0" applyFill="1" applyBorder="1" applyAlignment="1">
      <alignment vertical="center"/>
    </xf>
    <xf numFmtId="0" fontId="0" fillId="14" borderId="56" xfId="0" applyFill="1" applyBorder="1" applyAlignment="1">
      <alignment vertical="center"/>
    </xf>
    <xf numFmtId="0" fontId="0" fillId="14" borderId="56" xfId="0" applyFill="1" applyBorder="1" applyAlignment="1">
      <alignment horizontal="right" vertical="center"/>
    </xf>
    <xf numFmtId="0" fontId="0" fillId="14" borderId="51" xfId="0" applyFill="1" applyBorder="1" applyAlignment="1">
      <alignment horizontal="right" vertical="center"/>
    </xf>
    <xf numFmtId="0" fontId="20" fillId="12" borderId="1" xfId="0" applyFont="1" applyFill="1" applyBorder="1" applyAlignment="1">
      <alignment vertical="center"/>
    </xf>
    <xf numFmtId="0" fontId="0" fillId="14" borderId="42" xfId="0" applyFill="1" applyBorder="1" applyAlignment="1">
      <alignment horizontal="right" vertical="center"/>
    </xf>
    <xf numFmtId="0" fontId="7" fillId="14" borderId="56" xfId="0" applyFont="1" applyFill="1" applyBorder="1" applyAlignment="1">
      <alignment vertical="center"/>
    </xf>
    <xf numFmtId="0" fontId="7" fillId="14" borderId="56" xfId="0" applyFont="1" applyFill="1" applyBorder="1" applyAlignment="1">
      <alignment horizontal="right" vertical="center"/>
    </xf>
    <xf numFmtId="0" fontId="0" fillId="14" borderId="65" xfId="0" applyFill="1" applyBorder="1" applyAlignment="1">
      <alignment vertical="center"/>
    </xf>
    <xf numFmtId="0" fontId="0" fillId="14" borderId="41" xfId="0" applyFill="1" applyBorder="1" applyAlignment="1">
      <alignment vertical="center"/>
    </xf>
    <xf numFmtId="0" fontId="20" fillId="12" borderId="11" xfId="0" applyFont="1" applyFill="1" applyBorder="1" applyAlignment="1">
      <alignment vertical="center"/>
    </xf>
    <xf numFmtId="0" fontId="5" fillId="12" borderId="9" xfId="0" applyFont="1" applyFill="1" applyBorder="1" applyAlignment="1">
      <alignment horizontal="center" vertical="center"/>
    </xf>
    <xf numFmtId="0" fontId="5" fillId="12" borderId="54" xfId="0" applyFont="1" applyFill="1" applyBorder="1" applyAlignment="1">
      <alignment horizontal="center" vertical="center"/>
    </xf>
    <xf numFmtId="2" fontId="5" fillId="12" borderId="54" xfId="0" applyNumberFormat="1" applyFont="1" applyFill="1" applyBorder="1" applyAlignment="1">
      <alignment horizontal="center" vertical="center" wrapText="1"/>
    </xf>
    <xf numFmtId="168" fontId="5" fillId="12" borderId="45" xfId="0" applyNumberFormat="1" applyFont="1" applyFill="1" applyBorder="1" applyAlignment="1">
      <alignment horizontal="center" vertical="center" wrapText="1"/>
    </xf>
    <xf numFmtId="0" fontId="12" fillId="24" borderId="1" xfId="0" applyFont="1" applyFill="1" applyBorder="1" applyAlignment="1">
      <alignment horizontal="center" vertical="center"/>
    </xf>
    <xf numFmtId="0" fontId="0" fillId="0" borderId="55" xfId="0" applyBorder="1" applyAlignment="1">
      <alignment horizontal="left" vertical="center" wrapText="1"/>
    </xf>
    <xf numFmtId="0" fontId="20" fillId="12" borderId="10" xfId="0" applyFont="1" applyFill="1" applyBorder="1" applyAlignment="1">
      <alignment vertical="center"/>
    </xf>
    <xf numFmtId="164" fontId="0" fillId="0" borderId="42" xfId="0" applyNumberFormat="1" applyBorder="1" applyAlignment="1">
      <alignment horizontal="right" vertical="center"/>
    </xf>
    <xf numFmtId="0" fontId="1" fillId="22" borderId="9" xfId="0" applyFont="1" applyFill="1" applyBorder="1" applyAlignment="1">
      <alignment horizontal="left" vertical="center"/>
    </xf>
    <xf numFmtId="0" fontId="1" fillId="22" borderId="54" xfId="0" applyFont="1" applyFill="1" applyBorder="1" applyAlignment="1">
      <alignment vertical="center"/>
    </xf>
    <xf numFmtId="0" fontId="1" fillId="22" borderId="54" xfId="0" applyFont="1" applyFill="1" applyBorder="1" applyAlignment="1">
      <alignment horizontal="right" vertical="center"/>
    </xf>
    <xf numFmtId="0" fontId="1" fillId="22" borderId="45" xfId="0" applyFont="1" applyFill="1" applyBorder="1" applyAlignment="1">
      <alignment horizontal="right" vertical="center"/>
    </xf>
    <xf numFmtId="0" fontId="1" fillId="22" borderId="33" xfId="0" applyFont="1" applyFill="1" applyBorder="1" applyAlignment="1">
      <alignment horizontal="left" vertical="center"/>
    </xf>
    <xf numFmtId="0" fontId="0" fillId="22" borderId="54" xfId="0" applyFill="1" applyBorder="1" applyAlignment="1">
      <alignment horizontal="right" vertical="center"/>
    </xf>
    <xf numFmtId="0" fontId="0" fillId="22" borderId="45" xfId="0" applyFill="1" applyBorder="1" applyAlignment="1">
      <alignment horizontal="right" vertical="center"/>
    </xf>
    <xf numFmtId="0" fontId="1" fillId="22" borderId="45" xfId="0" applyFont="1" applyFill="1" applyBorder="1" applyAlignment="1">
      <alignment horizontal="center" vertical="center"/>
    </xf>
    <xf numFmtId="0" fontId="26" fillId="12" borderId="10" xfId="0" applyFont="1" applyFill="1" applyBorder="1" applyAlignment="1">
      <alignment vertical="center"/>
    </xf>
    <xf numFmtId="0" fontId="26" fillId="12" borderId="1" xfId="0" applyFont="1" applyFill="1" applyBorder="1" applyAlignment="1">
      <alignment vertical="center"/>
    </xf>
    <xf numFmtId="0" fontId="26" fillId="12" borderId="11" xfId="0" applyFont="1" applyFill="1" applyBorder="1" applyAlignment="1">
      <alignment vertical="center"/>
    </xf>
    <xf numFmtId="0" fontId="0" fillId="8" borderId="34" xfId="0" applyFill="1" applyBorder="1" applyAlignment="1">
      <alignment horizontal="center"/>
    </xf>
    <xf numFmtId="0" fontId="0" fillId="8" borderId="0" xfId="0" applyFill="1" applyAlignment="1">
      <alignment horizontal="center"/>
    </xf>
    <xf numFmtId="0" fontId="1" fillId="14" borderId="22" xfId="0" applyFont="1" applyFill="1" applyBorder="1" applyAlignment="1">
      <alignment horizontal="center"/>
    </xf>
    <xf numFmtId="0" fontId="0" fillId="9" borderId="7" xfId="0" applyFill="1" applyBorder="1" applyAlignment="1">
      <alignment horizontal="center" vertical="center"/>
    </xf>
    <xf numFmtId="0" fontId="0" fillId="9" borderId="34" xfId="0" applyFill="1" applyBorder="1" applyAlignment="1">
      <alignment horizontal="center" vertical="center"/>
    </xf>
    <xf numFmtId="0" fontId="0" fillId="9" borderId="8" xfId="0" applyFill="1" applyBorder="1" applyAlignment="1">
      <alignment horizontal="center" vertical="center"/>
    </xf>
    <xf numFmtId="0" fontId="1" fillId="25" borderId="3" xfId="0" applyFont="1" applyFill="1" applyBorder="1" applyAlignment="1">
      <alignment horizontal="center" wrapText="1"/>
    </xf>
    <xf numFmtId="0" fontId="1" fillId="25" borderId="1" xfId="0" applyFont="1" applyFill="1" applyBorder="1" applyAlignment="1">
      <alignment horizontal="center" vertical="center" wrapText="1"/>
    </xf>
    <xf numFmtId="0" fontId="1" fillId="25" borderId="1" xfId="0" applyFont="1" applyFill="1" applyBorder="1" applyAlignment="1">
      <alignment horizontal="center" wrapText="1"/>
    </xf>
    <xf numFmtId="0" fontId="1" fillId="25" borderId="2" xfId="0" applyFont="1" applyFill="1" applyBorder="1" applyAlignment="1">
      <alignment horizontal="left" vertical="center"/>
    </xf>
    <xf numFmtId="0" fontId="1" fillId="25" borderId="1" xfId="0" applyFont="1" applyFill="1" applyBorder="1" applyAlignment="1">
      <alignment horizontal="left" vertical="center"/>
    </xf>
    <xf numFmtId="0" fontId="0" fillId="22" borderId="12" xfId="0" applyFill="1" applyBorder="1" applyAlignment="1">
      <alignment horizontal="center"/>
    </xf>
    <xf numFmtId="0" fontId="0" fillId="22" borderId="18" xfId="0" applyFill="1" applyBorder="1" applyAlignment="1">
      <alignment horizontal="center"/>
    </xf>
    <xf numFmtId="0" fontId="0" fillId="22" borderId="13" xfId="0" applyFill="1" applyBorder="1" applyAlignment="1">
      <alignment horizontal="center"/>
    </xf>
    <xf numFmtId="0" fontId="0" fillId="22" borderId="19" xfId="0" applyFill="1" applyBorder="1" applyAlignment="1">
      <alignment horizontal="center"/>
    </xf>
    <xf numFmtId="0" fontId="0" fillId="22" borderId="14" xfId="0" applyFill="1" applyBorder="1" applyAlignment="1">
      <alignment horizontal="center"/>
    </xf>
    <xf numFmtId="0" fontId="0" fillId="22" borderId="20" xfId="0" applyFill="1" applyBorder="1" applyAlignment="1">
      <alignment horizontal="center"/>
    </xf>
    <xf numFmtId="0" fontId="0" fillId="22" borderId="27" xfId="0" applyFill="1" applyBorder="1" applyAlignment="1">
      <alignment horizontal="center"/>
    </xf>
    <xf numFmtId="0" fontId="0" fillId="22" borderId="28" xfId="0" applyFill="1" applyBorder="1" applyAlignment="1">
      <alignment horizontal="center"/>
    </xf>
    <xf numFmtId="0" fontId="0" fillId="22" borderId="29" xfId="0" applyFill="1" applyBorder="1" applyAlignment="1">
      <alignment horizontal="center"/>
    </xf>
    <xf numFmtId="1" fontId="0" fillId="22" borderId="12" xfId="0" applyNumberFormat="1" applyFill="1" applyBorder="1" applyAlignment="1">
      <alignment horizontal="center"/>
    </xf>
    <xf numFmtId="1" fontId="0" fillId="22" borderId="13" xfId="0" applyNumberFormat="1" applyFill="1" applyBorder="1" applyAlignment="1">
      <alignment horizontal="center"/>
    </xf>
    <xf numFmtId="0" fontId="0" fillId="22" borderId="43" xfId="0" applyFill="1" applyBorder="1" applyAlignment="1">
      <alignment horizontal="center"/>
    </xf>
    <xf numFmtId="1" fontId="0" fillId="22" borderId="14" xfId="0" applyNumberFormat="1" applyFill="1" applyBorder="1" applyAlignment="1">
      <alignment horizontal="center"/>
    </xf>
    <xf numFmtId="1" fontId="0" fillId="22" borderId="29" xfId="0" applyNumberFormat="1" applyFill="1" applyBorder="1" applyAlignment="1">
      <alignment horizontal="center"/>
    </xf>
    <xf numFmtId="1" fontId="0" fillId="22" borderId="28" xfId="0" applyNumberFormat="1" applyFill="1" applyBorder="1" applyAlignment="1">
      <alignment horizontal="center"/>
    </xf>
    <xf numFmtId="0" fontId="0" fillId="22" borderId="37" xfId="0" applyFill="1" applyBorder="1" applyAlignment="1">
      <alignment horizontal="center"/>
    </xf>
    <xf numFmtId="0" fontId="0" fillId="22" borderId="32" xfId="0" applyFill="1" applyBorder="1" applyAlignment="1">
      <alignment horizontal="center"/>
    </xf>
    <xf numFmtId="0" fontId="0" fillId="22" borderId="0" xfId="0" applyFill="1" applyAlignment="1">
      <alignment horizontal="center"/>
    </xf>
    <xf numFmtId="0" fontId="7" fillId="14" borderId="42" xfId="0" applyFont="1" applyFill="1" applyBorder="1" applyAlignment="1">
      <alignment horizontal="right" vertical="center"/>
    </xf>
    <xf numFmtId="0" fontId="0" fillId="14" borderId="56" xfId="0" applyFill="1" applyBorder="1"/>
    <xf numFmtId="0" fontId="0" fillId="9" borderId="47" xfId="0" applyFill="1" applyBorder="1" applyAlignment="1">
      <alignment vertical="center"/>
    </xf>
    <xf numFmtId="0" fontId="0" fillId="9" borderId="42" xfId="0" applyFill="1" applyBorder="1" applyAlignment="1">
      <alignment vertical="center"/>
    </xf>
    <xf numFmtId="0" fontId="1" fillId="9" borderId="42" xfId="0" applyFont="1" applyFill="1" applyBorder="1" applyAlignment="1">
      <alignment horizontal="right" vertical="center"/>
    </xf>
    <xf numFmtId="0" fontId="0" fillId="9" borderId="50" xfId="0" applyFill="1" applyBorder="1" applyAlignment="1">
      <alignment horizontal="right" vertical="center"/>
    </xf>
    <xf numFmtId="0" fontId="9" fillId="9" borderId="42" xfId="0" applyFont="1" applyFill="1" applyBorder="1" applyAlignment="1">
      <alignment horizontal="right" vertical="center"/>
    </xf>
    <xf numFmtId="0" fontId="0" fillId="0" borderId="55" xfId="0" applyBorder="1" applyAlignment="1">
      <alignment horizontal="right"/>
    </xf>
    <xf numFmtId="167" fontId="0" fillId="14" borderId="42" xfId="0" applyNumberFormat="1" applyFill="1" applyBorder="1" applyAlignment="1">
      <alignment horizontal="right" vertical="center"/>
    </xf>
    <xf numFmtId="0" fontId="1" fillId="6" borderId="65" xfId="0" applyFont="1" applyFill="1" applyBorder="1" applyAlignment="1">
      <alignment vertical="center"/>
    </xf>
    <xf numFmtId="0" fontId="0" fillId="6" borderId="41" xfId="0" applyFill="1" applyBorder="1" applyAlignment="1">
      <alignment vertical="center"/>
    </xf>
    <xf numFmtId="0" fontId="0" fillId="6" borderId="41" xfId="0" applyFill="1" applyBorder="1" applyAlignment="1">
      <alignment horizontal="right" vertical="center"/>
    </xf>
    <xf numFmtId="0" fontId="0" fillId="6" borderId="64" xfId="0" applyFill="1" applyBorder="1" applyAlignment="1">
      <alignment horizontal="right" vertical="center"/>
    </xf>
    <xf numFmtId="0" fontId="0" fillId="0" borderId="41" xfId="0" applyBorder="1" applyAlignment="1">
      <alignment horizontal="right"/>
    </xf>
    <xf numFmtId="0" fontId="1" fillId="6" borderId="46" xfId="0" applyFont="1" applyFill="1" applyBorder="1" applyAlignment="1">
      <alignment vertical="center"/>
    </xf>
    <xf numFmtId="0" fontId="0" fillId="6" borderId="55" xfId="0" applyFill="1" applyBorder="1" applyAlignment="1">
      <alignment vertical="center"/>
    </xf>
    <xf numFmtId="0" fontId="0" fillId="6" borderId="55" xfId="0" applyFill="1" applyBorder="1" applyAlignment="1">
      <alignment horizontal="right" vertical="center"/>
    </xf>
    <xf numFmtId="0" fontId="0" fillId="6" borderId="49" xfId="0" applyFill="1" applyBorder="1" applyAlignment="1">
      <alignment horizontal="right" vertical="center"/>
    </xf>
    <xf numFmtId="0" fontId="1" fillId="14" borderId="11" xfId="0" applyFont="1" applyFill="1" applyBorder="1" applyAlignment="1">
      <alignment horizontal="center"/>
    </xf>
    <xf numFmtId="0" fontId="0" fillId="22" borderId="11" xfId="0" applyFill="1" applyBorder="1" applyAlignment="1">
      <alignment horizontal="center"/>
    </xf>
    <xf numFmtId="1" fontId="0" fillId="22" borderId="11" xfId="0" applyNumberFormat="1" applyFill="1" applyBorder="1" applyAlignment="1">
      <alignment horizontal="center"/>
    </xf>
    <xf numFmtId="0" fontId="0" fillId="0" borderId="12" xfId="0" applyBorder="1" applyAlignment="1">
      <alignment horizontal="left"/>
    </xf>
    <xf numFmtId="0" fontId="0" fillId="0" borderId="11" xfId="0" applyBorder="1" applyAlignment="1">
      <alignment horizontal="left"/>
    </xf>
    <xf numFmtId="0" fontId="1" fillId="14" borderId="7" xfId="0" applyFont="1" applyFill="1" applyBorder="1" applyAlignment="1">
      <alignment horizontal="center"/>
    </xf>
    <xf numFmtId="11" fontId="7" fillId="14" borderId="56" xfId="0" applyNumberFormat="1" applyFont="1" applyFill="1" applyBorder="1" applyAlignment="1">
      <alignment vertical="center"/>
    </xf>
    <xf numFmtId="0" fontId="0" fillId="14" borderId="58" xfId="0" applyFill="1" applyBorder="1" applyAlignment="1">
      <alignment vertical="center"/>
    </xf>
    <xf numFmtId="0" fontId="0" fillId="14" borderId="38" xfId="0" applyFill="1" applyBorder="1" applyAlignment="1">
      <alignment vertical="center"/>
    </xf>
    <xf numFmtId="0" fontId="0" fillId="14" borderId="38" xfId="0" applyFill="1" applyBorder="1" applyAlignment="1">
      <alignment horizontal="right" vertical="center"/>
    </xf>
    <xf numFmtId="1" fontId="0" fillId="14" borderId="38" xfId="0" applyNumberFormat="1" applyFill="1" applyBorder="1" applyAlignment="1">
      <alignment horizontal="right" vertical="center"/>
    </xf>
    <xf numFmtId="0" fontId="0" fillId="14" borderId="17" xfId="0" applyFill="1" applyBorder="1" applyAlignment="1">
      <alignment horizontal="right" vertical="center"/>
    </xf>
    <xf numFmtId="0" fontId="7" fillId="4" borderId="47" xfId="0" applyFont="1" applyFill="1" applyBorder="1" applyAlignment="1">
      <alignment horizontal="left" vertical="center"/>
    </xf>
    <xf numFmtId="0" fontId="7" fillId="4" borderId="58" xfId="0" applyFont="1" applyFill="1" applyBorder="1" applyAlignment="1">
      <alignment horizontal="left" vertical="center"/>
    </xf>
    <xf numFmtId="0" fontId="0" fillId="4" borderId="38" xfId="0" applyFill="1" applyBorder="1" applyAlignment="1">
      <alignment horizontal="right" vertical="center"/>
    </xf>
    <xf numFmtId="0" fontId="0" fillId="4" borderId="40" xfId="0" applyFill="1" applyBorder="1" applyAlignment="1">
      <alignment vertical="center"/>
    </xf>
    <xf numFmtId="0" fontId="0" fillId="3" borderId="41" xfId="0" applyFill="1" applyBorder="1" applyAlignment="1">
      <alignment horizontal="center" vertical="center"/>
    </xf>
    <xf numFmtId="11" fontId="0" fillId="3" borderId="41" xfId="0" applyNumberFormat="1" applyFill="1" applyBorder="1" applyAlignment="1">
      <alignment horizontal="right" vertical="center"/>
    </xf>
    <xf numFmtId="0" fontId="7" fillId="3" borderId="58" xfId="0" applyFont="1" applyFill="1" applyBorder="1" applyAlignment="1">
      <alignment horizontal="left" vertical="center"/>
    </xf>
    <xf numFmtId="0" fontId="0" fillId="5" borderId="58" xfId="0" applyFill="1" applyBorder="1" applyAlignment="1">
      <alignment vertical="center"/>
    </xf>
    <xf numFmtId="0" fontId="7" fillId="5" borderId="47" xfId="0" applyFont="1" applyFill="1" applyBorder="1" applyAlignment="1">
      <alignment horizontal="left" vertical="center"/>
    </xf>
    <xf numFmtId="0" fontId="0" fillId="5" borderId="40" xfId="0" applyFill="1" applyBorder="1" applyAlignment="1">
      <alignment vertical="center"/>
    </xf>
    <xf numFmtId="0" fontId="0" fillId="5" borderId="75" xfId="0" applyFill="1" applyBorder="1" applyAlignment="1">
      <alignment vertical="center"/>
    </xf>
    <xf numFmtId="0" fontId="7" fillId="5" borderId="58" xfId="0" applyFont="1" applyFill="1" applyBorder="1" applyAlignment="1">
      <alignment horizontal="left" vertical="center"/>
    </xf>
    <xf numFmtId="0" fontId="0" fillId="0" borderId="55" xfId="0" applyBorder="1" applyAlignment="1">
      <alignment horizontal="left" vertical="center"/>
    </xf>
    <xf numFmtId="0" fontId="0" fillId="4" borderId="74" xfId="0" applyFill="1" applyBorder="1" applyAlignment="1">
      <alignment vertical="center"/>
    </xf>
    <xf numFmtId="0" fontId="0" fillId="14" borderId="59" xfId="0" applyFill="1" applyBorder="1" applyAlignment="1">
      <alignment horizontal="right" vertical="center"/>
    </xf>
    <xf numFmtId="0" fontId="1" fillId="22" borderId="73" xfId="0" applyFont="1" applyFill="1" applyBorder="1" applyAlignment="1">
      <alignment horizontal="left" vertical="center"/>
    </xf>
    <xf numFmtId="0" fontId="1" fillId="22" borderId="67" xfId="0" applyFont="1" applyFill="1" applyBorder="1" applyAlignment="1">
      <alignment vertical="center"/>
    </xf>
    <xf numFmtId="0" fontId="1" fillId="22" borderId="67" xfId="0" applyFont="1" applyFill="1" applyBorder="1" applyAlignment="1">
      <alignment horizontal="right" vertical="center"/>
    </xf>
    <xf numFmtId="0" fontId="1" fillId="22" borderId="71" xfId="0" applyFont="1" applyFill="1" applyBorder="1" applyAlignment="1">
      <alignment horizontal="right" vertical="center"/>
    </xf>
    <xf numFmtId="0" fontId="1" fillId="22" borderId="66" xfId="0" applyFont="1" applyFill="1" applyBorder="1" applyAlignment="1">
      <alignment horizontal="left" vertical="center"/>
    </xf>
    <xf numFmtId="0" fontId="1" fillId="22" borderId="69" xfId="0" applyFont="1" applyFill="1" applyBorder="1" applyAlignment="1">
      <alignment vertical="center"/>
    </xf>
    <xf numFmtId="0" fontId="1" fillId="22" borderId="69" xfId="0" applyFont="1" applyFill="1" applyBorder="1" applyAlignment="1">
      <alignment horizontal="right" vertical="center"/>
    </xf>
    <xf numFmtId="0" fontId="1" fillId="22" borderId="17" xfId="0" applyFont="1" applyFill="1" applyBorder="1" applyAlignment="1">
      <alignment horizontal="right" vertical="center"/>
    </xf>
    <xf numFmtId="0" fontId="0" fillId="2" borderId="56" xfId="0" applyFill="1" applyBorder="1" applyAlignment="1">
      <alignment horizontal="right" vertical="center"/>
    </xf>
    <xf numFmtId="168" fontId="0" fillId="2" borderId="42" xfId="0" applyNumberFormat="1" applyFill="1" applyBorder="1" applyAlignment="1">
      <alignment horizontal="right" vertical="center"/>
    </xf>
    <xf numFmtId="168" fontId="0" fillId="0" borderId="41" xfId="0" applyNumberFormat="1" applyBorder="1" applyAlignment="1">
      <alignment horizontal="center" vertical="center"/>
    </xf>
    <xf numFmtId="0" fontId="1" fillId="26" borderId="33" xfId="0" applyFont="1" applyFill="1" applyBorder="1" applyAlignment="1">
      <alignment horizontal="left" vertical="center"/>
    </xf>
    <xf numFmtId="0" fontId="1" fillId="26" borderId="54" xfId="0" applyFont="1" applyFill="1" applyBorder="1" applyAlignment="1">
      <alignment vertical="center"/>
    </xf>
    <xf numFmtId="0" fontId="1" fillId="26" borderId="54" xfId="0" applyFont="1" applyFill="1" applyBorder="1" applyAlignment="1">
      <alignment horizontal="right" vertical="center"/>
    </xf>
    <xf numFmtId="0" fontId="1" fillId="26" borderId="45" xfId="0" applyFont="1" applyFill="1" applyBorder="1" applyAlignment="1">
      <alignment horizontal="right" vertical="center"/>
    </xf>
    <xf numFmtId="0" fontId="1" fillId="26" borderId="73" xfId="0" applyFont="1" applyFill="1" applyBorder="1" applyAlignment="1">
      <alignment horizontal="left" vertical="center"/>
    </xf>
    <xf numFmtId="0" fontId="1" fillId="26" borderId="67" xfId="0" applyFont="1" applyFill="1" applyBorder="1" applyAlignment="1">
      <alignment vertical="center"/>
    </xf>
    <xf numFmtId="0" fontId="1" fillId="26" borderId="67" xfId="0" applyFont="1" applyFill="1" applyBorder="1" applyAlignment="1">
      <alignment horizontal="right" vertical="center"/>
    </xf>
    <xf numFmtId="0" fontId="1" fillId="26" borderId="71" xfId="0" applyFont="1" applyFill="1" applyBorder="1" applyAlignment="1">
      <alignment horizontal="right" vertical="center"/>
    </xf>
    <xf numFmtId="0" fontId="0" fillId="9" borderId="19" xfId="0" applyFill="1" applyBorder="1"/>
    <xf numFmtId="0" fontId="0" fillId="9" borderId="13" xfId="0" applyFill="1" applyBorder="1" applyAlignment="1">
      <alignment horizontal="right"/>
    </xf>
    <xf numFmtId="0" fontId="0" fillId="9" borderId="22" xfId="0" applyFill="1" applyBorder="1"/>
    <xf numFmtId="0" fontId="1" fillId="26" borderId="66" xfId="0" applyFont="1" applyFill="1" applyBorder="1" applyAlignment="1">
      <alignment horizontal="left" vertical="center"/>
    </xf>
    <xf numFmtId="0" fontId="1" fillId="26" borderId="69" xfId="0" applyFont="1" applyFill="1" applyBorder="1" applyAlignment="1">
      <alignment vertical="center"/>
    </xf>
    <xf numFmtId="0" fontId="1" fillId="26" borderId="69" xfId="0" applyFont="1" applyFill="1" applyBorder="1" applyAlignment="1">
      <alignment horizontal="right" vertical="center"/>
    </xf>
    <xf numFmtId="0" fontId="1" fillId="26" borderId="17" xfId="0" applyFont="1" applyFill="1" applyBorder="1" applyAlignment="1">
      <alignment horizontal="right" vertical="center"/>
    </xf>
    <xf numFmtId="11" fontId="0" fillId="14" borderId="42" xfId="0" applyNumberFormat="1" applyFill="1" applyBorder="1" applyAlignment="1">
      <alignment horizontal="right" vertical="center"/>
    </xf>
    <xf numFmtId="0" fontId="0" fillId="14" borderId="46" xfId="0" applyFill="1" applyBorder="1" applyAlignment="1">
      <alignment vertical="center"/>
    </xf>
    <xf numFmtId="0" fontId="0" fillId="14" borderId="55" xfId="0" applyFill="1" applyBorder="1" applyAlignment="1">
      <alignment vertical="center"/>
    </xf>
    <xf numFmtId="0" fontId="0" fillId="14" borderId="55" xfId="0" applyFill="1" applyBorder="1" applyAlignment="1">
      <alignment horizontal="right" vertical="center"/>
    </xf>
    <xf numFmtId="0" fontId="0" fillId="14" borderId="49" xfId="0" applyFill="1" applyBorder="1" applyAlignment="1">
      <alignment horizontal="right" vertical="center"/>
    </xf>
    <xf numFmtId="0" fontId="0" fillId="14" borderId="41" xfId="0" applyFill="1" applyBorder="1" applyAlignment="1">
      <alignment horizontal="right" vertical="center"/>
    </xf>
    <xf numFmtId="0" fontId="0" fillId="14" borderId="64" xfId="0" applyFill="1" applyBorder="1" applyAlignment="1">
      <alignment horizontal="right" vertical="center"/>
    </xf>
    <xf numFmtId="1" fontId="0" fillId="14" borderId="42" xfId="0" applyNumberFormat="1" applyFill="1" applyBorder="1" applyAlignment="1">
      <alignment horizontal="right" vertical="center"/>
    </xf>
    <xf numFmtId="0" fontId="7" fillId="5" borderId="48" xfId="0" applyFont="1" applyFill="1" applyBorder="1" applyAlignment="1">
      <alignment horizontal="left" vertical="center"/>
    </xf>
    <xf numFmtId="0" fontId="0" fillId="14" borderId="43" xfId="0" applyFill="1" applyBorder="1"/>
    <xf numFmtId="0" fontId="0" fillId="14" borderId="11" xfId="0" applyFill="1" applyBorder="1" applyAlignment="1">
      <alignment horizontal="right"/>
    </xf>
    <xf numFmtId="10" fontId="0" fillId="14" borderId="26" xfId="0" applyNumberFormat="1" applyFill="1" applyBorder="1" applyAlignment="1">
      <alignment horizontal="right"/>
    </xf>
    <xf numFmtId="0" fontId="0" fillId="14" borderId="21" xfId="0" applyFill="1" applyBorder="1" applyAlignment="1">
      <alignment horizontal="right"/>
    </xf>
    <xf numFmtId="0" fontId="0" fillId="12" borderId="52" xfId="0" applyFill="1" applyBorder="1" applyAlignment="1">
      <alignment horizontal="right"/>
    </xf>
    <xf numFmtId="11" fontId="0" fillId="14" borderId="26" xfId="0" applyNumberFormat="1" applyFill="1" applyBorder="1" applyAlignment="1">
      <alignment horizontal="right"/>
    </xf>
    <xf numFmtId="1" fontId="0" fillId="12" borderId="26" xfId="0" applyNumberFormat="1" applyFill="1" applyBorder="1" applyAlignment="1">
      <alignment horizontal="right"/>
    </xf>
    <xf numFmtId="10" fontId="0" fillId="14" borderId="23" xfId="0" applyNumberFormat="1" applyFill="1" applyBorder="1"/>
    <xf numFmtId="10" fontId="0" fillId="14" borderId="42" xfId="0" applyNumberFormat="1" applyFill="1" applyBorder="1" applyAlignment="1">
      <alignment horizontal="right" vertical="center"/>
    </xf>
    <xf numFmtId="0" fontId="7" fillId="5" borderId="42" xfId="0" applyFont="1" applyFill="1" applyBorder="1" applyAlignment="1">
      <alignment horizontal="left" vertical="center"/>
    </xf>
    <xf numFmtId="11" fontId="0" fillId="4" borderId="41" xfId="0" applyNumberFormat="1" applyFill="1" applyBorder="1" applyAlignment="1">
      <alignment horizontal="right" vertical="center"/>
    </xf>
    <xf numFmtId="0" fontId="0" fillId="4" borderId="64" xfId="0" applyFill="1" applyBorder="1" applyAlignment="1">
      <alignment horizontal="right" vertical="center"/>
    </xf>
    <xf numFmtId="11" fontId="0" fillId="5" borderId="41" xfId="0" applyNumberFormat="1" applyFill="1" applyBorder="1" applyAlignment="1">
      <alignment horizontal="right" vertical="center"/>
    </xf>
    <xf numFmtId="0" fontId="0" fillId="5" borderId="64" xfId="0" applyFill="1" applyBorder="1" applyAlignment="1">
      <alignment horizontal="right" vertical="center"/>
    </xf>
    <xf numFmtId="0" fontId="0" fillId="3" borderId="38" xfId="0" applyFill="1" applyBorder="1" applyAlignment="1">
      <alignment horizontal="left"/>
    </xf>
    <xf numFmtId="0" fontId="7" fillId="4" borderId="42" xfId="0" applyFont="1" applyFill="1" applyBorder="1" applyAlignment="1">
      <alignment horizontal="right" vertical="center"/>
    </xf>
    <xf numFmtId="0" fontId="0" fillId="3" borderId="41" xfId="0" applyFill="1" applyBorder="1" applyAlignment="1">
      <alignment horizontal="left" vertical="center"/>
    </xf>
    <xf numFmtId="11" fontId="0" fillId="20" borderId="41" xfId="0" applyNumberFormat="1" applyFill="1" applyBorder="1" applyAlignment="1">
      <alignment horizontal="right" vertical="center"/>
    </xf>
    <xf numFmtId="0" fontId="0" fillId="20" borderId="64" xfId="0" applyFill="1" applyBorder="1" applyAlignment="1">
      <alignment horizontal="right" vertical="center"/>
    </xf>
    <xf numFmtId="0" fontId="0" fillId="3" borderId="75" xfId="0" applyFill="1" applyBorder="1" applyAlignment="1">
      <alignment vertical="center"/>
    </xf>
    <xf numFmtId="0" fontId="0" fillId="3" borderId="48" xfId="0" applyFill="1" applyBorder="1" applyAlignment="1">
      <alignment vertical="center"/>
    </xf>
    <xf numFmtId="0" fontId="0" fillId="3" borderId="56" xfId="0" applyFill="1" applyBorder="1" applyAlignment="1">
      <alignment vertical="center"/>
    </xf>
    <xf numFmtId="11" fontId="0" fillId="3" borderId="56" xfId="0" applyNumberFormat="1" applyFill="1" applyBorder="1" applyAlignment="1">
      <alignment horizontal="right" vertical="center"/>
    </xf>
    <xf numFmtId="11" fontId="0" fillId="3" borderId="51" xfId="0" applyNumberFormat="1" applyFill="1" applyBorder="1" applyAlignment="1">
      <alignment horizontal="right" vertical="center"/>
    </xf>
    <xf numFmtId="0" fontId="0" fillId="4" borderId="38" xfId="0" applyFill="1" applyBorder="1" applyAlignment="1">
      <alignment horizontal="left"/>
    </xf>
    <xf numFmtId="0" fontId="0" fillId="3" borderId="46" xfId="0" applyFill="1" applyBorder="1" applyAlignment="1">
      <alignment vertical="center"/>
    </xf>
    <xf numFmtId="0" fontId="0" fillId="3" borderId="55" xfId="0" applyFill="1" applyBorder="1" applyAlignment="1">
      <alignment vertical="center"/>
    </xf>
    <xf numFmtId="11" fontId="0" fillId="3" borderId="55" xfId="0" applyNumberFormat="1" applyFill="1" applyBorder="1" applyAlignment="1">
      <alignment horizontal="right" vertical="center"/>
    </xf>
    <xf numFmtId="0" fontId="0" fillId="3" borderId="49" xfId="0" applyFill="1" applyBorder="1" applyAlignment="1">
      <alignment horizontal="right" vertical="center"/>
    </xf>
    <xf numFmtId="0" fontId="0" fillId="3" borderId="51" xfId="0" applyFill="1" applyBorder="1" applyAlignment="1">
      <alignment horizontal="right" vertical="center"/>
    </xf>
    <xf numFmtId="11" fontId="7" fillId="3" borderId="55" xfId="0" applyNumberFormat="1" applyFont="1" applyFill="1" applyBorder="1" applyAlignment="1">
      <alignment horizontal="right" vertical="center"/>
    </xf>
    <xf numFmtId="0" fontId="7" fillId="3" borderId="49" xfId="0" applyFont="1" applyFill="1" applyBorder="1" applyAlignment="1">
      <alignment horizontal="right" vertical="center"/>
    </xf>
    <xf numFmtId="0" fontId="7" fillId="3" borderId="56" xfId="0" applyFont="1" applyFill="1" applyBorder="1" applyAlignment="1">
      <alignment vertical="center"/>
    </xf>
    <xf numFmtId="11" fontId="7" fillId="3" borderId="56" xfId="0" applyNumberFormat="1" applyFont="1" applyFill="1" applyBorder="1" applyAlignment="1">
      <alignment horizontal="right" vertical="center"/>
    </xf>
    <xf numFmtId="0" fontId="7" fillId="3" borderId="51" xfId="0" applyFont="1" applyFill="1" applyBorder="1" applyAlignment="1">
      <alignment horizontal="right" vertical="center"/>
    </xf>
    <xf numFmtId="11" fontId="0" fillId="3" borderId="67" xfId="0" applyNumberFormat="1" applyFill="1" applyBorder="1" applyAlignment="1">
      <alignment horizontal="right" vertical="center"/>
    </xf>
    <xf numFmtId="11" fontId="0" fillId="3" borderId="49" xfId="0" applyNumberFormat="1" applyFill="1" applyBorder="1" applyAlignment="1">
      <alignment horizontal="right" vertical="center"/>
    </xf>
    <xf numFmtId="0" fontId="0" fillId="3" borderId="24" xfId="0" applyFill="1" applyBorder="1" applyAlignment="1">
      <alignment vertical="center"/>
    </xf>
    <xf numFmtId="0" fontId="0" fillId="3" borderId="69" xfId="0" applyFill="1" applyBorder="1" applyAlignment="1">
      <alignment vertical="center"/>
    </xf>
    <xf numFmtId="0" fontId="0" fillId="3" borderId="66" xfId="0" applyFill="1" applyBorder="1" applyAlignment="1">
      <alignment vertical="center"/>
    </xf>
    <xf numFmtId="11" fontId="0" fillId="3" borderId="69" xfId="0" applyNumberFormat="1" applyFill="1" applyBorder="1" applyAlignment="1">
      <alignment horizontal="right" vertical="center"/>
    </xf>
    <xf numFmtId="11" fontId="0" fillId="3" borderId="17" xfId="0" applyNumberFormat="1" applyFill="1" applyBorder="1" applyAlignment="1">
      <alignment horizontal="right" vertical="center"/>
    </xf>
    <xf numFmtId="0" fontId="0" fillId="3" borderId="9" xfId="0" applyFill="1" applyBorder="1" applyAlignment="1">
      <alignment vertical="center"/>
    </xf>
    <xf numFmtId="0" fontId="0" fillId="3" borderId="54" xfId="0" applyFill="1" applyBorder="1" applyAlignment="1">
      <alignment vertical="center"/>
    </xf>
    <xf numFmtId="0" fontId="0" fillId="3" borderId="33" xfId="0" applyFill="1" applyBorder="1" applyAlignment="1">
      <alignment vertical="center"/>
    </xf>
    <xf numFmtId="11" fontId="0" fillId="3" borderId="54" xfId="0" applyNumberFormat="1" applyFill="1" applyBorder="1" applyAlignment="1">
      <alignment horizontal="right" vertical="center"/>
    </xf>
    <xf numFmtId="11" fontId="0" fillId="3" borderId="45" xfId="0" applyNumberFormat="1" applyFill="1" applyBorder="1" applyAlignment="1">
      <alignment horizontal="right" vertical="center"/>
    </xf>
    <xf numFmtId="0" fontId="0" fillId="4" borderId="46" xfId="0" applyFill="1" applyBorder="1" applyAlignment="1">
      <alignment vertical="center"/>
    </xf>
    <xf numFmtId="0" fontId="0" fillId="4" borderId="67" xfId="0" applyFill="1" applyBorder="1" applyAlignment="1">
      <alignment vertical="center"/>
    </xf>
    <xf numFmtId="0" fontId="0" fillId="4" borderId="55" xfId="0" applyFill="1" applyBorder="1" applyAlignment="1">
      <alignment vertical="center"/>
    </xf>
    <xf numFmtId="11" fontId="0" fillId="4" borderId="55" xfId="0" applyNumberFormat="1" applyFill="1" applyBorder="1" applyAlignment="1">
      <alignment horizontal="right" vertical="center"/>
    </xf>
    <xf numFmtId="11" fontId="0" fillId="4" borderId="49" xfId="0" applyNumberFormat="1" applyFill="1" applyBorder="1" applyAlignment="1">
      <alignment horizontal="right" vertical="center"/>
    </xf>
    <xf numFmtId="11" fontId="0" fillId="4" borderId="44" xfId="0" applyNumberFormat="1" applyFill="1" applyBorder="1" applyAlignment="1">
      <alignment horizontal="right" vertical="center"/>
    </xf>
    <xf numFmtId="11" fontId="0" fillId="4" borderId="64" xfId="0" applyNumberFormat="1" applyFill="1" applyBorder="1" applyAlignment="1">
      <alignment horizontal="right" vertical="center"/>
    </xf>
    <xf numFmtId="11" fontId="0" fillId="4" borderId="67" xfId="0" applyNumberFormat="1" applyFill="1" applyBorder="1" applyAlignment="1">
      <alignment horizontal="right" vertical="center"/>
    </xf>
    <xf numFmtId="0" fontId="0" fillId="4" borderId="60" xfId="0" applyFill="1" applyBorder="1" applyAlignment="1">
      <alignment vertical="center"/>
    </xf>
    <xf numFmtId="11" fontId="0" fillId="4" borderId="68" xfId="0" applyNumberFormat="1" applyFill="1" applyBorder="1" applyAlignment="1">
      <alignment horizontal="right" vertical="center"/>
    </xf>
    <xf numFmtId="0" fontId="0" fillId="4" borderId="49" xfId="0" applyFill="1" applyBorder="1" applyAlignment="1">
      <alignment horizontal="right" vertical="center"/>
    </xf>
    <xf numFmtId="0" fontId="0" fillId="5" borderId="61" xfId="0" applyFill="1" applyBorder="1" applyAlignment="1">
      <alignment vertical="center"/>
    </xf>
    <xf numFmtId="0" fontId="0" fillId="4" borderId="9" xfId="0" applyFill="1" applyBorder="1"/>
    <xf numFmtId="0" fontId="0" fillId="4" borderId="33" xfId="0" applyFill="1" applyBorder="1"/>
    <xf numFmtId="0" fontId="0" fillId="4" borderId="54" xfId="0" applyFill="1" applyBorder="1" applyAlignment="1">
      <alignment vertical="center"/>
    </xf>
    <xf numFmtId="11" fontId="0" fillId="4" borderId="54" xfId="0" applyNumberFormat="1" applyFill="1" applyBorder="1"/>
    <xf numFmtId="0" fontId="0" fillId="4" borderId="45" xfId="0" applyFill="1" applyBorder="1" applyAlignment="1">
      <alignment horizontal="right"/>
    </xf>
    <xf numFmtId="11" fontId="0" fillId="5" borderId="44" xfId="0" applyNumberFormat="1" applyFill="1" applyBorder="1" applyAlignment="1">
      <alignment horizontal="right" vertical="center"/>
    </xf>
    <xf numFmtId="0" fontId="0" fillId="5" borderId="44" xfId="0" applyFill="1" applyBorder="1" applyAlignment="1">
      <alignment vertical="center"/>
    </xf>
    <xf numFmtId="0" fontId="0" fillId="5" borderId="68" xfId="0" applyFill="1" applyBorder="1" applyAlignment="1">
      <alignment horizontal="right" vertical="center"/>
    </xf>
    <xf numFmtId="11" fontId="0" fillId="5" borderId="38" xfId="0" applyNumberFormat="1" applyFill="1" applyBorder="1" applyAlignment="1">
      <alignment horizontal="right" vertical="center"/>
    </xf>
    <xf numFmtId="0" fontId="0" fillId="3" borderId="38" xfId="0" applyFill="1" applyBorder="1"/>
    <xf numFmtId="0" fontId="7" fillId="4" borderId="38" xfId="0" applyFont="1" applyFill="1" applyBorder="1" applyAlignment="1">
      <alignment horizontal="left" vertical="center"/>
    </xf>
    <xf numFmtId="0" fontId="0" fillId="3" borderId="74" xfId="0" applyFill="1" applyBorder="1" applyAlignment="1">
      <alignment vertical="center"/>
    </xf>
    <xf numFmtId="0" fontId="0" fillId="3" borderId="36" xfId="0" applyFill="1" applyBorder="1" applyAlignment="1">
      <alignment horizontal="left"/>
    </xf>
    <xf numFmtId="0" fontId="0" fillId="4" borderId="36" xfId="0" applyFill="1" applyBorder="1" applyAlignment="1">
      <alignment horizontal="left"/>
    </xf>
    <xf numFmtId="0" fontId="0" fillId="4" borderId="9" xfId="0" applyFill="1" applyBorder="1" applyAlignment="1">
      <alignment vertical="center"/>
    </xf>
    <xf numFmtId="11" fontId="0" fillId="4" borderId="54" xfId="0" applyNumberFormat="1" applyFill="1" applyBorder="1" applyAlignment="1">
      <alignment horizontal="right" vertical="center"/>
    </xf>
    <xf numFmtId="11" fontId="0" fillId="4" borderId="45" xfId="0" applyNumberFormat="1" applyFill="1" applyBorder="1" applyAlignment="1">
      <alignment horizontal="right" vertical="center"/>
    </xf>
    <xf numFmtId="10" fontId="0" fillId="0" borderId="55" xfId="0" applyNumberFormat="1" applyBorder="1"/>
    <xf numFmtId="11" fontId="0" fillId="0" borderId="59" xfId="0" applyNumberFormat="1" applyBorder="1" applyAlignment="1">
      <alignment horizontal="right" vertical="center"/>
    </xf>
    <xf numFmtId="0" fontId="0" fillId="5" borderId="69" xfId="0" applyFill="1" applyBorder="1" applyAlignment="1">
      <alignment vertical="center"/>
    </xf>
    <xf numFmtId="0" fontId="0" fillId="5" borderId="38" xfId="0" applyFill="1" applyBorder="1" applyAlignment="1">
      <alignment horizontal="left"/>
    </xf>
    <xf numFmtId="0" fontId="1" fillId="7" borderId="66" xfId="0" applyFont="1" applyFill="1" applyBorder="1" applyAlignment="1">
      <alignment horizontal="left" vertical="center"/>
    </xf>
    <xf numFmtId="0" fontId="1" fillId="7" borderId="69" xfId="0" applyFont="1" applyFill="1" applyBorder="1" applyAlignment="1">
      <alignment vertical="center"/>
    </xf>
    <xf numFmtId="0" fontId="1" fillId="7" borderId="69" xfId="0" applyFont="1" applyFill="1" applyBorder="1" applyAlignment="1">
      <alignment horizontal="right" vertical="center"/>
    </xf>
    <xf numFmtId="0" fontId="1" fillId="7" borderId="17" xfId="0" applyFont="1" applyFill="1" applyBorder="1" applyAlignment="1">
      <alignment horizontal="right" vertical="center"/>
    </xf>
    <xf numFmtId="0" fontId="1" fillId="14" borderId="16" xfId="0" applyFont="1" applyFill="1" applyBorder="1" applyAlignment="1">
      <alignment horizontal="center"/>
    </xf>
    <xf numFmtId="0" fontId="0" fillId="22" borderId="15" xfId="0" applyFill="1" applyBorder="1" applyAlignment="1">
      <alignment horizontal="center"/>
    </xf>
    <xf numFmtId="0" fontId="0" fillId="22" borderId="10" xfId="0" applyFill="1" applyBorder="1" applyAlignment="1">
      <alignment horizontal="center"/>
    </xf>
    <xf numFmtId="0" fontId="1" fillId="2" borderId="46" xfId="0" applyFont="1" applyFill="1" applyBorder="1" applyAlignment="1">
      <alignment vertical="center"/>
    </xf>
    <xf numFmtId="0" fontId="1" fillId="2" borderId="65" xfId="0" applyFont="1" applyFill="1" applyBorder="1" applyAlignment="1">
      <alignment vertical="center"/>
    </xf>
    <xf numFmtId="0" fontId="1" fillId="2" borderId="24" xfId="0" applyFont="1" applyFill="1" applyBorder="1" applyAlignment="1">
      <alignment vertical="center"/>
    </xf>
    <xf numFmtId="0" fontId="7" fillId="7" borderId="47" xfId="0" applyFont="1" applyFill="1" applyBorder="1" applyAlignment="1">
      <alignment vertical="center"/>
    </xf>
    <xf numFmtId="0" fontId="0" fillId="7" borderId="42" xfId="0" applyFill="1" applyBorder="1" applyAlignment="1">
      <alignment vertical="center"/>
    </xf>
    <xf numFmtId="0" fontId="7" fillId="7" borderId="42" xfId="0" applyFont="1" applyFill="1" applyBorder="1" applyAlignment="1">
      <alignment vertical="center"/>
    </xf>
    <xf numFmtId="0" fontId="0" fillId="7" borderId="42" xfId="0" applyFill="1" applyBorder="1" applyAlignment="1">
      <alignment horizontal="right" vertical="center"/>
    </xf>
    <xf numFmtId="0" fontId="0" fillId="7" borderId="50" xfId="0" applyFill="1" applyBorder="1" applyAlignment="1">
      <alignment horizontal="right" vertical="center"/>
    </xf>
    <xf numFmtId="0" fontId="0" fillId="7" borderId="47" xfId="0" applyFill="1" applyBorder="1" applyAlignment="1">
      <alignment vertical="center"/>
    </xf>
    <xf numFmtId="0" fontId="0" fillId="7" borderId="38" xfId="0" applyFill="1" applyBorder="1" applyAlignment="1">
      <alignment vertical="center"/>
    </xf>
    <xf numFmtId="0" fontId="0" fillId="7" borderId="38" xfId="0" applyFill="1" applyBorder="1" applyAlignment="1">
      <alignment horizontal="right" vertical="center"/>
    </xf>
    <xf numFmtId="0" fontId="0" fillId="7" borderId="59" xfId="0" applyFill="1" applyBorder="1" applyAlignment="1">
      <alignment horizontal="right" vertical="center"/>
    </xf>
    <xf numFmtId="11" fontId="0" fillId="7" borderId="42" xfId="0" applyNumberFormat="1" applyFill="1" applyBorder="1" applyAlignment="1">
      <alignment horizontal="right" vertical="center"/>
    </xf>
    <xf numFmtId="0" fontId="0" fillId="7" borderId="48" xfId="0" applyFill="1" applyBorder="1" applyAlignment="1">
      <alignment vertical="center"/>
    </xf>
    <xf numFmtId="0" fontId="0" fillId="7" borderId="56" xfId="0" applyFill="1" applyBorder="1" applyAlignment="1">
      <alignment vertical="center"/>
    </xf>
    <xf numFmtId="0" fontId="7" fillId="7" borderId="56" xfId="0" applyFont="1" applyFill="1" applyBorder="1" applyAlignment="1">
      <alignment vertical="center"/>
    </xf>
    <xf numFmtId="11" fontId="0" fillId="7" borderId="56" xfId="0" applyNumberFormat="1" applyFill="1" applyBorder="1" applyAlignment="1">
      <alignment horizontal="right" vertical="center"/>
    </xf>
    <xf numFmtId="0" fontId="0" fillId="7" borderId="51" xfId="0" applyFill="1" applyBorder="1" applyAlignment="1">
      <alignment horizontal="right" vertical="center"/>
    </xf>
    <xf numFmtId="168" fontId="44" fillId="2" borderId="42" xfId="0" applyNumberFormat="1" applyFont="1" applyFill="1" applyBorder="1" applyAlignment="1">
      <alignment horizontal="left" vertical="center" wrapText="1" readingOrder="1"/>
    </xf>
    <xf numFmtId="168" fontId="38" fillId="2" borderId="42" xfId="0" applyNumberFormat="1" applyFont="1" applyFill="1" applyBorder="1" applyAlignment="1">
      <alignment horizontal="left" vertical="center" wrapText="1" readingOrder="1"/>
    </xf>
    <xf numFmtId="0" fontId="0" fillId="14" borderId="52" xfId="0" applyFill="1" applyBorder="1"/>
    <xf numFmtId="0" fontId="0" fillId="14" borderId="32" xfId="0" applyFill="1" applyBorder="1" applyAlignment="1">
      <alignment horizontal="right"/>
    </xf>
    <xf numFmtId="0" fontId="0" fillId="12" borderId="7" xfId="0" applyFill="1" applyBorder="1" applyAlignment="1">
      <alignment horizontal="left" vertical="center"/>
    </xf>
    <xf numFmtId="0" fontId="0" fillId="12" borderId="29" xfId="0" applyFill="1" applyBorder="1"/>
    <xf numFmtId="0" fontId="0" fillId="12" borderId="23" xfId="0" applyFill="1" applyBorder="1"/>
    <xf numFmtId="0" fontId="5" fillId="12" borderId="54" xfId="0" applyFont="1" applyFill="1" applyBorder="1" applyAlignment="1">
      <alignment horizontal="center" vertical="center" wrapText="1"/>
    </xf>
    <xf numFmtId="0" fontId="14" fillId="22" borderId="46" xfId="0" applyFont="1" applyFill="1" applyBorder="1" applyAlignment="1">
      <alignment horizontal="center" vertical="center"/>
    </xf>
    <xf numFmtId="0" fontId="11" fillId="22" borderId="55" xfId="0" applyFont="1" applyFill="1" applyBorder="1" applyAlignment="1">
      <alignment horizontal="center" vertical="center"/>
    </xf>
    <xf numFmtId="0" fontId="1" fillId="22" borderId="47" xfId="0" applyFont="1" applyFill="1" applyBorder="1" applyAlignment="1">
      <alignment horizontal="center" vertical="center"/>
    </xf>
    <xf numFmtId="0" fontId="11" fillId="22" borderId="42" xfId="0" applyFont="1" applyFill="1" applyBorder="1" applyAlignment="1">
      <alignment horizontal="center" vertical="center"/>
    </xf>
    <xf numFmtId="0" fontId="1" fillId="22" borderId="48" xfId="0" applyFont="1" applyFill="1" applyBorder="1" applyAlignment="1">
      <alignment horizontal="center" vertical="center"/>
    </xf>
    <xf numFmtId="0" fontId="11" fillId="22" borderId="56" xfId="0" applyFont="1" applyFill="1" applyBorder="1" applyAlignment="1">
      <alignment horizontal="center" vertical="center"/>
    </xf>
    <xf numFmtId="168" fontId="11" fillId="22" borderId="55" xfId="0" applyNumberFormat="1" applyFont="1" applyFill="1" applyBorder="1" applyAlignment="1">
      <alignment horizontal="center" vertical="center"/>
    </xf>
    <xf numFmtId="0" fontId="14" fillId="22" borderId="47" xfId="0" applyFont="1" applyFill="1" applyBorder="1" applyAlignment="1">
      <alignment horizontal="center" vertical="center"/>
    </xf>
    <xf numFmtId="168" fontId="11" fillId="22" borderId="42" xfId="0" applyNumberFormat="1" applyFont="1" applyFill="1" applyBorder="1" applyAlignment="1">
      <alignment horizontal="center" vertical="center"/>
    </xf>
    <xf numFmtId="0" fontId="14" fillId="22" borderId="48" xfId="0" applyFont="1" applyFill="1" applyBorder="1" applyAlignment="1">
      <alignment horizontal="center" vertical="center"/>
    </xf>
    <xf numFmtId="168" fontId="11" fillId="22" borderId="56" xfId="0" applyNumberFormat="1" applyFont="1" applyFill="1" applyBorder="1" applyAlignment="1">
      <alignment horizontal="center" vertical="center"/>
    </xf>
    <xf numFmtId="168" fontId="11" fillId="22" borderId="49" xfId="0" applyNumberFormat="1" applyFont="1" applyFill="1" applyBorder="1" applyAlignment="1">
      <alignment horizontal="center" vertical="center"/>
    </xf>
    <xf numFmtId="168" fontId="11" fillId="22" borderId="50" xfId="0" applyNumberFormat="1" applyFont="1" applyFill="1" applyBorder="1" applyAlignment="1">
      <alignment horizontal="center" vertical="center"/>
    </xf>
    <xf numFmtId="168" fontId="11" fillId="22" borderId="51" xfId="0" applyNumberFormat="1" applyFont="1" applyFill="1" applyBorder="1" applyAlignment="1">
      <alignment horizontal="center" vertical="center"/>
    </xf>
    <xf numFmtId="0" fontId="14" fillId="22" borderId="60" xfId="0" applyFont="1" applyFill="1" applyBorder="1" applyAlignment="1">
      <alignment horizontal="center" vertical="center"/>
    </xf>
    <xf numFmtId="0" fontId="11" fillId="22" borderId="67" xfId="0" applyFont="1" applyFill="1" applyBorder="1" applyAlignment="1">
      <alignment horizontal="center" vertical="center"/>
    </xf>
    <xf numFmtId="168" fontId="11" fillId="22" borderId="67" xfId="0" applyNumberFormat="1" applyFont="1" applyFill="1" applyBorder="1" applyAlignment="1">
      <alignment horizontal="center" vertical="center"/>
    </xf>
    <xf numFmtId="0" fontId="14" fillId="22" borderId="65" xfId="0" applyFont="1" applyFill="1" applyBorder="1" applyAlignment="1">
      <alignment horizontal="center" vertical="center"/>
    </xf>
    <xf numFmtId="0" fontId="11" fillId="22" borderId="41" xfId="0" applyFont="1" applyFill="1" applyBorder="1" applyAlignment="1">
      <alignment horizontal="center" vertical="center"/>
    </xf>
    <xf numFmtId="168" fontId="11" fillId="22" borderId="41" xfId="0" applyNumberFormat="1" applyFont="1" applyFill="1" applyBorder="1" applyAlignment="1">
      <alignment horizontal="center" vertical="center"/>
    </xf>
    <xf numFmtId="0" fontId="14" fillId="22" borderId="24" xfId="0" applyFont="1" applyFill="1" applyBorder="1" applyAlignment="1">
      <alignment horizontal="center" vertical="center"/>
    </xf>
    <xf numFmtId="0" fontId="11" fillId="22" borderId="69" xfId="0" applyFont="1" applyFill="1" applyBorder="1" applyAlignment="1">
      <alignment horizontal="center" vertical="center"/>
    </xf>
    <xf numFmtId="168" fontId="11" fillId="22" borderId="69" xfId="0" applyNumberFormat="1" applyFont="1" applyFill="1" applyBorder="1" applyAlignment="1">
      <alignment horizontal="center" vertical="center"/>
    </xf>
    <xf numFmtId="2" fontId="11" fillId="22" borderId="55" xfId="0" applyNumberFormat="1" applyFont="1" applyFill="1" applyBorder="1" applyAlignment="1">
      <alignment horizontal="center" vertical="center"/>
    </xf>
    <xf numFmtId="2" fontId="11" fillId="22" borderId="42" xfId="0" applyNumberFormat="1" applyFont="1" applyFill="1" applyBorder="1" applyAlignment="1">
      <alignment horizontal="center" vertical="center"/>
    </xf>
    <xf numFmtId="2" fontId="11" fillId="22" borderId="56" xfId="0" applyNumberFormat="1" applyFont="1" applyFill="1" applyBorder="1" applyAlignment="1">
      <alignment horizontal="center" vertical="center"/>
    </xf>
    <xf numFmtId="0" fontId="11" fillId="22" borderId="42" xfId="0" applyFont="1" applyFill="1" applyBorder="1" applyAlignment="1">
      <alignment horizontal="center" vertical="center" wrapText="1"/>
    </xf>
    <xf numFmtId="2" fontId="11" fillId="22" borderId="42" xfId="0" applyNumberFormat="1" applyFont="1" applyFill="1" applyBorder="1" applyAlignment="1">
      <alignment horizontal="center" vertical="center" wrapText="1"/>
    </xf>
    <xf numFmtId="2" fontId="11" fillId="22" borderId="41" xfId="0" applyNumberFormat="1" applyFont="1" applyFill="1" applyBorder="1" applyAlignment="1">
      <alignment horizontal="center" vertical="center"/>
    </xf>
    <xf numFmtId="0" fontId="14" fillId="22" borderId="58" xfId="0" applyFont="1" applyFill="1" applyBorder="1" applyAlignment="1">
      <alignment horizontal="center" vertical="center"/>
    </xf>
    <xf numFmtId="0" fontId="11" fillId="22" borderId="38" xfId="0" applyFont="1" applyFill="1" applyBorder="1" applyAlignment="1">
      <alignment horizontal="center" vertical="center"/>
    </xf>
    <xf numFmtId="2" fontId="11" fillId="22" borderId="38" xfId="0" applyNumberFormat="1" applyFont="1" applyFill="1" applyBorder="1" applyAlignment="1">
      <alignment horizontal="center" vertical="center"/>
    </xf>
    <xf numFmtId="0" fontId="11" fillId="22" borderId="54" xfId="0" applyFont="1" applyFill="1" applyBorder="1" applyAlignment="1">
      <alignment horizontal="center" vertical="center"/>
    </xf>
    <xf numFmtId="2" fontId="11" fillId="22" borderId="54" xfId="0" applyNumberFormat="1" applyFont="1" applyFill="1" applyBorder="1" applyAlignment="1">
      <alignment horizontal="center" vertical="center"/>
    </xf>
    <xf numFmtId="0" fontId="11" fillId="22" borderId="13" xfId="0" applyFont="1" applyFill="1" applyBorder="1" applyAlignment="1">
      <alignment horizontal="center"/>
    </xf>
    <xf numFmtId="0" fontId="11" fillId="22" borderId="14" xfId="0" applyFont="1" applyFill="1" applyBorder="1" applyAlignment="1">
      <alignment horizontal="center"/>
    </xf>
    <xf numFmtId="0" fontId="11" fillId="0" borderId="0" xfId="0" applyFont="1"/>
    <xf numFmtId="0" fontId="11" fillId="0" borderId="0" xfId="0" applyFont="1" applyAlignment="1">
      <alignment horizontal="left"/>
    </xf>
    <xf numFmtId="0" fontId="6" fillId="0" borderId="0" xfId="0" applyFont="1"/>
    <xf numFmtId="0" fontId="53" fillId="0" borderId="0" xfId="0" applyFont="1"/>
    <xf numFmtId="0" fontId="50" fillId="12" borderId="12" xfId="0" applyFont="1" applyFill="1" applyBorder="1" applyAlignment="1">
      <alignment horizontal="center"/>
    </xf>
    <xf numFmtId="0" fontId="7" fillId="14" borderId="42" xfId="0" applyFont="1" applyFill="1" applyBorder="1" applyAlignment="1">
      <alignment vertical="center"/>
    </xf>
    <xf numFmtId="10" fontId="0" fillId="14" borderId="39" xfId="0" applyNumberFormat="1" applyFill="1" applyBorder="1" applyAlignment="1">
      <alignment horizontal="right" vertical="center"/>
    </xf>
    <xf numFmtId="168" fontId="11" fillId="22" borderId="71" xfId="0" applyNumberFormat="1" applyFont="1" applyFill="1" applyBorder="1" applyAlignment="1">
      <alignment horizontal="center" vertical="center"/>
    </xf>
    <xf numFmtId="168" fontId="11" fillId="22" borderId="64" xfId="0" applyNumberFormat="1" applyFont="1" applyFill="1" applyBorder="1" applyAlignment="1">
      <alignment horizontal="center" vertical="center"/>
    </xf>
    <xf numFmtId="168" fontId="11" fillId="22" borderId="17" xfId="0" applyNumberFormat="1" applyFont="1" applyFill="1" applyBorder="1" applyAlignment="1">
      <alignment horizontal="center" vertical="center"/>
    </xf>
    <xf numFmtId="168" fontId="11" fillId="22" borderId="50" xfId="0" applyNumberFormat="1" applyFont="1" applyFill="1" applyBorder="1" applyAlignment="1">
      <alignment horizontal="center" vertical="center" wrapText="1"/>
    </xf>
    <xf numFmtId="168" fontId="11" fillId="22" borderId="59" xfId="0" applyNumberFormat="1" applyFont="1" applyFill="1" applyBorder="1" applyAlignment="1">
      <alignment horizontal="center" vertical="center"/>
    </xf>
    <xf numFmtId="0" fontId="14" fillId="22" borderId="9" xfId="0" applyFont="1" applyFill="1" applyBorder="1" applyAlignment="1">
      <alignment horizontal="center" vertical="center"/>
    </xf>
    <xf numFmtId="168" fontId="11" fillId="22" borderId="45" xfId="0" applyNumberFormat="1" applyFont="1" applyFill="1" applyBorder="1" applyAlignment="1">
      <alignment horizontal="center" vertical="center"/>
    </xf>
    <xf numFmtId="168" fontId="0" fillId="0" borderId="49" xfId="0" applyNumberFormat="1" applyBorder="1"/>
    <xf numFmtId="2" fontId="0" fillId="0" borderId="50" xfId="0" applyNumberFormat="1" applyBorder="1"/>
    <xf numFmtId="2" fontId="0" fillId="0" borderId="51" xfId="0" applyNumberFormat="1" applyBorder="1"/>
    <xf numFmtId="0" fontId="1" fillId="12" borderId="5" xfId="0" applyFont="1" applyFill="1" applyBorder="1" applyAlignment="1">
      <alignment vertical="center"/>
    </xf>
    <xf numFmtId="0" fontId="1" fillId="12" borderId="7" xfId="0" applyFont="1" applyFill="1" applyBorder="1" applyAlignment="1">
      <alignment vertical="center"/>
    </xf>
    <xf numFmtId="0" fontId="1" fillId="12" borderId="10" xfId="0" applyFont="1" applyFill="1" applyBorder="1" applyAlignment="1">
      <alignment vertical="center"/>
    </xf>
    <xf numFmtId="0" fontId="1" fillId="12" borderId="11" xfId="0" applyFont="1" applyFill="1" applyBorder="1" applyAlignment="1">
      <alignment vertical="center"/>
    </xf>
    <xf numFmtId="0" fontId="1" fillId="12" borderId="15" xfId="0" applyFont="1" applyFill="1" applyBorder="1" applyAlignment="1">
      <alignment vertical="center"/>
    </xf>
    <xf numFmtId="0" fontId="1" fillId="12" borderId="16" xfId="0" applyFont="1" applyFill="1" applyBorder="1" applyAlignment="1">
      <alignment vertical="center"/>
    </xf>
    <xf numFmtId="0" fontId="1" fillId="12" borderId="10" xfId="0" applyFont="1" applyFill="1" applyBorder="1" applyAlignment="1">
      <alignment horizontal="center" vertical="center"/>
    </xf>
    <xf numFmtId="0" fontId="1" fillId="12" borderId="11" xfId="0" applyFont="1" applyFill="1" applyBorder="1" applyAlignment="1">
      <alignment horizontal="center" vertical="center"/>
    </xf>
    <xf numFmtId="0" fontId="1" fillId="12" borderId="15" xfId="0" applyFont="1" applyFill="1" applyBorder="1" applyAlignment="1">
      <alignment horizontal="center" vertical="center"/>
    </xf>
    <xf numFmtId="0" fontId="51" fillId="0" borderId="0" xfId="0" applyFont="1"/>
    <xf numFmtId="0" fontId="50" fillId="8" borderId="10" xfId="0" applyFont="1" applyFill="1" applyBorder="1" applyAlignment="1">
      <alignment horizontal="center" vertical="center" wrapText="1"/>
    </xf>
    <xf numFmtId="0" fontId="50" fillId="8" borderId="15" xfId="0" applyFont="1" applyFill="1" applyBorder="1" applyAlignment="1">
      <alignment horizontal="center" vertical="center" wrapText="1"/>
    </xf>
    <xf numFmtId="0" fontId="50" fillId="8" borderId="11" xfId="0" applyFont="1" applyFill="1" applyBorder="1" applyAlignment="1">
      <alignment horizontal="center" vertical="center" wrapText="1"/>
    </xf>
    <xf numFmtId="0" fontId="50" fillId="12" borderId="46" xfId="0" applyFont="1" applyFill="1" applyBorder="1" applyAlignment="1">
      <alignment horizontal="center"/>
    </xf>
    <xf numFmtId="0" fontId="50" fillId="12" borderId="55" xfId="0" applyFont="1" applyFill="1" applyBorder="1" applyAlignment="1">
      <alignment horizontal="center"/>
    </xf>
    <xf numFmtId="0" fontId="50" fillId="12" borderId="49" xfId="0" applyFont="1" applyFill="1" applyBorder="1" applyAlignment="1">
      <alignment horizontal="center"/>
    </xf>
    <xf numFmtId="0" fontId="10" fillId="0" borderId="47" xfId="1" applyFont="1" applyBorder="1" applyAlignment="1">
      <alignment horizontal="center"/>
    </xf>
    <xf numFmtId="0" fontId="10" fillId="0" borderId="42" xfId="1" applyFont="1" applyBorder="1" applyAlignment="1">
      <alignment horizontal="center"/>
    </xf>
    <xf numFmtId="0" fontId="10" fillId="0" borderId="50" xfId="1" applyFont="1" applyBorder="1" applyAlignment="1">
      <alignment horizontal="center"/>
    </xf>
    <xf numFmtId="0" fontId="10" fillId="0" borderId="47" xfId="1" applyFont="1" applyFill="1" applyBorder="1" applyAlignment="1">
      <alignment horizontal="center"/>
    </xf>
    <xf numFmtId="0" fontId="10" fillId="0" borderId="42" xfId="1" applyFont="1" applyFill="1" applyBorder="1" applyAlignment="1">
      <alignment horizontal="center"/>
    </xf>
    <xf numFmtId="0" fontId="10" fillId="0" borderId="50" xfId="1" applyFont="1" applyFill="1" applyBorder="1" applyAlignment="1">
      <alignment horizontal="center"/>
    </xf>
    <xf numFmtId="0" fontId="49" fillId="25" borderId="5" xfId="0" applyFont="1" applyFill="1" applyBorder="1" applyAlignment="1">
      <alignment horizontal="left" vertical="center" wrapText="1"/>
    </xf>
    <xf numFmtId="0" fontId="49" fillId="25" borderId="35" xfId="0" applyFont="1" applyFill="1" applyBorder="1" applyAlignment="1">
      <alignment horizontal="left" vertical="center" wrapText="1"/>
    </xf>
    <xf numFmtId="0" fontId="49" fillId="25" borderId="6" xfId="0" applyFont="1" applyFill="1" applyBorder="1" applyAlignment="1">
      <alignment horizontal="left" vertical="center" wrapText="1"/>
    </xf>
    <xf numFmtId="0" fontId="49" fillId="25" borderId="16" xfId="0" applyFont="1" applyFill="1" applyBorder="1" applyAlignment="1">
      <alignment horizontal="left" vertical="center" wrapText="1"/>
    </xf>
    <xf numFmtId="0" fontId="49" fillId="25" borderId="0" xfId="0" applyFont="1" applyFill="1" applyAlignment="1">
      <alignment horizontal="left" vertical="center" wrapText="1"/>
    </xf>
    <xf numFmtId="0" fontId="49" fillId="25" borderId="30" xfId="0" applyFont="1" applyFill="1" applyBorder="1" applyAlignment="1">
      <alignment horizontal="left" vertical="center" wrapText="1"/>
    </xf>
    <xf numFmtId="0" fontId="51" fillId="25" borderId="16" xfId="0" applyFont="1" applyFill="1" applyBorder="1" applyAlignment="1">
      <alignment horizontal="left" vertical="center" wrapText="1"/>
    </xf>
    <xf numFmtId="0" fontId="51" fillId="25" borderId="0" xfId="0" applyFont="1" applyFill="1" applyAlignment="1">
      <alignment horizontal="left" vertical="center" wrapText="1"/>
    </xf>
    <xf numFmtId="0" fontId="51" fillId="25" borderId="30" xfId="0" applyFont="1" applyFill="1" applyBorder="1" applyAlignment="1">
      <alignment horizontal="left" vertical="center" wrapText="1"/>
    </xf>
    <xf numFmtId="0" fontId="51" fillId="25" borderId="7" xfId="0" applyFont="1" applyFill="1" applyBorder="1" applyAlignment="1">
      <alignment horizontal="left" vertical="center" wrapText="1"/>
    </xf>
    <xf numFmtId="0" fontId="51" fillId="25" borderId="34" xfId="0" applyFont="1" applyFill="1" applyBorder="1" applyAlignment="1">
      <alignment horizontal="left" vertical="center" wrapText="1"/>
    </xf>
    <xf numFmtId="0" fontId="51" fillId="25" borderId="8" xfId="0" applyFont="1" applyFill="1" applyBorder="1" applyAlignment="1">
      <alignment horizontal="left" vertical="center" wrapText="1"/>
    </xf>
    <xf numFmtId="0" fontId="10" fillId="0" borderId="48" xfId="1" applyFont="1" applyFill="1" applyBorder="1" applyAlignment="1">
      <alignment horizontal="center"/>
    </xf>
    <xf numFmtId="0" fontId="10" fillId="0" borderId="56" xfId="1" applyFont="1" applyFill="1" applyBorder="1" applyAlignment="1">
      <alignment horizontal="center"/>
    </xf>
    <xf numFmtId="0" fontId="10" fillId="0" borderId="51" xfId="1" applyFont="1" applyFill="1" applyBorder="1" applyAlignment="1">
      <alignment horizontal="center"/>
    </xf>
    <xf numFmtId="0" fontId="0" fillId="14" borderId="22" xfId="0" applyFill="1" applyBorder="1" applyAlignment="1">
      <alignment horizontal="left"/>
    </xf>
    <xf numFmtId="0" fontId="0" fillId="14" borderId="28" xfId="0" applyFill="1" applyBorder="1" applyAlignment="1">
      <alignment horizontal="left"/>
    </xf>
    <xf numFmtId="0" fontId="1" fillId="8" borderId="5" xfId="0" applyFont="1" applyFill="1" applyBorder="1" applyAlignment="1">
      <alignment horizontal="left" vertical="center"/>
    </xf>
    <xf numFmtId="0" fontId="1" fillId="8" borderId="16" xfId="0" applyFont="1" applyFill="1" applyBorder="1" applyAlignment="1">
      <alignment horizontal="left" vertical="center"/>
    </xf>
    <xf numFmtId="0" fontId="1" fillId="8" borderId="7" xfId="0" applyFont="1" applyFill="1" applyBorder="1" applyAlignment="1">
      <alignment horizontal="left" vertical="center"/>
    </xf>
    <xf numFmtId="0" fontId="0" fillId="12" borderId="22" xfId="0" applyFill="1" applyBorder="1" applyAlignment="1">
      <alignment horizontal="left" vertical="center"/>
    </xf>
    <xf numFmtId="0" fontId="0" fillId="12" borderId="28" xfId="0" applyFill="1" applyBorder="1" applyAlignment="1">
      <alignment horizontal="left" vertical="center"/>
    </xf>
    <xf numFmtId="0" fontId="0" fillId="14" borderId="22" xfId="0" applyFill="1" applyBorder="1" applyAlignment="1">
      <alignment horizontal="left" vertical="center"/>
    </xf>
    <xf numFmtId="0" fontId="0" fillId="14" borderId="28" xfId="0" applyFill="1" applyBorder="1" applyAlignment="1">
      <alignment horizontal="left" vertical="center"/>
    </xf>
    <xf numFmtId="0" fontId="0" fillId="12" borderId="22" xfId="0" applyFill="1" applyBorder="1" applyAlignment="1">
      <alignment horizontal="left"/>
    </xf>
    <xf numFmtId="0" fontId="0" fillId="12" borderId="28" xfId="0" applyFill="1" applyBorder="1" applyAlignment="1">
      <alignment horizontal="left"/>
    </xf>
    <xf numFmtId="0" fontId="0" fillId="14" borderId="60" xfId="0" applyFill="1" applyBorder="1" applyAlignment="1">
      <alignment horizontal="left" vertical="center"/>
    </xf>
    <xf numFmtId="0" fontId="0" fillId="14" borderId="61" xfId="0" applyFill="1" applyBorder="1" applyAlignment="1">
      <alignment horizontal="left" vertical="center"/>
    </xf>
    <xf numFmtId="0" fontId="0" fillId="14" borderId="65" xfId="0" applyFill="1" applyBorder="1" applyAlignment="1">
      <alignment horizontal="left" vertical="center"/>
    </xf>
    <xf numFmtId="0" fontId="0" fillId="9" borderId="22" xfId="0" applyFill="1" applyBorder="1" applyAlignment="1">
      <alignment horizontal="left" vertical="center"/>
    </xf>
    <xf numFmtId="0" fontId="0" fillId="9" borderId="28" xfId="0" applyFill="1" applyBorder="1" applyAlignment="1">
      <alignment horizontal="left" vertical="center"/>
    </xf>
    <xf numFmtId="0" fontId="1" fillId="8" borderId="4" xfId="0" applyFont="1" applyFill="1" applyBorder="1" applyAlignment="1">
      <alignment horizontal="left" vertical="center" wrapText="1"/>
    </xf>
    <xf numFmtId="0" fontId="1" fillId="8" borderId="3" xfId="0" applyFont="1" applyFill="1" applyBorder="1" applyAlignment="1">
      <alignment horizontal="left" vertical="center" wrapText="1"/>
    </xf>
    <xf numFmtId="0" fontId="0" fillId="14" borderId="5" xfId="0" applyFill="1" applyBorder="1" applyAlignment="1">
      <alignment horizontal="left" vertical="center"/>
    </xf>
    <xf numFmtId="0" fontId="0" fillId="14" borderId="6" xfId="0" applyFill="1" applyBorder="1" applyAlignment="1">
      <alignment horizontal="left" vertical="center"/>
    </xf>
    <xf numFmtId="0" fontId="0" fillId="14" borderId="16" xfId="0" applyFill="1" applyBorder="1" applyAlignment="1">
      <alignment horizontal="left" vertical="center"/>
    </xf>
    <xf numFmtId="0" fontId="0" fillId="14" borderId="30" xfId="0" applyFill="1" applyBorder="1" applyAlignment="1">
      <alignment horizontal="left" vertical="center"/>
    </xf>
    <xf numFmtId="0" fontId="0" fillId="14" borderId="23" xfId="0" applyFill="1" applyBorder="1" applyAlignment="1">
      <alignment horizontal="left"/>
    </xf>
    <xf numFmtId="0" fontId="0" fillId="14" borderId="29" xfId="0" applyFill="1" applyBorder="1" applyAlignment="1">
      <alignment horizontal="left"/>
    </xf>
    <xf numFmtId="0" fontId="0" fillId="12" borderId="23" xfId="0" applyFill="1" applyBorder="1" applyAlignment="1">
      <alignment horizontal="left"/>
    </xf>
    <xf numFmtId="0" fontId="0" fillId="12" borderId="29" xfId="0" applyFill="1" applyBorder="1" applyAlignment="1">
      <alignment horizontal="left"/>
    </xf>
    <xf numFmtId="0" fontId="0" fillId="14" borderId="58" xfId="0" applyFill="1" applyBorder="1" applyAlignment="1">
      <alignment horizontal="left" vertical="center"/>
    </xf>
    <xf numFmtId="0" fontId="0" fillId="12" borderId="58" xfId="0" applyFill="1" applyBorder="1" applyAlignment="1">
      <alignment horizontal="left" vertical="center"/>
    </xf>
    <xf numFmtId="0" fontId="0" fillId="12" borderId="65" xfId="0" applyFill="1" applyBorder="1" applyAlignment="1">
      <alignment horizontal="left" vertical="center"/>
    </xf>
    <xf numFmtId="0" fontId="0" fillId="14" borderId="52" xfId="0" applyFill="1" applyBorder="1" applyAlignment="1">
      <alignment horizontal="left"/>
    </xf>
    <xf numFmtId="0" fontId="0" fillId="14" borderId="53" xfId="0" applyFill="1" applyBorder="1" applyAlignment="1">
      <alignment horizontal="left"/>
    </xf>
    <xf numFmtId="0" fontId="1" fillId="12" borderId="2" xfId="0" applyFont="1" applyFill="1" applyBorder="1" applyAlignment="1">
      <alignment horizontal="center" vertical="center"/>
    </xf>
    <xf numFmtId="0" fontId="1" fillId="12" borderId="4" xfId="0" applyFont="1" applyFill="1" applyBorder="1" applyAlignment="1">
      <alignment horizontal="center" vertical="center"/>
    </xf>
    <xf numFmtId="167" fontId="1" fillId="22" borderId="2" xfId="0" applyNumberFormat="1" applyFont="1" applyFill="1" applyBorder="1" applyAlignment="1">
      <alignment horizontal="center" vertical="center"/>
    </xf>
    <xf numFmtId="167" fontId="1" fillId="22" borderId="4" xfId="0" applyNumberFormat="1" applyFont="1" applyFill="1" applyBorder="1" applyAlignment="1">
      <alignment horizontal="center" vertical="center"/>
    </xf>
    <xf numFmtId="167" fontId="1" fillId="22" borderId="3" xfId="0" applyNumberFormat="1" applyFont="1" applyFill="1" applyBorder="1" applyAlignment="1">
      <alignment horizontal="center" vertical="center"/>
    </xf>
    <xf numFmtId="0" fontId="1" fillId="22" borderId="2" xfId="0" applyFont="1" applyFill="1" applyBorder="1" applyAlignment="1">
      <alignment horizontal="center" vertical="center"/>
    </xf>
    <xf numFmtId="0" fontId="1" fillId="22" borderId="4" xfId="0" applyFont="1" applyFill="1" applyBorder="1" applyAlignment="1">
      <alignment horizontal="center" vertical="center"/>
    </xf>
    <xf numFmtId="0" fontId="1" fillId="22" borderId="3" xfId="0" applyFont="1" applyFill="1" applyBorder="1" applyAlignment="1">
      <alignment horizontal="center" vertical="center"/>
    </xf>
    <xf numFmtId="0" fontId="0" fillId="0" borderId="42" xfId="0" applyBorder="1" applyAlignment="1">
      <alignment horizontal="center" vertical="center"/>
    </xf>
    <xf numFmtId="168" fontId="0" fillId="0" borderId="42" xfId="0" applyNumberFormat="1" applyBorder="1" applyAlignment="1">
      <alignment horizontal="center"/>
    </xf>
    <xf numFmtId="164" fontId="0" fillId="0" borderId="42" xfId="0" applyNumberFormat="1" applyBorder="1" applyAlignment="1">
      <alignment horizontal="center"/>
    </xf>
    <xf numFmtId="0" fontId="20" fillId="6" borderId="2" xfId="0" applyFont="1" applyFill="1" applyBorder="1" applyAlignment="1">
      <alignment horizontal="left" vertical="center" wrapText="1"/>
    </xf>
    <xf numFmtId="0" fontId="20" fillId="6" borderId="4" xfId="0" applyFont="1" applyFill="1" applyBorder="1" applyAlignment="1">
      <alignment horizontal="left" vertical="center" wrapText="1"/>
    </xf>
    <xf numFmtId="0" fontId="20" fillId="6" borderId="3" xfId="0" applyFont="1" applyFill="1" applyBorder="1" applyAlignment="1">
      <alignment horizontal="left" vertical="center" wrapText="1"/>
    </xf>
    <xf numFmtId="0" fontId="1" fillId="2" borderId="47" xfId="0" applyFont="1" applyFill="1" applyBorder="1" applyAlignment="1">
      <alignment horizontal="left" vertical="center"/>
    </xf>
    <xf numFmtId="0" fontId="1" fillId="2" borderId="48" xfId="0" applyFont="1" applyFill="1" applyBorder="1" applyAlignment="1">
      <alignment horizontal="left" vertical="center"/>
    </xf>
    <xf numFmtId="0" fontId="20" fillId="6" borderId="2" xfId="0" applyFont="1" applyFill="1" applyBorder="1" applyAlignment="1">
      <alignment horizontal="left" vertical="center"/>
    </xf>
    <xf numFmtId="0" fontId="20" fillId="6" borderId="4" xfId="0" applyFont="1" applyFill="1" applyBorder="1" applyAlignment="1">
      <alignment horizontal="left" vertical="center"/>
    </xf>
    <xf numFmtId="0" fontId="20" fillId="6" borderId="3" xfId="0" applyFont="1" applyFill="1" applyBorder="1" applyAlignment="1">
      <alignment horizontal="left" vertical="center"/>
    </xf>
    <xf numFmtId="0" fontId="1" fillId="2" borderId="46" xfId="0" applyFont="1" applyFill="1" applyBorder="1" applyAlignment="1">
      <alignment horizontal="left" vertical="center"/>
    </xf>
    <xf numFmtId="0" fontId="20" fillId="12" borderId="2" xfId="0" applyFont="1" applyFill="1" applyBorder="1" applyAlignment="1">
      <alignment horizontal="left" vertical="center"/>
    </xf>
    <xf numFmtId="0" fontId="20" fillId="12" borderId="4" xfId="0" applyFont="1" applyFill="1" applyBorder="1" applyAlignment="1">
      <alignment horizontal="left" vertical="center"/>
    </xf>
    <xf numFmtId="0" fontId="20" fillId="12" borderId="3" xfId="0" applyFont="1" applyFill="1" applyBorder="1" applyAlignment="1">
      <alignment horizontal="left" vertical="center"/>
    </xf>
    <xf numFmtId="0" fontId="20" fillId="22" borderId="2" xfId="0" applyFont="1" applyFill="1" applyBorder="1" applyAlignment="1">
      <alignment horizontal="left" vertical="center"/>
    </xf>
    <xf numFmtId="0" fontId="20" fillId="22" borderId="4" xfId="0" applyFont="1" applyFill="1" applyBorder="1" applyAlignment="1">
      <alignment horizontal="left" vertical="center"/>
    </xf>
    <xf numFmtId="0" fontId="20" fillId="22" borderId="3" xfId="0" applyFont="1" applyFill="1" applyBorder="1" applyAlignment="1">
      <alignment horizontal="left" vertical="center"/>
    </xf>
    <xf numFmtId="11" fontId="24" fillId="0" borderId="0" xfId="0" applyNumberFormat="1" applyFont="1" applyAlignment="1">
      <alignment horizontal="center"/>
    </xf>
    <xf numFmtId="0" fontId="2" fillId="28" borderId="47" xfId="0" applyFont="1" applyFill="1" applyBorder="1" applyAlignment="1">
      <alignment horizontal="left" vertical="center"/>
    </xf>
    <xf numFmtId="0" fontId="1" fillId="6" borderId="47" xfId="0" applyFont="1" applyFill="1" applyBorder="1" applyAlignment="1">
      <alignment horizontal="left" vertical="center"/>
    </xf>
    <xf numFmtId="0" fontId="1" fillId="27" borderId="47" xfId="0" applyFont="1" applyFill="1" applyBorder="1" applyAlignment="1">
      <alignment horizontal="left" vertical="center"/>
    </xf>
    <xf numFmtId="0" fontId="1" fillId="27" borderId="48" xfId="0" applyFont="1" applyFill="1" applyBorder="1" applyAlignment="1">
      <alignment horizontal="left" vertical="center"/>
    </xf>
    <xf numFmtId="0" fontId="20" fillId="27" borderId="2" xfId="0" applyFont="1" applyFill="1" applyBorder="1" applyAlignment="1">
      <alignment horizontal="left" vertical="center"/>
    </xf>
    <xf numFmtId="0" fontId="20" fillId="27" borderId="4" xfId="0" applyFont="1" applyFill="1" applyBorder="1" applyAlignment="1">
      <alignment horizontal="left" vertical="center"/>
    </xf>
    <xf numFmtId="0" fontId="20" fillId="27" borderId="3" xfId="0" applyFont="1" applyFill="1" applyBorder="1" applyAlignment="1">
      <alignment horizontal="left" vertical="center"/>
    </xf>
    <xf numFmtId="0" fontId="12" fillId="21" borderId="10" xfId="0" applyFont="1" applyFill="1" applyBorder="1" applyAlignment="1">
      <alignment horizontal="center" vertical="center"/>
    </xf>
    <xf numFmtId="0" fontId="12" fillId="21" borderId="15" xfId="0" applyFont="1" applyFill="1" applyBorder="1" applyAlignment="1">
      <alignment horizontal="center" vertical="center"/>
    </xf>
    <xf numFmtId="0" fontId="12" fillId="21" borderId="11" xfId="0" applyFont="1" applyFill="1" applyBorder="1" applyAlignment="1">
      <alignment horizontal="center" vertical="center"/>
    </xf>
    <xf numFmtId="166" fontId="6" fillId="22" borderId="47" xfId="2" applyNumberFormat="1" applyFill="1" applyBorder="1" applyAlignment="1">
      <alignment horizontal="center" vertical="center" wrapText="1"/>
    </xf>
    <xf numFmtId="166" fontId="6" fillId="22" borderId="50" xfId="2" applyNumberFormat="1" applyFill="1" applyBorder="1" applyAlignment="1">
      <alignment horizontal="center" vertical="center" wrapText="1"/>
    </xf>
    <xf numFmtId="166" fontId="6" fillId="22" borderId="2" xfId="2" applyNumberFormat="1" applyFill="1" applyBorder="1" applyAlignment="1">
      <alignment horizontal="center" vertical="center" wrapText="1"/>
    </xf>
    <xf numFmtId="166" fontId="6" fillId="22" borderId="3" xfId="2" applyNumberFormat="1" applyFill="1" applyBorder="1" applyAlignment="1">
      <alignment horizontal="center" vertical="center" wrapText="1"/>
    </xf>
    <xf numFmtId="166" fontId="6" fillId="22" borderId="9" xfId="2" applyNumberFormat="1" applyFill="1" applyBorder="1" applyAlignment="1">
      <alignment horizontal="center" vertical="center" wrapText="1"/>
    </xf>
    <xf numFmtId="166" fontId="6" fillId="22" borderId="45" xfId="2" applyNumberFormat="1" applyFill="1" applyBorder="1" applyAlignment="1">
      <alignment horizontal="center" vertical="center" wrapText="1"/>
    </xf>
    <xf numFmtId="0" fontId="12" fillId="21" borderId="6" xfId="0" applyFont="1" applyFill="1" applyBorder="1" applyAlignment="1">
      <alignment horizontal="center" vertical="center"/>
    </xf>
    <xf numFmtId="0" fontId="12" fillId="21" borderId="30" xfId="0" applyFont="1" applyFill="1" applyBorder="1" applyAlignment="1">
      <alignment horizontal="center" vertical="center"/>
    </xf>
    <xf numFmtId="0" fontId="12" fillId="21" borderId="8" xfId="0" applyFont="1" applyFill="1" applyBorder="1" applyAlignment="1">
      <alignment horizontal="center" vertical="center"/>
    </xf>
    <xf numFmtId="0" fontId="14" fillId="12" borderId="5" xfId="0" applyFont="1" applyFill="1" applyBorder="1" applyAlignment="1">
      <alignment horizontal="center" vertical="center" wrapText="1"/>
    </xf>
    <xf numFmtId="0" fontId="14" fillId="12" borderId="16" xfId="0" applyFont="1" applyFill="1" applyBorder="1" applyAlignment="1">
      <alignment horizontal="center" vertical="center" wrapText="1"/>
    </xf>
    <xf numFmtId="0" fontId="14" fillId="12" borderId="7" xfId="0" applyFont="1" applyFill="1" applyBorder="1" applyAlignment="1">
      <alignment horizontal="center" vertical="center" wrapText="1"/>
    </xf>
    <xf numFmtId="0" fontId="14" fillId="12" borderId="5" xfId="0" applyFont="1" applyFill="1" applyBorder="1" applyAlignment="1">
      <alignment horizontal="center" vertical="center"/>
    </xf>
    <xf numFmtId="0" fontId="14" fillId="12" borderId="16" xfId="0" applyFont="1" applyFill="1" applyBorder="1" applyAlignment="1">
      <alignment horizontal="center" vertical="center"/>
    </xf>
    <xf numFmtId="0" fontId="14" fillId="12" borderId="7" xfId="0" applyFont="1" applyFill="1" applyBorder="1" applyAlignment="1">
      <alignment horizontal="center" vertical="center"/>
    </xf>
    <xf numFmtId="166" fontId="6" fillId="22" borderId="22" xfId="2" applyNumberFormat="1" applyFill="1" applyBorder="1" applyAlignment="1">
      <alignment horizontal="center" vertical="center" wrapText="1"/>
    </xf>
    <xf numFmtId="166" fontId="6" fillId="22" borderId="28" xfId="2" applyNumberFormat="1" applyFill="1" applyBorder="1" applyAlignment="1">
      <alignment horizontal="center" vertical="center" wrapText="1"/>
    </xf>
    <xf numFmtId="0" fontId="0" fillId="9" borderId="10" xfId="0" applyFill="1" applyBorder="1" applyAlignment="1">
      <alignment horizontal="center"/>
    </xf>
    <xf numFmtId="0" fontId="0" fillId="9" borderId="15" xfId="0" applyFill="1" applyBorder="1" applyAlignment="1">
      <alignment horizontal="center"/>
    </xf>
    <xf numFmtId="0" fontId="0" fillId="9" borderId="11" xfId="0" applyFill="1" applyBorder="1" applyAlignment="1">
      <alignment horizontal="center"/>
    </xf>
    <xf numFmtId="166" fontId="6" fillId="22" borderId="7" xfId="2" applyNumberFormat="1" applyFill="1" applyBorder="1" applyAlignment="1">
      <alignment horizontal="center" vertical="center" wrapText="1"/>
    </xf>
    <xf numFmtId="166" fontId="6" fillId="22" borderId="8" xfId="2" applyNumberFormat="1" applyFill="1" applyBorder="1" applyAlignment="1">
      <alignment horizontal="center" vertical="center" wrapText="1"/>
    </xf>
    <xf numFmtId="166" fontId="6" fillId="22" borderId="46" xfId="2" applyNumberFormat="1" applyFill="1" applyBorder="1" applyAlignment="1">
      <alignment horizontal="center" vertical="center" wrapText="1"/>
    </xf>
    <xf numFmtId="166" fontId="6" fillId="22" borderId="49" xfId="2" applyNumberFormat="1" applyFill="1" applyBorder="1" applyAlignment="1">
      <alignment horizontal="center" vertical="center" wrapText="1"/>
    </xf>
    <xf numFmtId="166" fontId="6" fillId="22" borderId="5" xfId="2" applyNumberFormat="1" applyFill="1" applyBorder="1" applyAlignment="1">
      <alignment horizontal="center" vertical="center" wrapText="1"/>
    </xf>
    <xf numFmtId="166" fontId="6" fillId="22" borderId="6" xfId="2" applyNumberFormat="1" applyFill="1" applyBorder="1" applyAlignment="1">
      <alignment horizontal="center" vertical="center" wrapText="1"/>
    </xf>
    <xf numFmtId="0" fontId="20" fillId="8" borderId="10" xfId="0" applyFont="1" applyFill="1" applyBorder="1" applyAlignment="1">
      <alignment horizontal="center" vertical="center"/>
    </xf>
    <xf numFmtId="0" fontId="20" fillId="8" borderId="15" xfId="0" applyFont="1" applyFill="1" applyBorder="1" applyAlignment="1">
      <alignment horizontal="center" vertical="center"/>
    </xf>
    <xf numFmtId="0" fontId="20" fillId="8" borderId="11" xfId="0" applyFont="1" applyFill="1" applyBorder="1" applyAlignment="1">
      <alignment horizontal="center" vertical="center"/>
    </xf>
    <xf numFmtId="0" fontId="11" fillId="22" borderId="10" xfId="0" applyFont="1" applyFill="1" applyBorder="1" applyAlignment="1">
      <alignment horizontal="center" vertical="center" wrapText="1"/>
    </xf>
    <xf numFmtId="0" fontId="11" fillId="22" borderId="15" xfId="0" applyFont="1" applyFill="1" applyBorder="1" applyAlignment="1">
      <alignment horizontal="center" vertical="center" wrapText="1"/>
    </xf>
    <xf numFmtId="0" fontId="11" fillId="22" borderId="11" xfId="0" applyFont="1" applyFill="1" applyBorder="1" applyAlignment="1">
      <alignment horizontal="center" vertical="center" wrapText="1"/>
    </xf>
    <xf numFmtId="166" fontId="6" fillId="22" borderId="21" xfId="2" applyNumberFormat="1" applyFill="1" applyBorder="1" applyAlignment="1">
      <alignment horizontal="center" vertical="center" wrapText="1"/>
    </xf>
    <xf numFmtId="166" fontId="6" fillId="22" borderId="27" xfId="2" applyNumberFormat="1" applyFill="1" applyBorder="1" applyAlignment="1">
      <alignment horizontal="center" vertical="center" wrapText="1"/>
    </xf>
    <xf numFmtId="0" fontId="14" fillId="12" borderId="10" xfId="0" applyFont="1" applyFill="1" applyBorder="1" applyAlignment="1">
      <alignment horizontal="center" vertical="center" wrapText="1"/>
    </xf>
    <xf numFmtId="0" fontId="14" fillId="12" borderId="15" xfId="0" applyFont="1" applyFill="1" applyBorder="1" applyAlignment="1">
      <alignment horizontal="center" vertical="center" wrapText="1"/>
    </xf>
    <xf numFmtId="0" fontId="11" fillId="22" borderId="5" xfId="0" applyFont="1" applyFill="1" applyBorder="1" applyAlignment="1">
      <alignment horizontal="center" vertical="center" wrapText="1"/>
    </xf>
    <xf numFmtId="0" fontId="11" fillId="22" borderId="16" xfId="0" applyFont="1" applyFill="1" applyBorder="1" applyAlignment="1">
      <alignment horizontal="center" vertical="center" wrapText="1"/>
    </xf>
    <xf numFmtId="0" fontId="20" fillId="0" borderId="10" xfId="0" applyFont="1" applyBorder="1" applyAlignment="1">
      <alignment horizontal="center" vertical="center"/>
    </xf>
    <xf numFmtId="0" fontId="20" fillId="0" borderId="15" xfId="0" applyFont="1" applyBorder="1" applyAlignment="1">
      <alignment horizontal="center" vertical="center"/>
    </xf>
    <xf numFmtId="0" fontId="20" fillId="0" borderId="11" xfId="0" applyFont="1" applyBorder="1" applyAlignment="1">
      <alignment horizontal="center" vertical="center"/>
    </xf>
    <xf numFmtId="166" fontId="6" fillId="22" borderId="48" xfId="2" applyNumberFormat="1" applyFill="1" applyBorder="1" applyAlignment="1">
      <alignment horizontal="center" vertical="center" wrapText="1"/>
    </xf>
    <xf numFmtId="166" fontId="6" fillId="22" borderId="51" xfId="2" applyNumberFormat="1" applyFill="1" applyBorder="1" applyAlignment="1">
      <alignment horizontal="center" vertical="center" wrapText="1"/>
    </xf>
    <xf numFmtId="0" fontId="11" fillId="22" borderId="10" xfId="0" applyFont="1" applyFill="1" applyBorder="1" applyAlignment="1">
      <alignment horizontal="center" vertical="center"/>
    </xf>
    <xf numFmtId="0" fontId="11" fillId="22" borderId="15" xfId="0" applyFont="1" applyFill="1" applyBorder="1" applyAlignment="1">
      <alignment horizontal="center" vertical="center"/>
    </xf>
    <xf numFmtId="0" fontId="11" fillId="22" borderId="11" xfId="0" applyFont="1" applyFill="1" applyBorder="1" applyAlignment="1">
      <alignment horizontal="center" vertical="center"/>
    </xf>
    <xf numFmtId="166" fontId="11" fillId="22" borderId="5" xfId="2" applyNumberFormat="1" applyFont="1" applyFill="1" applyBorder="1" applyAlignment="1">
      <alignment horizontal="center" vertical="center" wrapText="1"/>
    </xf>
    <xf numFmtId="166" fontId="11" fillId="22" borderId="6" xfId="2" applyNumberFormat="1" applyFont="1" applyFill="1" applyBorder="1" applyAlignment="1">
      <alignment horizontal="center" vertical="center" wrapText="1"/>
    </xf>
    <xf numFmtId="166" fontId="11" fillId="22" borderId="48" xfId="2" applyNumberFormat="1" applyFont="1" applyFill="1" applyBorder="1" applyAlignment="1">
      <alignment horizontal="center" vertical="center" wrapText="1"/>
    </xf>
    <xf numFmtId="166" fontId="11" fillId="22" borderId="51" xfId="2" applyNumberFormat="1" applyFont="1" applyFill="1" applyBorder="1" applyAlignment="1">
      <alignment horizontal="center" vertical="center" wrapText="1"/>
    </xf>
    <xf numFmtId="0" fontId="14" fillId="12" borderId="10" xfId="0" applyFont="1" applyFill="1" applyBorder="1" applyAlignment="1">
      <alignment horizontal="center" vertical="center"/>
    </xf>
    <xf numFmtId="0" fontId="14" fillId="12" borderId="15" xfId="0" applyFont="1" applyFill="1" applyBorder="1" applyAlignment="1">
      <alignment horizontal="center" vertical="center"/>
    </xf>
    <xf numFmtId="0" fontId="14" fillId="12" borderId="11" xfId="0" applyFont="1" applyFill="1" applyBorder="1" applyAlignment="1">
      <alignment horizontal="center" vertical="center"/>
    </xf>
    <xf numFmtId="0" fontId="11" fillId="22" borderId="5" xfId="0" applyFont="1" applyFill="1" applyBorder="1" applyAlignment="1">
      <alignment horizontal="center" vertical="center"/>
    </xf>
    <xf numFmtId="0" fontId="11" fillId="22" borderId="16" xfId="0" applyFont="1" applyFill="1" applyBorder="1" applyAlignment="1">
      <alignment horizontal="center" vertical="center"/>
    </xf>
    <xf numFmtId="0" fontId="11" fillId="22" borderId="7" xfId="0" applyFont="1" applyFill="1" applyBorder="1" applyAlignment="1">
      <alignment horizontal="center" vertical="center"/>
    </xf>
    <xf numFmtId="0" fontId="14" fillId="12" borderId="52" xfId="0" applyFont="1" applyFill="1" applyBorder="1" applyAlignment="1">
      <alignment horizontal="center" vertical="center" wrapText="1"/>
    </xf>
    <xf numFmtId="0" fontId="14" fillId="12" borderId="22" xfId="0" applyFont="1" applyFill="1" applyBorder="1" applyAlignment="1">
      <alignment horizontal="center" vertical="center" wrapText="1"/>
    </xf>
    <xf numFmtId="0" fontId="14" fillId="12" borderId="26" xfId="0" applyFont="1" applyFill="1" applyBorder="1" applyAlignment="1">
      <alignment horizontal="center" vertical="center" wrapText="1"/>
    </xf>
    <xf numFmtId="0" fontId="11" fillId="22" borderId="7" xfId="0" applyFont="1" applyFill="1" applyBorder="1" applyAlignment="1">
      <alignment horizontal="center" vertical="center" wrapText="1"/>
    </xf>
    <xf numFmtId="0" fontId="20" fillId="13" borderId="10" xfId="0" applyFont="1" applyFill="1" applyBorder="1" applyAlignment="1">
      <alignment horizontal="center" vertical="center"/>
    </xf>
    <xf numFmtId="0" fontId="20" fillId="13" borderId="15" xfId="0" applyFont="1" applyFill="1" applyBorder="1" applyAlignment="1">
      <alignment horizontal="center" vertical="center"/>
    </xf>
    <xf numFmtId="0" fontId="20" fillId="13" borderId="11" xfId="0" applyFont="1" applyFill="1" applyBorder="1" applyAlignment="1">
      <alignment horizontal="center" vertical="center"/>
    </xf>
    <xf numFmtId="166" fontId="6" fillId="22" borderId="23" xfId="2" applyNumberFormat="1" applyFill="1" applyBorder="1" applyAlignment="1">
      <alignment horizontal="center" vertical="center" wrapText="1"/>
    </xf>
    <xf numFmtId="166" fontId="6" fillId="22" borderId="29" xfId="2" applyNumberFormat="1" applyFill="1" applyBorder="1" applyAlignment="1">
      <alignment horizontal="center" vertical="center" wrapText="1"/>
    </xf>
    <xf numFmtId="0" fontId="5" fillId="2" borderId="2" xfId="2" applyFont="1" applyFill="1" applyBorder="1" applyAlignment="1">
      <alignment horizontal="center" vertical="center" wrapText="1"/>
    </xf>
    <xf numFmtId="0" fontId="5" fillId="2" borderId="3" xfId="2" applyFont="1" applyFill="1" applyBorder="1" applyAlignment="1">
      <alignment horizontal="center" vertical="center" wrapText="1"/>
    </xf>
    <xf numFmtId="165" fontId="6" fillId="23" borderId="5" xfId="2" applyNumberFormat="1" applyFill="1" applyBorder="1" applyAlignment="1">
      <alignment horizontal="center" vertical="center" wrapText="1"/>
    </xf>
    <xf numFmtId="165" fontId="6" fillId="23" borderId="6" xfId="2" applyNumberFormat="1" applyFill="1" applyBorder="1" applyAlignment="1">
      <alignment horizontal="center" vertical="center" wrapText="1"/>
    </xf>
    <xf numFmtId="166" fontId="6" fillId="22" borderId="52" xfId="2" applyNumberFormat="1" applyFill="1" applyBorder="1" applyAlignment="1">
      <alignment horizontal="center" vertical="center" wrapText="1"/>
    </xf>
    <xf numFmtId="166" fontId="6" fillId="22" borderId="53" xfId="2" applyNumberFormat="1" applyFill="1" applyBorder="1" applyAlignment="1">
      <alignment horizontal="center" vertical="center" wrapText="1"/>
    </xf>
    <xf numFmtId="0" fontId="0" fillId="23" borderId="6" xfId="0" applyFill="1" applyBorder="1" applyAlignment="1">
      <alignment horizontal="center"/>
    </xf>
    <xf numFmtId="0" fontId="0" fillId="23" borderId="30" xfId="0" applyFill="1" applyBorder="1" applyAlignment="1">
      <alignment horizontal="center"/>
    </xf>
    <xf numFmtId="0" fontId="0" fillId="23" borderId="11" xfId="0" applyFill="1" applyBorder="1" applyAlignment="1">
      <alignment horizontal="center"/>
    </xf>
    <xf numFmtId="165" fontId="6" fillId="23" borderId="48" xfId="2" applyNumberFormat="1" applyFill="1" applyBorder="1" applyAlignment="1">
      <alignment horizontal="center" vertical="center" wrapText="1"/>
    </xf>
    <xf numFmtId="165" fontId="6" fillId="23" borderId="51" xfId="2" applyNumberFormat="1" applyFill="1" applyBorder="1" applyAlignment="1">
      <alignment horizontal="center" vertical="center" wrapText="1"/>
    </xf>
    <xf numFmtId="165" fontId="6" fillId="23" borderId="7" xfId="2" applyNumberFormat="1" applyFill="1" applyBorder="1" applyAlignment="1">
      <alignment horizontal="center" vertical="center" wrapText="1"/>
    </xf>
    <xf numFmtId="165" fontId="6" fillId="23" borderId="8" xfId="2" applyNumberFormat="1" applyFill="1" applyBorder="1" applyAlignment="1">
      <alignment horizontal="center" vertical="center" wrapText="1"/>
    </xf>
    <xf numFmtId="0" fontId="1" fillId="6" borderId="52" xfId="0" applyFont="1" applyFill="1" applyBorder="1" applyAlignment="1">
      <alignment horizontal="left" vertical="center"/>
    </xf>
    <xf numFmtId="0" fontId="1" fillId="6" borderId="37" xfId="0" applyFont="1" applyFill="1" applyBorder="1" applyAlignment="1">
      <alignment horizontal="left" vertical="center"/>
    </xf>
    <xf numFmtId="0" fontId="1" fillId="6" borderId="53" xfId="0" applyFont="1" applyFill="1" applyBorder="1" applyAlignment="1">
      <alignment horizontal="left" vertical="center"/>
    </xf>
    <xf numFmtId="0" fontId="1" fillId="6" borderId="22" xfId="0" applyFont="1" applyFill="1" applyBorder="1" applyAlignment="1">
      <alignment horizontal="left" vertical="center"/>
    </xf>
    <xf numFmtId="0" fontId="1" fillId="6" borderId="19" xfId="0" applyFont="1" applyFill="1" applyBorder="1" applyAlignment="1">
      <alignment horizontal="left" vertical="center"/>
    </xf>
    <xf numFmtId="0" fontId="1" fillId="6" borderId="28" xfId="0" applyFont="1" applyFill="1" applyBorder="1" applyAlignment="1">
      <alignment horizontal="left" vertical="center"/>
    </xf>
    <xf numFmtId="0" fontId="1" fillId="10" borderId="22" xfId="0" applyFont="1" applyFill="1" applyBorder="1" applyAlignment="1">
      <alignment horizontal="left" vertical="center"/>
    </xf>
    <xf numFmtId="0" fontId="1" fillId="10" borderId="19" xfId="0" applyFont="1" applyFill="1" applyBorder="1" applyAlignment="1">
      <alignment horizontal="left" vertical="center"/>
    </xf>
    <xf numFmtId="0" fontId="1" fillId="10" borderId="28" xfId="0" applyFont="1" applyFill="1" applyBorder="1" applyAlignment="1">
      <alignment horizontal="left" vertical="center"/>
    </xf>
    <xf numFmtId="0" fontId="1" fillId="10" borderId="52" xfId="0" applyFont="1" applyFill="1" applyBorder="1" applyAlignment="1">
      <alignment horizontal="left" vertical="center"/>
    </xf>
    <xf numFmtId="0" fontId="0" fillId="0" borderId="67" xfId="0" applyBorder="1" applyAlignment="1">
      <alignment horizontal="left" vertical="center"/>
    </xf>
    <xf numFmtId="0" fontId="0" fillId="0" borderId="41" xfId="0" applyBorder="1" applyAlignment="1">
      <alignment horizontal="left" vertical="center"/>
    </xf>
    <xf numFmtId="0" fontId="0" fillId="0" borderId="60" xfId="0" applyBorder="1" applyAlignment="1">
      <alignment horizontal="left" vertical="center"/>
    </xf>
    <xf numFmtId="0" fontId="0" fillId="0" borderId="65" xfId="0" applyBorder="1" applyAlignment="1">
      <alignment horizontal="left" vertical="center"/>
    </xf>
    <xf numFmtId="0" fontId="0" fillId="0" borderId="71" xfId="0" applyBorder="1" applyAlignment="1">
      <alignment horizontal="right" vertical="center"/>
    </xf>
    <xf numFmtId="0" fontId="0" fillId="0" borderId="68" xfId="0" applyBorder="1" applyAlignment="1">
      <alignment horizontal="right" vertical="center"/>
    </xf>
    <xf numFmtId="0" fontId="0" fillId="0" borderId="64" xfId="0" applyBorder="1" applyAlignment="1">
      <alignment horizontal="right" vertical="center"/>
    </xf>
    <xf numFmtId="0" fontId="0" fillId="0" borderId="44" xfId="0" applyBorder="1" applyAlignment="1">
      <alignment horizontal="left" vertical="center"/>
    </xf>
    <xf numFmtId="0" fontId="0" fillId="13" borderId="5" xfId="0" applyFill="1" applyBorder="1" applyAlignment="1">
      <alignment horizontal="center" vertical="center"/>
    </xf>
    <xf numFmtId="0" fontId="0" fillId="13" borderId="35" xfId="0" applyFill="1" applyBorder="1" applyAlignment="1">
      <alignment horizontal="center" vertical="center"/>
    </xf>
    <xf numFmtId="0" fontId="0" fillId="13" borderId="6" xfId="0" applyFill="1" applyBorder="1" applyAlignment="1">
      <alignment horizontal="center" vertical="center"/>
    </xf>
    <xf numFmtId="0" fontId="0" fillId="13" borderId="7" xfId="0" applyFill="1" applyBorder="1" applyAlignment="1">
      <alignment horizontal="center" vertical="center"/>
    </xf>
    <xf numFmtId="0" fontId="0" fillId="13" borderId="34" xfId="0" applyFill="1" applyBorder="1" applyAlignment="1">
      <alignment horizontal="center" vertical="center"/>
    </xf>
    <xf numFmtId="0" fontId="0" fillId="13" borderId="8" xfId="0" applyFill="1" applyBorder="1" applyAlignment="1">
      <alignment horizontal="center" vertical="center"/>
    </xf>
    <xf numFmtId="0" fontId="0" fillId="0" borderId="61" xfId="0" applyBorder="1" applyAlignment="1">
      <alignment horizontal="left" vertical="center"/>
    </xf>
    <xf numFmtId="0" fontId="1" fillId="6" borderId="21" xfId="0" applyFont="1" applyFill="1" applyBorder="1" applyAlignment="1">
      <alignment horizontal="left" vertical="center"/>
    </xf>
    <xf numFmtId="0" fontId="1" fillId="6" borderId="18" xfId="0" applyFont="1" applyFill="1" applyBorder="1" applyAlignment="1">
      <alignment horizontal="left" vertical="center"/>
    </xf>
    <xf numFmtId="0" fontId="1" fillId="6" borderId="27" xfId="0" applyFont="1" applyFill="1" applyBorder="1" applyAlignment="1">
      <alignment horizontal="left" vertical="center"/>
    </xf>
    <xf numFmtId="0" fontId="0" fillId="13" borderId="16" xfId="0" applyFill="1" applyBorder="1" applyAlignment="1">
      <alignment horizontal="center" vertical="center"/>
    </xf>
    <xf numFmtId="0" fontId="0" fillId="13" borderId="0" xfId="0" applyFill="1" applyAlignment="1">
      <alignment horizontal="center" vertical="center"/>
    </xf>
    <xf numFmtId="0" fontId="0" fillId="13" borderId="30" xfId="0" applyFill="1" applyBorder="1" applyAlignment="1">
      <alignment horizontal="center" vertical="center"/>
    </xf>
    <xf numFmtId="0" fontId="0" fillId="22" borderId="5" xfId="0" applyFill="1" applyBorder="1" applyAlignment="1">
      <alignment horizontal="center" vertical="center"/>
    </xf>
    <xf numFmtId="0" fontId="0" fillId="22" borderId="35" xfId="0" applyFill="1" applyBorder="1" applyAlignment="1">
      <alignment horizontal="center" vertical="center"/>
    </xf>
    <xf numFmtId="0" fontId="0" fillId="22" borderId="6" xfId="0" applyFill="1" applyBorder="1" applyAlignment="1">
      <alignment horizontal="center" vertical="center"/>
    </xf>
    <xf numFmtId="0" fontId="0" fillId="22" borderId="7" xfId="0" applyFill="1" applyBorder="1" applyAlignment="1">
      <alignment horizontal="center" vertical="center"/>
    </xf>
    <xf numFmtId="0" fontId="0" fillId="22" borderId="34" xfId="0" applyFill="1" applyBorder="1" applyAlignment="1">
      <alignment horizontal="center" vertical="center"/>
    </xf>
    <xf numFmtId="0" fontId="0" fillId="22" borderId="8" xfId="0" applyFill="1" applyBorder="1" applyAlignment="1">
      <alignment horizontal="center" vertical="center"/>
    </xf>
    <xf numFmtId="0" fontId="0" fillId="0" borderId="67" xfId="0" applyBorder="1" applyAlignment="1">
      <alignment horizontal="right" vertical="center"/>
    </xf>
    <xf numFmtId="0" fontId="0" fillId="0" borderId="44" xfId="0" applyBorder="1" applyAlignment="1">
      <alignment horizontal="right" vertical="center"/>
    </xf>
    <xf numFmtId="0" fontId="0" fillId="0" borderId="41" xfId="0" applyBorder="1" applyAlignment="1">
      <alignment horizontal="right" vertical="center"/>
    </xf>
    <xf numFmtId="0" fontId="1" fillId="10" borderId="40" xfId="0" applyFont="1" applyFill="1" applyBorder="1" applyAlignment="1">
      <alignment horizontal="left" vertical="center"/>
    </xf>
    <xf numFmtId="0" fontId="0" fillId="9" borderId="5" xfId="0" applyFill="1" applyBorder="1" applyAlignment="1">
      <alignment horizontal="center" vertical="center"/>
    </xf>
    <xf numFmtId="0" fontId="0" fillId="9" borderId="35" xfId="0" applyFill="1" applyBorder="1" applyAlignment="1">
      <alignment horizontal="center" vertical="center"/>
    </xf>
    <xf numFmtId="0" fontId="0" fillId="9" borderId="6" xfId="0" applyFill="1" applyBorder="1" applyAlignment="1">
      <alignment horizontal="center" vertical="center"/>
    </xf>
    <xf numFmtId="0" fontId="0" fillId="9" borderId="7" xfId="0" applyFill="1" applyBorder="1" applyAlignment="1">
      <alignment horizontal="center" vertical="center"/>
    </xf>
    <xf numFmtId="0" fontId="0" fillId="9" borderId="34" xfId="0" applyFill="1" applyBorder="1" applyAlignment="1">
      <alignment horizontal="center" vertical="center"/>
    </xf>
    <xf numFmtId="0" fontId="0" fillId="9" borderId="8" xfId="0" applyFill="1" applyBorder="1" applyAlignment="1">
      <alignment horizontal="center" vertical="center"/>
    </xf>
    <xf numFmtId="0" fontId="0" fillId="0" borderId="46" xfId="0" applyBorder="1" applyAlignment="1">
      <alignment horizontal="left" vertical="center"/>
    </xf>
    <xf numFmtId="0" fontId="0" fillId="0" borderId="47" xfId="0" applyBorder="1" applyAlignment="1">
      <alignment horizontal="left" vertical="center"/>
    </xf>
    <xf numFmtId="0" fontId="0" fillId="0" borderId="0" xfId="0" applyAlignment="1">
      <alignment horizontal="center" vertical="center"/>
    </xf>
    <xf numFmtId="0" fontId="0" fillId="0" borderId="49" xfId="0" applyBorder="1" applyAlignment="1">
      <alignment horizontal="right" vertical="center"/>
    </xf>
    <xf numFmtId="0" fontId="0" fillId="0" borderId="50" xfId="0" applyBorder="1" applyAlignment="1">
      <alignment horizontal="right" vertical="center"/>
    </xf>
    <xf numFmtId="0" fontId="0" fillId="0" borderId="58" xfId="0" applyBorder="1" applyAlignment="1">
      <alignment horizontal="left" vertical="center"/>
    </xf>
    <xf numFmtId="0" fontId="1" fillId="10" borderId="37" xfId="0" applyFont="1" applyFill="1" applyBorder="1" applyAlignment="1">
      <alignment horizontal="left" vertical="center"/>
    </xf>
    <xf numFmtId="0" fontId="1" fillId="10" borderId="53" xfId="0" applyFont="1" applyFill="1" applyBorder="1" applyAlignment="1">
      <alignment horizontal="left" vertical="center"/>
    </xf>
    <xf numFmtId="0" fontId="1" fillId="10" borderId="21" xfId="0" applyFont="1" applyFill="1" applyBorder="1" applyAlignment="1">
      <alignment horizontal="left" vertical="center"/>
    </xf>
    <xf numFmtId="0" fontId="1" fillId="10" borderId="18" xfId="0" applyFont="1" applyFill="1" applyBorder="1" applyAlignment="1">
      <alignment horizontal="left" vertical="center"/>
    </xf>
    <xf numFmtId="0" fontId="1" fillId="10" borderId="27" xfId="0" applyFont="1" applyFill="1" applyBorder="1" applyAlignment="1">
      <alignment horizontal="left" vertical="center"/>
    </xf>
    <xf numFmtId="0" fontId="12" fillId="24" borderId="12" xfId="0" applyFont="1" applyFill="1" applyBorder="1" applyAlignment="1">
      <alignment horizontal="center" vertical="center"/>
    </xf>
    <xf numFmtId="0" fontId="12" fillId="24" borderId="13" xfId="0" applyFont="1" applyFill="1" applyBorder="1" applyAlignment="1">
      <alignment horizontal="center" vertical="center"/>
    </xf>
    <xf numFmtId="0" fontId="12" fillId="24" borderId="14" xfId="0" applyFont="1" applyFill="1" applyBorder="1" applyAlignment="1">
      <alignment horizontal="center" vertical="center"/>
    </xf>
    <xf numFmtId="0" fontId="12" fillId="24" borderId="32" xfId="0" applyFont="1" applyFill="1" applyBorder="1" applyAlignment="1">
      <alignment horizontal="center" vertical="center"/>
    </xf>
    <xf numFmtId="0" fontId="12" fillId="24" borderId="10" xfId="0" applyFont="1" applyFill="1" applyBorder="1" applyAlignment="1">
      <alignment horizontal="center" vertical="center" wrapText="1"/>
    </xf>
    <xf numFmtId="0" fontId="12" fillId="24" borderId="15" xfId="0" applyFont="1" applyFill="1" applyBorder="1" applyAlignment="1">
      <alignment horizontal="center" vertical="center" wrapText="1"/>
    </xf>
    <xf numFmtId="0" fontId="12" fillId="24" borderId="11" xfId="0" applyFont="1" applyFill="1" applyBorder="1" applyAlignment="1">
      <alignment horizontal="center" vertical="center" wrapText="1"/>
    </xf>
    <xf numFmtId="0" fontId="12" fillId="24" borderId="5" xfId="0" applyFont="1" applyFill="1" applyBorder="1" applyAlignment="1">
      <alignment horizontal="center" vertical="center"/>
    </xf>
    <xf numFmtId="0" fontId="12" fillId="24" borderId="16" xfId="0" applyFont="1" applyFill="1" applyBorder="1" applyAlignment="1">
      <alignment horizontal="center" vertical="center"/>
    </xf>
    <xf numFmtId="0" fontId="12" fillId="24" borderId="10" xfId="0" applyFont="1" applyFill="1" applyBorder="1" applyAlignment="1">
      <alignment horizontal="center" vertical="center"/>
    </xf>
    <xf numFmtId="0" fontId="12" fillId="24" borderId="15" xfId="0" applyFont="1" applyFill="1" applyBorder="1" applyAlignment="1">
      <alignment horizontal="center" vertical="center"/>
    </xf>
    <xf numFmtId="0" fontId="12" fillId="24" borderId="11" xfId="0" applyFont="1" applyFill="1" applyBorder="1" applyAlignment="1">
      <alignment horizontal="center" vertical="center"/>
    </xf>
    <xf numFmtId="0" fontId="12" fillId="24" borderId="7" xfId="0" applyFont="1" applyFill="1" applyBorder="1" applyAlignment="1">
      <alignment horizontal="center" vertical="center"/>
    </xf>
    <xf numFmtId="0" fontId="1" fillId="6" borderId="65" xfId="0" applyFont="1" applyFill="1" applyBorder="1" applyAlignment="1">
      <alignment horizontal="left" vertical="center"/>
    </xf>
    <xf numFmtId="0" fontId="1" fillId="6" borderId="41" xfId="0" applyFont="1" applyFill="1" applyBorder="1" applyAlignment="1">
      <alignment horizontal="left" vertical="center"/>
    </xf>
    <xf numFmtId="0" fontId="1" fillId="6" borderId="64" xfId="0" applyFont="1" applyFill="1" applyBorder="1" applyAlignment="1">
      <alignment horizontal="left" vertical="center"/>
    </xf>
    <xf numFmtId="0" fontId="1" fillId="6" borderId="42" xfId="0" applyFont="1" applyFill="1" applyBorder="1" applyAlignment="1">
      <alignment horizontal="left" vertical="center"/>
    </xf>
    <xf numFmtId="0" fontId="1" fillId="6" borderId="50" xfId="0" applyFont="1" applyFill="1" applyBorder="1" applyAlignment="1">
      <alignment horizontal="left"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16" xfId="0" applyFont="1" applyBorder="1" applyAlignment="1">
      <alignment horizontal="center" vertical="center"/>
    </xf>
    <xf numFmtId="0" fontId="1" fillId="0" borderId="30"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20" fillId="14" borderId="5" xfId="0" applyFont="1" applyFill="1" applyBorder="1" applyAlignment="1">
      <alignment horizontal="left" vertical="center"/>
    </xf>
    <xf numFmtId="0" fontId="20" fillId="14" borderId="7" xfId="0" applyFont="1" applyFill="1" applyBorder="1" applyAlignment="1">
      <alignment horizontal="left" vertical="center"/>
    </xf>
    <xf numFmtId="0" fontId="1" fillId="7" borderId="10" xfId="0" applyFont="1" applyFill="1" applyBorder="1" applyAlignment="1">
      <alignment horizontal="center" vertical="center"/>
    </xf>
    <xf numFmtId="0" fontId="1" fillId="7" borderId="11" xfId="0" applyFont="1" applyFill="1" applyBorder="1" applyAlignment="1">
      <alignment horizontal="center" vertical="center"/>
    </xf>
    <xf numFmtId="0" fontId="1" fillId="7" borderId="18" xfId="0" applyFont="1" applyFill="1" applyBorder="1" applyAlignment="1">
      <alignment horizontal="center" vertical="center"/>
    </xf>
    <xf numFmtId="0" fontId="1" fillId="7" borderId="27" xfId="0" applyFont="1" applyFill="1" applyBorder="1" applyAlignment="1">
      <alignment horizontal="center" vertical="center"/>
    </xf>
    <xf numFmtId="0" fontId="0" fillId="0" borderId="10" xfId="0" applyBorder="1" applyAlignment="1">
      <alignment horizontal="center" vertical="center"/>
    </xf>
    <xf numFmtId="0" fontId="0" fillId="0" borderId="15" xfId="0" applyBorder="1" applyAlignment="1">
      <alignment horizontal="center" vertical="center"/>
    </xf>
    <xf numFmtId="0" fontId="0" fillId="0" borderId="11" xfId="0" applyBorder="1" applyAlignment="1">
      <alignment horizontal="center" vertical="center"/>
    </xf>
    <xf numFmtId="0" fontId="0" fillId="0" borderId="5" xfId="0" applyBorder="1" applyAlignment="1">
      <alignment horizontal="center" vertical="center"/>
    </xf>
    <xf numFmtId="0" fontId="0" fillId="0" borderId="16" xfId="0" applyBorder="1" applyAlignment="1">
      <alignment horizontal="center" vertical="center"/>
    </xf>
    <xf numFmtId="0" fontId="0" fillId="0" borderId="7" xfId="0"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xf>
    <xf numFmtId="0" fontId="1" fillId="7" borderId="21" xfId="0" applyFont="1" applyFill="1" applyBorder="1" applyAlignment="1">
      <alignment horizontal="center" vertical="center"/>
    </xf>
    <xf numFmtId="0" fontId="1" fillId="0" borderId="5" xfId="0" applyFont="1" applyBorder="1" applyAlignment="1">
      <alignment horizontal="left" vertical="center"/>
    </xf>
    <xf numFmtId="0" fontId="1" fillId="0" borderId="35" xfId="0" applyFont="1" applyBorder="1" applyAlignment="1">
      <alignment horizontal="left" vertical="center"/>
    </xf>
    <xf numFmtId="0" fontId="1" fillId="0" borderId="6" xfId="0" applyFont="1" applyBorder="1" applyAlignment="1">
      <alignment horizontal="left" vertical="center"/>
    </xf>
    <xf numFmtId="0" fontId="1" fillId="0" borderId="16" xfId="0" applyFont="1" applyBorder="1" applyAlignment="1">
      <alignment horizontal="left" vertical="center"/>
    </xf>
    <xf numFmtId="0" fontId="1" fillId="0" borderId="0" xfId="0" applyFont="1" applyAlignment="1">
      <alignment horizontal="left" vertical="center"/>
    </xf>
    <xf numFmtId="0" fontId="1" fillId="0" borderId="30" xfId="0" applyFont="1" applyBorder="1" applyAlignment="1">
      <alignment horizontal="left" vertical="center"/>
    </xf>
    <xf numFmtId="0" fontId="1" fillId="0" borderId="7" xfId="0" applyFont="1" applyBorder="1" applyAlignment="1">
      <alignment horizontal="left" vertical="center"/>
    </xf>
    <xf numFmtId="0" fontId="1" fillId="0" borderId="34" xfId="0" applyFont="1" applyBorder="1" applyAlignment="1">
      <alignment horizontal="left" vertical="center"/>
    </xf>
    <xf numFmtId="0" fontId="1" fillId="0" borderId="8" xfId="0" applyFont="1" applyBorder="1" applyAlignment="1">
      <alignment horizontal="left" vertical="center"/>
    </xf>
    <xf numFmtId="0" fontId="0" fillId="0" borderId="16" xfId="0" applyBorder="1" applyAlignment="1">
      <alignment horizontal="center" vertical="center" wrapText="1"/>
    </xf>
    <xf numFmtId="0" fontId="0" fillId="0" borderId="30" xfId="0" applyBorder="1" applyAlignment="1">
      <alignment horizontal="center" vertical="center" wrapText="1"/>
    </xf>
    <xf numFmtId="0" fontId="1" fillId="14" borderId="2" xfId="0" applyFont="1" applyFill="1" applyBorder="1" applyAlignment="1">
      <alignment horizontal="center" vertical="center"/>
    </xf>
    <xf numFmtId="0" fontId="1" fillId="14" borderId="4" xfId="0" applyFont="1" applyFill="1" applyBorder="1" applyAlignment="1">
      <alignment horizontal="center" vertical="center"/>
    </xf>
    <xf numFmtId="0" fontId="1" fillId="14" borderId="3" xfId="0" applyFont="1" applyFill="1" applyBorder="1" applyAlignment="1">
      <alignment horizontal="center" vertical="center"/>
    </xf>
    <xf numFmtId="0" fontId="46" fillId="2" borderId="5" xfId="0" applyFont="1" applyFill="1" applyBorder="1" applyAlignment="1">
      <alignment horizontal="center" vertical="center" wrapText="1" readingOrder="1"/>
    </xf>
    <xf numFmtId="0" fontId="46" fillId="2" borderId="16" xfId="0" applyFont="1" applyFill="1" applyBorder="1" applyAlignment="1">
      <alignment horizontal="center" vertical="center" wrapText="1" readingOrder="1"/>
    </xf>
    <xf numFmtId="0" fontId="46" fillId="2" borderId="7" xfId="0" applyFont="1" applyFill="1" applyBorder="1" applyAlignment="1">
      <alignment horizontal="center" vertical="center" wrapText="1" readingOrder="1"/>
    </xf>
    <xf numFmtId="0" fontId="1" fillId="7" borderId="5" xfId="0" applyFont="1" applyFill="1" applyBorder="1" applyAlignment="1">
      <alignment horizontal="center" vertical="center"/>
    </xf>
    <xf numFmtId="0" fontId="1" fillId="7" borderId="6" xfId="0" applyFont="1" applyFill="1" applyBorder="1" applyAlignment="1">
      <alignment horizontal="center" vertical="center"/>
    </xf>
    <xf numFmtId="0" fontId="1" fillId="7" borderId="7" xfId="0" applyFont="1" applyFill="1" applyBorder="1" applyAlignment="1">
      <alignment horizontal="center" vertical="center"/>
    </xf>
    <xf numFmtId="0" fontId="1" fillId="7" borderId="8"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7" xfId="0" applyFont="1" applyFill="1" applyBorder="1" applyAlignment="1">
      <alignment horizontal="center" vertical="center"/>
    </xf>
    <xf numFmtId="1" fontId="1" fillId="4" borderId="6" xfId="0" applyNumberFormat="1" applyFont="1" applyFill="1" applyBorder="1" applyAlignment="1">
      <alignment horizontal="center" vertical="center"/>
    </xf>
    <xf numFmtId="1" fontId="1" fillId="4" borderId="30" xfId="0" applyNumberFormat="1" applyFont="1" applyFill="1" applyBorder="1" applyAlignment="1">
      <alignment horizontal="center" vertical="center"/>
    </xf>
    <xf numFmtId="1" fontId="1" fillId="4" borderId="8" xfId="0" applyNumberFormat="1" applyFont="1" applyFill="1" applyBorder="1" applyAlignment="1">
      <alignment horizontal="center" vertical="center"/>
    </xf>
    <xf numFmtId="1" fontId="1" fillId="4" borderId="10" xfId="0" applyNumberFormat="1" applyFont="1" applyFill="1" applyBorder="1" applyAlignment="1">
      <alignment horizontal="center" vertical="center"/>
    </xf>
    <xf numFmtId="1" fontId="1" fillId="4" borderId="15" xfId="0" applyNumberFormat="1" applyFont="1" applyFill="1" applyBorder="1" applyAlignment="1">
      <alignment horizontal="center" vertical="center"/>
    </xf>
    <xf numFmtId="1" fontId="1" fillId="4" borderId="11" xfId="0" applyNumberFormat="1" applyFont="1" applyFill="1" applyBorder="1" applyAlignment="1">
      <alignment horizontal="center" vertical="center"/>
    </xf>
  </cellXfs>
  <cellStyles count="8">
    <cellStyle name="Lien hypertexte" xfId="1" builtinId="8"/>
    <cellStyle name="Lien hypertexte 2" xfId="6" xr:uid="{09EBAB51-7812-4033-9573-166F18F7AEF2}"/>
    <cellStyle name="Normal" xfId="0" builtinId="0"/>
    <cellStyle name="Normal 2" xfId="2" xr:uid="{1FF73C5F-08C5-4DD0-852A-BEBA038AA2B6}"/>
    <cellStyle name="Normal 3" xfId="5" xr:uid="{E41068E0-A8F1-42A1-870D-DC63F58E8007}"/>
    <cellStyle name="Pourcentage 2" xfId="3" xr:uid="{C584871C-A875-4180-A54A-4BE65A477AA7}"/>
    <cellStyle name="Pourcentage 3" xfId="4" xr:uid="{B598F94A-2F70-4D07-88F2-287784926B0F}"/>
    <cellStyle name="Texte explicatif" xfId="7" builtinId="53"/>
  </cellStyles>
  <dxfs count="0"/>
  <tableStyles count="0" defaultTableStyle="TableStyleMedium2" defaultPivotStyle="PivotStyleLight16"/>
  <colors>
    <mruColors>
      <color rgb="FF66FFCC"/>
      <color rgb="FFFFB625"/>
      <color rgb="FFCCFF33"/>
      <color rgb="FFFF7C80"/>
      <color rgb="FF00FF00"/>
      <color rgb="FF00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06/relationships/rdRichValueTypes" Target="richData/rdRichValueTypes.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microsoft.com/office/2017/06/relationships/rdRichValue" Target="richData/rdrichvalue.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r>
              <a:rPr lang="fr-FR" sz="1400" b="1">
                <a:solidFill>
                  <a:sysClr val="windowText" lastClr="000000"/>
                </a:solidFill>
              </a:rPr>
              <a:t>Number of process steps per process category -</a:t>
            </a:r>
            <a:r>
              <a:rPr lang="fr-FR" sz="1400" b="1" baseline="0">
                <a:solidFill>
                  <a:sysClr val="windowText" lastClr="000000"/>
                </a:solidFill>
              </a:rPr>
              <a:t> </a:t>
            </a:r>
            <a:r>
              <a:rPr lang="fr-FR" sz="1400" b="1" baseline="0">
                <a:ln>
                  <a:noFill/>
                </a:ln>
                <a:solidFill>
                  <a:sysClr val="windowText" lastClr="000000"/>
                </a:solidFill>
              </a:rPr>
              <a:t>Wafer process steps</a:t>
            </a:r>
            <a:endParaRPr lang="fr-FR" sz="1400" b="1">
              <a:ln>
                <a:noFill/>
              </a:ln>
              <a:solidFill>
                <a:sysClr val="windowText" lastClr="000000"/>
              </a:solidFill>
            </a:endParaRPr>
          </a:p>
        </c:rich>
      </c:tx>
      <c:layout>
        <c:manualLayout>
          <c:xMode val="edge"/>
          <c:yMode val="edge"/>
          <c:x val="0.22924270357829474"/>
          <c:y val="1.6933195045573793E-2"/>
        </c:manualLayout>
      </c:layout>
      <c:overlay val="0"/>
      <c:spPr>
        <a:solidFill>
          <a:schemeClr val="accent2"/>
        </a:solidFill>
        <a:ln>
          <a:noFill/>
        </a:ln>
        <a:effectLst/>
      </c:spPr>
      <c:txPr>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0.25905755846070699"/>
          <c:y val="0.13089831056991846"/>
          <c:w val="0.61427806506380733"/>
          <c:h val="0.81993181385505554"/>
        </c:manualLayout>
      </c:layout>
      <c:doughnutChart>
        <c:varyColors val="1"/>
        <c:ser>
          <c:idx val="0"/>
          <c:order val="0"/>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59AA-470B-91B5-BA523C3A6C68}"/>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59AA-470B-91B5-BA523C3A6C68}"/>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59AA-470B-91B5-BA523C3A6C68}"/>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59AA-470B-91B5-BA523C3A6C68}"/>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59AA-470B-91B5-BA523C3A6C68}"/>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B-59AA-470B-91B5-BA523C3A6C68}"/>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D-59AA-470B-91B5-BA523C3A6C68}"/>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0F-59AA-470B-91B5-BA523C3A6C68}"/>
              </c:ext>
            </c:extLst>
          </c:dPt>
          <c:dPt>
            <c:idx val="8"/>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11-59AA-470B-91B5-BA523C3A6C68}"/>
              </c:ext>
            </c:extLst>
          </c:dPt>
          <c:dPt>
            <c:idx val="9"/>
            <c:bubble3D val="0"/>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extLst>
              <c:ext xmlns:c16="http://schemas.microsoft.com/office/drawing/2014/chart" uri="{C3380CC4-5D6E-409C-BE32-E72D297353CC}">
                <c16:uniqueId val="{00000013-59AA-470B-91B5-BA523C3A6C68}"/>
              </c:ext>
            </c:extLst>
          </c:dPt>
          <c:dPt>
            <c:idx val="10"/>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15-59AA-470B-91B5-BA523C3A6C68}"/>
              </c:ext>
            </c:extLst>
          </c:dPt>
          <c:dPt>
            <c:idx val="11"/>
            <c:bubble3D val="0"/>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extLst>
              <c:ext xmlns:c16="http://schemas.microsoft.com/office/drawing/2014/chart" uri="{C3380CC4-5D6E-409C-BE32-E72D297353CC}">
                <c16:uniqueId val="{00000017-59AA-470B-91B5-BA523C3A6C68}"/>
              </c:ext>
            </c:extLst>
          </c:dPt>
          <c:dLbls>
            <c:dLbl>
              <c:idx val="0"/>
              <c:layout>
                <c:manualLayout>
                  <c:x val="0.15372066014906374"/>
                  <c:y val="-8.884285923436913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9AA-470B-91B5-BA523C3A6C68}"/>
                </c:ext>
              </c:extLst>
            </c:dLbl>
            <c:dLbl>
              <c:idx val="1"/>
              <c:layout>
                <c:manualLayout>
                  <c:x val="0.13628842033834507"/>
                  <c:y val="7.826632837313467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9AA-470B-91B5-BA523C3A6C68}"/>
                </c:ext>
              </c:extLst>
            </c:dLbl>
            <c:dLbl>
              <c:idx val="2"/>
              <c:layout>
                <c:manualLayout>
                  <c:x val="8.7161199053592847E-2"/>
                  <c:y val="0.1353795950238005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9AA-470B-91B5-BA523C3A6C68}"/>
                </c:ext>
              </c:extLst>
            </c:dLbl>
            <c:dLbl>
              <c:idx val="3"/>
              <c:layout>
                <c:manualLayout>
                  <c:x val="-0.10300868979060979"/>
                  <c:y val="0.1184571456458254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9AA-470B-91B5-BA523C3A6C68}"/>
                </c:ext>
              </c:extLst>
            </c:dLbl>
            <c:dLbl>
              <c:idx val="4"/>
              <c:layout>
                <c:manualLayout>
                  <c:x val="-0.15847490737016884"/>
                  <c:y val="9.941939009560335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9AA-470B-91B5-BA523C3A6C68}"/>
                </c:ext>
              </c:extLst>
            </c:dLbl>
            <c:dLbl>
              <c:idx val="5"/>
              <c:layout>
                <c:manualLayout>
                  <c:x val="-0.17273758664178818"/>
                  <c:y val="1.6922449377975067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14210444943883035"/>
                      <c:h val="7.0714685338213304E-2"/>
                    </c:manualLayout>
                  </c15:layout>
                </c:ext>
                <c:ext xmlns:c16="http://schemas.microsoft.com/office/drawing/2014/chart" uri="{C3380CC4-5D6E-409C-BE32-E72D297353CC}">
                  <c16:uniqueId val="{0000000B-59AA-470B-91B5-BA523C3A6C68}"/>
                </c:ext>
              </c:extLst>
            </c:dLbl>
            <c:dLbl>
              <c:idx val="6"/>
              <c:layout>
                <c:manualLayout>
                  <c:x val="-0.16956815088608063"/>
                  <c:y val="-1.4807143205728179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9.682018226610882E-2"/>
                      <c:h val="8.9752440888435259E-2"/>
                    </c:manualLayout>
                  </c15:layout>
                </c:ext>
                <c:ext xmlns:c16="http://schemas.microsoft.com/office/drawing/2014/chart" uri="{C3380CC4-5D6E-409C-BE32-E72D297353CC}">
                  <c16:uniqueId val="{0000000D-59AA-470B-91B5-BA523C3A6C68}"/>
                </c:ext>
              </c:extLst>
            </c:dLbl>
            <c:dLbl>
              <c:idx val="7"/>
              <c:layout>
                <c:manualLayout>
                  <c:x val="-0.14421216570685358"/>
                  <c:y val="-0.1078805315048205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5.7613490182729057E-2"/>
                      <c:h val="4.1100398926756938E-2"/>
                    </c:manualLayout>
                  </c15:layout>
                </c:ext>
                <c:ext xmlns:c16="http://schemas.microsoft.com/office/drawing/2014/chart" uri="{C3380CC4-5D6E-409C-BE32-E72D297353CC}">
                  <c16:uniqueId val="{0000000F-59AA-470B-91B5-BA523C3A6C68}"/>
                </c:ext>
              </c:extLst>
            </c:dLbl>
            <c:dLbl>
              <c:idx val="8"/>
              <c:layout>
                <c:manualLayout>
                  <c:x val="-0.12044092960132829"/>
                  <c:y val="-0.1438408197127880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9AA-470B-91B5-BA523C3A6C68}"/>
                </c:ext>
              </c:extLst>
            </c:dLbl>
            <c:dLbl>
              <c:idx val="9"/>
              <c:layout>
                <c:manualLayout>
                  <c:x val="-3.6449228695138884E-2"/>
                  <c:y val="-0.1586479629185162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59AA-470B-91B5-BA523C3A6C68}"/>
                </c:ext>
              </c:extLst>
            </c:dLbl>
            <c:dLbl>
              <c:idx val="10"/>
              <c:layout>
                <c:manualLayout>
                  <c:x val="3.6449228695138766E-2"/>
                  <c:y val="-0.139610207368294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5-59AA-470B-91B5-BA523C3A6C68}"/>
                </c:ext>
              </c:extLst>
            </c:dLbl>
            <c:dLbl>
              <c:idx val="11"/>
              <c:layout>
                <c:manualLayout>
                  <c:x val="0.15530540922276542"/>
                  <c:y val="-0.1332642888515536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7-59AA-470B-91B5-BA523C3A6C68}"/>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showLeaderLines val="1"/>
            <c:leaderLines>
              <c:spPr>
                <a:ln w="9525">
                  <a:solidFill>
                    <a:schemeClr val="tx1"/>
                  </a:solidFill>
                </a:ln>
                <a:effectLst/>
              </c:spPr>
            </c:leaderLines>
            <c:extLst>
              <c:ext xmlns:c15="http://schemas.microsoft.com/office/drawing/2012/chart" uri="{CE6537A1-D6FC-4f65-9D91-7224C49458BB}"/>
            </c:extLst>
          </c:dLbls>
          <c:cat>
            <c:strRef>
              <c:f>('2. PROCESS RECAP '!$A$4,'2. PROCESS RECAP '!$A$8,'2. PROCESS RECAP '!$A$13,'2. PROCESS RECAP '!$A$19,'2. PROCESS RECAP '!$A$25,'2. PROCESS RECAP '!$A$29,'2. PROCESS RECAP '!$A$38,'2. PROCESS RECAP '!$A$43,'2. PROCESS RECAP '!$A$49,'2. PROCESS RECAP '!$A$53,'2. PROCESS RECAP '!$A$56,'2. PROCESS RECAP '!$A$59)</c:f>
              <c:strCache>
                <c:ptCount val="12"/>
                <c:pt idx="0">
                  <c:v>PHOTOLITHOGAPHY</c:v>
                </c:pt>
                <c:pt idx="1">
                  <c:v>WET CLEAN</c:v>
                </c:pt>
                <c:pt idx="2">
                  <c:v>WET ETCH</c:v>
                </c:pt>
                <c:pt idx="3">
                  <c:v>DRY ETCH</c:v>
                </c:pt>
                <c:pt idx="4">
                  <c:v>ION IMPLANT</c:v>
                </c:pt>
                <c:pt idx="5">
                  <c:v>THERMAL PROCESSES</c:v>
                </c:pt>
                <c:pt idx="6">
                  <c:v>PVD</c:v>
                </c:pt>
                <c:pt idx="7">
                  <c:v>CVD</c:v>
                </c:pt>
                <c:pt idx="8">
                  <c:v>CMP</c:v>
                </c:pt>
                <c:pt idx="9">
                  <c:v>THINNING</c:v>
                </c:pt>
                <c:pt idx="10">
                  <c:v>DICING</c:v>
                </c:pt>
                <c:pt idx="11">
                  <c:v>PROBING</c:v>
                </c:pt>
              </c:strCache>
            </c:strRef>
          </c:cat>
          <c:val>
            <c:numRef>
              <c:f>('2. PROCESS RECAP '!$J$4,'2. PROCESS RECAP '!$J$8,'2. PROCESS RECAP '!$J$13,'2. PROCESS RECAP '!$J$19,'2. PROCESS RECAP '!$J$25,'2. PROCESS RECAP '!$J$29,'2. PROCESS RECAP '!$J$38,'2. PROCESS RECAP '!$J$43,'2. PROCESS RECAP '!$J$49,'2. PROCESS RECAP '!$J$53,'2. PROCESS RECAP '!$J$56,'2. PROCESS RECAP '!$J$59)</c:f>
              <c:numCache>
                <c:formatCode>General</c:formatCode>
                <c:ptCount val="12"/>
                <c:pt idx="0">
                  <c:v>33</c:v>
                </c:pt>
                <c:pt idx="1">
                  <c:v>10</c:v>
                </c:pt>
                <c:pt idx="2">
                  <c:v>11</c:v>
                </c:pt>
                <c:pt idx="3">
                  <c:v>16</c:v>
                </c:pt>
                <c:pt idx="4">
                  <c:v>7</c:v>
                </c:pt>
                <c:pt idx="5">
                  <c:v>11</c:v>
                </c:pt>
                <c:pt idx="6">
                  <c:v>6</c:v>
                </c:pt>
                <c:pt idx="7">
                  <c:v>7</c:v>
                </c:pt>
                <c:pt idx="8">
                  <c:v>6</c:v>
                </c:pt>
                <c:pt idx="9">
                  <c:v>2</c:v>
                </c:pt>
                <c:pt idx="10">
                  <c:v>2</c:v>
                </c:pt>
                <c:pt idx="11">
                  <c:v>2</c:v>
                </c:pt>
              </c:numCache>
            </c:numRef>
          </c:val>
          <c:extLst>
            <c:ext xmlns:c16="http://schemas.microsoft.com/office/drawing/2014/chart" uri="{C3380CC4-5D6E-409C-BE32-E72D297353CC}">
              <c16:uniqueId val="{00000018-59AA-470B-91B5-BA523C3A6C68}"/>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r>
              <a:rPr lang="fr-FR" sz="1400" b="1">
                <a:solidFill>
                  <a:sysClr val="windowText" lastClr="000000"/>
                </a:solidFill>
              </a:rPr>
              <a:t>Bill of Materials (BoM) (kg/wafer) -</a:t>
            </a:r>
            <a:r>
              <a:rPr lang="fr-FR" sz="1400" b="1" baseline="0">
                <a:solidFill>
                  <a:sysClr val="windowText" lastClr="000000"/>
                </a:solidFill>
              </a:rPr>
              <a:t> Wafer process steps </a:t>
            </a:r>
            <a:endParaRPr lang="fr-FR" sz="1400" b="1">
              <a:solidFill>
                <a:sysClr val="windowText" lastClr="000000"/>
              </a:solidFill>
            </a:endParaRPr>
          </a:p>
        </c:rich>
      </c:tx>
      <c:overlay val="0"/>
      <c:spPr>
        <a:solidFill>
          <a:schemeClr val="accent2"/>
        </a:solidFill>
        <a:ln>
          <a:noFill/>
        </a:ln>
        <a:effectLst/>
      </c:spPr>
      <c:txPr>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0.24661378298679937"/>
          <c:y val="0.19597668877477742"/>
          <c:w val="0.47923744330784207"/>
          <c:h val="0.70923875935592173"/>
        </c:manualLayout>
      </c:layout>
      <c:doughnutChart>
        <c:varyColors val="1"/>
        <c:ser>
          <c:idx val="0"/>
          <c:order val="0"/>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CCD5-4285-9E69-4E2FC5BE9D74}"/>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CCD5-4285-9E69-4E2FC5BE9D74}"/>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CCD5-4285-9E69-4E2FC5BE9D74}"/>
              </c:ext>
            </c:extLst>
          </c:dPt>
          <c:dPt>
            <c:idx val="3"/>
            <c:bubble3D val="0"/>
            <c:spPr>
              <a:solidFill>
                <a:schemeClr val="accent6">
                  <a:lumMod val="40000"/>
                  <a:lumOff val="60000"/>
                </a:schemeClr>
              </a:solidFill>
              <a:ln w="9525" cap="flat" cmpd="sng" algn="ctr">
                <a:solidFill>
                  <a:schemeClr val="accent4">
                    <a:shade val="95000"/>
                  </a:schemeClr>
                </a:solidFill>
                <a:round/>
              </a:ln>
              <a:effectLst/>
            </c:spPr>
            <c:extLst>
              <c:ext xmlns:c16="http://schemas.microsoft.com/office/drawing/2014/chart" uri="{C3380CC4-5D6E-409C-BE32-E72D297353CC}">
                <c16:uniqueId val="{00000007-CCD5-4285-9E69-4E2FC5BE9D74}"/>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CCD5-4285-9E69-4E2FC5BE9D74}"/>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B-CCD5-4285-9E69-4E2FC5BE9D74}"/>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D-CCD5-4285-9E69-4E2FC5BE9D74}"/>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0F-CCD5-4285-9E69-4E2FC5BE9D74}"/>
              </c:ext>
            </c:extLst>
          </c:dPt>
          <c:dPt>
            <c:idx val="8"/>
            <c:bubble3D val="0"/>
            <c:spPr>
              <a:solidFill>
                <a:schemeClr val="accent1">
                  <a:lumMod val="60000"/>
                  <a:lumOff val="40000"/>
                </a:schemeClr>
              </a:soli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11-CCD5-4285-9E69-4E2FC5BE9D74}"/>
              </c:ext>
            </c:extLst>
          </c:dPt>
          <c:dPt>
            <c:idx val="9"/>
            <c:bubble3D val="0"/>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extLst>
              <c:ext xmlns:c16="http://schemas.microsoft.com/office/drawing/2014/chart" uri="{C3380CC4-5D6E-409C-BE32-E72D297353CC}">
                <c16:uniqueId val="{00000013-CCD5-4285-9E69-4E2FC5BE9D74}"/>
              </c:ext>
            </c:extLst>
          </c:dPt>
          <c:dPt>
            <c:idx val="10"/>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15-CCD5-4285-9E69-4E2FC5BE9D74}"/>
              </c:ext>
            </c:extLst>
          </c:dPt>
          <c:dPt>
            <c:idx val="11"/>
            <c:bubble3D val="0"/>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extLst>
              <c:ext xmlns:c16="http://schemas.microsoft.com/office/drawing/2014/chart" uri="{C3380CC4-5D6E-409C-BE32-E72D297353CC}">
                <c16:uniqueId val="{00000017-CCD5-4285-9E69-4E2FC5BE9D74}"/>
              </c:ext>
            </c:extLst>
          </c:dPt>
          <c:dPt>
            <c:idx val="12"/>
            <c:bubble3D val="0"/>
            <c:spPr>
              <a:gradFill rotWithShape="1">
                <a:gsLst>
                  <a:gs pos="0">
                    <a:schemeClr val="accent1">
                      <a:lumMod val="80000"/>
                      <a:lumOff val="20000"/>
                      <a:lumMod val="110000"/>
                      <a:satMod val="105000"/>
                      <a:tint val="67000"/>
                    </a:schemeClr>
                  </a:gs>
                  <a:gs pos="50000">
                    <a:schemeClr val="accent1">
                      <a:lumMod val="80000"/>
                      <a:lumOff val="20000"/>
                      <a:lumMod val="105000"/>
                      <a:satMod val="103000"/>
                      <a:tint val="73000"/>
                    </a:schemeClr>
                  </a:gs>
                  <a:gs pos="100000">
                    <a:schemeClr val="accent1">
                      <a:lumMod val="80000"/>
                      <a:lumOff val="20000"/>
                      <a:lumMod val="105000"/>
                      <a:satMod val="109000"/>
                      <a:tint val="81000"/>
                    </a:schemeClr>
                  </a:gs>
                </a:gsLst>
                <a:lin ang="5400000" scaled="0"/>
              </a:gradFill>
              <a:ln w="9525" cap="flat" cmpd="sng" algn="ctr">
                <a:solidFill>
                  <a:schemeClr val="accent1">
                    <a:lumMod val="80000"/>
                    <a:lumOff val="20000"/>
                    <a:shade val="95000"/>
                  </a:schemeClr>
                </a:solidFill>
                <a:round/>
              </a:ln>
              <a:effectLst/>
            </c:spPr>
            <c:extLst>
              <c:ext xmlns:c16="http://schemas.microsoft.com/office/drawing/2014/chart" uri="{C3380CC4-5D6E-409C-BE32-E72D297353CC}">
                <c16:uniqueId val="{0000001C-CCD5-4285-9E69-4E2FC5BE9D74}"/>
              </c:ext>
            </c:extLst>
          </c:dPt>
          <c:dPt>
            <c:idx val="13"/>
            <c:bubble3D val="0"/>
            <c:spPr>
              <a:gradFill rotWithShape="1">
                <a:gsLst>
                  <a:gs pos="0">
                    <a:schemeClr val="accent2">
                      <a:lumMod val="80000"/>
                      <a:lumOff val="20000"/>
                      <a:lumMod val="110000"/>
                      <a:satMod val="105000"/>
                      <a:tint val="67000"/>
                    </a:schemeClr>
                  </a:gs>
                  <a:gs pos="50000">
                    <a:schemeClr val="accent2">
                      <a:lumMod val="80000"/>
                      <a:lumOff val="20000"/>
                      <a:lumMod val="105000"/>
                      <a:satMod val="103000"/>
                      <a:tint val="73000"/>
                    </a:schemeClr>
                  </a:gs>
                  <a:gs pos="100000">
                    <a:schemeClr val="accent2">
                      <a:lumMod val="80000"/>
                      <a:lumOff val="20000"/>
                      <a:lumMod val="105000"/>
                      <a:satMod val="109000"/>
                      <a:tint val="81000"/>
                    </a:schemeClr>
                  </a:gs>
                </a:gsLst>
                <a:lin ang="5400000" scaled="0"/>
              </a:gradFill>
              <a:ln w="9525" cap="flat" cmpd="sng" algn="ctr">
                <a:solidFill>
                  <a:schemeClr val="accent2">
                    <a:lumMod val="80000"/>
                    <a:lumOff val="20000"/>
                    <a:shade val="95000"/>
                  </a:schemeClr>
                </a:solidFill>
                <a:round/>
              </a:ln>
              <a:effectLst/>
            </c:spPr>
            <c:extLst>
              <c:ext xmlns:c16="http://schemas.microsoft.com/office/drawing/2014/chart" uri="{C3380CC4-5D6E-409C-BE32-E72D297353CC}">
                <c16:uniqueId val="{0000001B-CCD5-4285-9E69-4E2FC5BE9D74}"/>
              </c:ext>
            </c:extLst>
          </c:dPt>
          <c:dPt>
            <c:idx val="14"/>
            <c:bubble3D val="0"/>
            <c:spPr>
              <a:gradFill rotWithShape="1">
                <a:gsLst>
                  <a:gs pos="0">
                    <a:schemeClr val="accent3">
                      <a:lumMod val="80000"/>
                      <a:lumOff val="20000"/>
                      <a:lumMod val="110000"/>
                      <a:satMod val="105000"/>
                      <a:tint val="67000"/>
                    </a:schemeClr>
                  </a:gs>
                  <a:gs pos="50000">
                    <a:schemeClr val="accent3">
                      <a:lumMod val="80000"/>
                      <a:lumOff val="20000"/>
                      <a:lumMod val="105000"/>
                      <a:satMod val="103000"/>
                      <a:tint val="73000"/>
                    </a:schemeClr>
                  </a:gs>
                  <a:gs pos="100000">
                    <a:schemeClr val="accent3">
                      <a:lumMod val="80000"/>
                      <a:lumOff val="20000"/>
                      <a:lumMod val="105000"/>
                      <a:satMod val="109000"/>
                      <a:tint val="81000"/>
                    </a:schemeClr>
                  </a:gs>
                </a:gsLst>
                <a:lin ang="5400000" scaled="0"/>
              </a:gradFill>
              <a:ln w="9525" cap="flat" cmpd="sng" algn="ctr">
                <a:solidFill>
                  <a:schemeClr val="accent3">
                    <a:lumMod val="80000"/>
                    <a:lumOff val="20000"/>
                    <a:shade val="95000"/>
                  </a:schemeClr>
                </a:solidFill>
                <a:round/>
              </a:ln>
              <a:effectLst/>
            </c:spPr>
            <c:extLst>
              <c:ext xmlns:c16="http://schemas.microsoft.com/office/drawing/2014/chart" uri="{C3380CC4-5D6E-409C-BE32-E72D297353CC}">
                <c16:uniqueId val="{0000001A-CCD5-4285-9E69-4E2FC5BE9D74}"/>
              </c:ext>
            </c:extLst>
          </c:dPt>
          <c:dPt>
            <c:idx val="15"/>
            <c:bubble3D val="0"/>
            <c:spPr>
              <a:gradFill rotWithShape="1">
                <a:gsLst>
                  <a:gs pos="0">
                    <a:schemeClr val="accent4">
                      <a:lumMod val="80000"/>
                      <a:lumOff val="20000"/>
                      <a:lumMod val="110000"/>
                      <a:satMod val="105000"/>
                      <a:tint val="67000"/>
                    </a:schemeClr>
                  </a:gs>
                  <a:gs pos="50000">
                    <a:schemeClr val="accent4">
                      <a:lumMod val="80000"/>
                      <a:lumOff val="20000"/>
                      <a:lumMod val="105000"/>
                      <a:satMod val="103000"/>
                      <a:tint val="73000"/>
                    </a:schemeClr>
                  </a:gs>
                  <a:gs pos="100000">
                    <a:schemeClr val="accent4">
                      <a:lumMod val="80000"/>
                      <a:lumOff val="20000"/>
                      <a:lumMod val="105000"/>
                      <a:satMod val="109000"/>
                      <a:tint val="81000"/>
                    </a:schemeClr>
                  </a:gs>
                </a:gsLst>
                <a:lin ang="5400000" scaled="0"/>
              </a:gradFill>
              <a:ln w="9525" cap="flat" cmpd="sng" algn="ctr">
                <a:solidFill>
                  <a:schemeClr val="accent4">
                    <a:lumMod val="80000"/>
                    <a:lumOff val="20000"/>
                    <a:shade val="95000"/>
                  </a:schemeClr>
                </a:solidFill>
                <a:round/>
              </a:ln>
              <a:effectLst/>
            </c:spPr>
            <c:extLst>
              <c:ext xmlns:c16="http://schemas.microsoft.com/office/drawing/2014/chart" uri="{C3380CC4-5D6E-409C-BE32-E72D297353CC}">
                <c16:uniqueId val="{00000019-CCD5-4285-9E69-4E2FC5BE9D74}"/>
              </c:ext>
            </c:extLst>
          </c:dPt>
          <c:dPt>
            <c:idx val="16"/>
            <c:bubble3D val="0"/>
            <c:spPr>
              <a:gradFill rotWithShape="1">
                <a:gsLst>
                  <a:gs pos="0">
                    <a:schemeClr val="accent5">
                      <a:lumMod val="80000"/>
                      <a:lumOff val="20000"/>
                      <a:lumMod val="110000"/>
                      <a:satMod val="105000"/>
                      <a:tint val="67000"/>
                    </a:schemeClr>
                  </a:gs>
                  <a:gs pos="50000">
                    <a:schemeClr val="accent5">
                      <a:lumMod val="80000"/>
                      <a:lumOff val="20000"/>
                      <a:lumMod val="105000"/>
                      <a:satMod val="103000"/>
                      <a:tint val="73000"/>
                    </a:schemeClr>
                  </a:gs>
                  <a:gs pos="100000">
                    <a:schemeClr val="accent5">
                      <a:lumMod val="80000"/>
                      <a:lumOff val="20000"/>
                      <a:lumMod val="105000"/>
                      <a:satMod val="109000"/>
                      <a:tint val="81000"/>
                    </a:schemeClr>
                  </a:gs>
                </a:gsLst>
                <a:lin ang="5400000" scaled="0"/>
              </a:gradFill>
              <a:ln w="9525" cap="flat" cmpd="sng" algn="ctr">
                <a:solidFill>
                  <a:schemeClr val="accent5">
                    <a:lumMod val="80000"/>
                    <a:lumOff val="20000"/>
                    <a:shade val="95000"/>
                  </a:schemeClr>
                </a:solidFill>
                <a:round/>
              </a:ln>
              <a:effectLst/>
            </c:spPr>
            <c:extLst>
              <c:ext xmlns:c16="http://schemas.microsoft.com/office/drawing/2014/chart" uri="{C3380CC4-5D6E-409C-BE32-E72D297353CC}">
                <c16:uniqueId val="{00000028-CCD5-4285-9E69-4E2FC5BE9D74}"/>
              </c:ext>
            </c:extLst>
          </c:dPt>
          <c:dPt>
            <c:idx val="17"/>
            <c:bubble3D val="0"/>
            <c:spPr>
              <a:gradFill rotWithShape="1">
                <a:gsLst>
                  <a:gs pos="0">
                    <a:schemeClr val="accent6">
                      <a:lumMod val="80000"/>
                      <a:lumOff val="20000"/>
                      <a:lumMod val="110000"/>
                      <a:satMod val="105000"/>
                      <a:tint val="67000"/>
                    </a:schemeClr>
                  </a:gs>
                  <a:gs pos="50000">
                    <a:schemeClr val="accent6">
                      <a:lumMod val="80000"/>
                      <a:lumOff val="20000"/>
                      <a:lumMod val="105000"/>
                      <a:satMod val="103000"/>
                      <a:tint val="73000"/>
                    </a:schemeClr>
                  </a:gs>
                  <a:gs pos="100000">
                    <a:schemeClr val="accent6">
                      <a:lumMod val="80000"/>
                      <a:lumOff val="20000"/>
                      <a:lumMod val="105000"/>
                      <a:satMod val="109000"/>
                      <a:tint val="81000"/>
                    </a:schemeClr>
                  </a:gs>
                </a:gsLst>
                <a:lin ang="5400000" scaled="0"/>
              </a:gradFill>
              <a:ln w="9525" cap="flat" cmpd="sng" algn="ctr">
                <a:solidFill>
                  <a:schemeClr val="accent6">
                    <a:lumMod val="80000"/>
                    <a:lumOff val="20000"/>
                    <a:shade val="95000"/>
                  </a:schemeClr>
                </a:solidFill>
                <a:round/>
              </a:ln>
              <a:effectLst/>
            </c:spPr>
            <c:extLst>
              <c:ext xmlns:c16="http://schemas.microsoft.com/office/drawing/2014/chart" uri="{C3380CC4-5D6E-409C-BE32-E72D297353CC}">
                <c16:uniqueId val="{00000027-CCD5-4285-9E69-4E2FC5BE9D74}"/>
              </c:ext>
            </c:extLst>
          </c:dPt>
          <c:dPt>
            <c:idx val="18"/>
            <c:bubble3D val="0"/>
            <c:spPr>
              <a:gradFill rotWithShape="1">
                <a:gsLst>
                  <a:gs pos="0">
                    <a:schemeClr val="accent1">
                      <a:lumMod val="80000"/>
                      <a:lumMod val="110000"/>
                      <a:satMod val="105000"/>
                      <a:tint val="67000"/>
                    </a:schemeClr>
                  </a:gs>
                  <a:gs pos="50000">
                    <a:schemeClr val="accent1">
                      <a:lumMod val="80000"/>
                      <a:lumMod val="105000"/>
                      <a:satMod val="103000"/>
                      <a:tint val="73000"/>
                    </a:schemeClr>
                  </a:gs>
                  <a:gs pos="100000">
                    <a:schemeClr val="accent1">
                      <a:lumMod val="80000"/>
                      <a:lumMod val="105000"/>
                      <a:satMod val="109000"/>
                      <a:tint val="81000"/>
                    </a:schemeClr>
                  </a:gs>
                </a:gsLst>
                <a:lin ang="5400000" scaled="0"/>
              </a:gradFill>
              <a:ln w="9525" cap="flat" cmpd="sng" algn="ctr">
                <a:solidFill>
                  <a:schemeClr val="accent1">
                    <a:lumMod val="80000"/>
                    <a:shade val="95000"/>
                  </a:schemeClr>
                </a:solidFill>
                <a:round/>
              </a:ln>
              <a:effectLst/>
            </c:spPr>
            <c:extLst>
              <c:ext xmlns:c16="http://schemas.microsoft.com/office/drawing/2014/chart" uri="{C3380CC4-5D6E-409C-BE32-E72D297353CC}">
                <c16:uniqueId val="{00000026-CCD5-4285-9E69-4E2FC5BE9D74}"/>
              </c:ext>
            </c:extLst>
          </c:dPt>
          <c:dPt>
            <c:idx val="19"/>
            <c:bubble3D val="0"/>
            <c:spPr>
              <a:gradFill rotWithShape="1">
                <a:gsLst>
                  <a:gs pos="0">
                    <a:schemeClr val="accent2">
                      <a:lumMod val="80000"/>
                      <a:lumMod val="110000"/>
                      <a:satMod val="105000"/>
                      <a:tint val="67000"/>
                    </a:schemeClr>
                  </a:gs>
                  <a:gs pos="50000">
                    <a:schemeClr val="accent2">
                      <a:lumMod val="80000"/>
                      <a:lumMod val="105000"/>
                      <a:satMod val="103000"/>
                      <a:tint val="73000"/>
                    </a:schemeClr>
                  </a:gs>
                  <a:gs pos="100000">
                    <a:schemeClr val="accent2">
                      <a:lumMod val="80000"/>
                      <a:lumMod val="105000"/>
                      <a:satMod val="109000"/>
                      <a:tint val="81000"/>
                    </a:schemeClr>
                  </a:gs>
                </a:gsLst>
                <a:lin ang="5400000" scaled="0"/>
              </a:gradFill>
              <a:ln w="9525" cap="flat" cmpd="sng" algn="ctr">
                <a:solidFill>
                  <a:schemeClr val="accent2">
                    <a:lumMod val="80000"/>
                    <a:shade val="95000"/>
                  </a:schemeClr>
                </a:solidFill>
                <a:round/>
              </a:ln>
              <a:effectLst/>
            </c:spPr>
            <c:extLst>
              <c:ext xmlns:c16="http://schemas.microsoft.com/office/drawing/2014/chart" uri="{C3380CC4-5D6E-409C-BE32-E72D297353CC}">
                <c16:uniqueId val="{00000025-CCD5-4285-9E69-4E2FC5BE9D74}"/>
              </c:ext>
            </c:extLst>
          </c:dPt>
          <c:dPt>
            <c:idx val="20"/>
            <c:bubble3D val="0"/>
            <c:spPr>
              <a:gradFill rotWithShape="1">
                <a:gsLst>
                  <a:gs pos="0">
                    <a:schemeClr val="accent3">
                      <a:lumMod val="80000"/>
                      <a:lumMod val="110000"/>
                      <a:satMod val="105000"/>
                      <a:tint val="67000"/>
                    </a:schemeClr>
                  </a:gs>
                  <a:gs pos="50000">
                    <a:schemeClr val="accent3">
                      <a:lumMod val="80000"/>
                      <a:lumMod val="105000"/>
                      <a:satMod val="103000"/>
                      <a:tint val="73000"/>
                    </a:schemeClr>
                  </a:gs>
                  <a:gs pos="100000">
                    <a:schemeClr val="accent3">
                      <a:lumMod val="80000"/>
                      <a:lumMod val="105000"/>
                      <a:satMod val="109000"/>
                      <a:tint val="81000"/>
                    </a:schemeClr>
                  </a:gs>
                </a:gsLst>
                <a:lin ang="5400000" scaled="0"/>
              </a:gradFill>
              <a:ln w="9525" cap="flat" cmpd="sng" algn="ctr">
                <a:solidFill>
                  <a:schemeClr val="accent3">
                    <a:lumMod val="80000"/>
                    <a:shade val="95000"/>
                  </a:schemeClr>
                </a:solidFill>
                <a:round/>
              </a:ln>
              <a:effectLst/>
            </c:spPr>
            <c:extLst>
              <c:ext xmlns:c16="http://schemas.microsoft.com/office/drawing/2014/chart" uri="{C3380CC4-5D6E-409C-BE32-E72D297353CC}">
                <c16:uniqueId val="{00000022-CCD5-4285-9E69-4E2FC5BE9D74}"/>
              </c:ext>
            </c:extLst>
          </c:dPt>
          <c:dPt>
            <c:idx val="21"/>
            <c:bubble3D val="0"/>
            <c:spPr>
              <a:gradFill rotWithShape="1">
                <a:gsLst>
                  <a:gs pos="0">
                    <a:schemeClr val="accent4">
                      <a:lumMod val="80000"/>
                      <a:lumMod val="110000"/>
                      <a:satMod val="105000"/>
                      <a:tint val="67000"/>
                    </a:schemeClr>
                  </a:gs>
                  <a:gs pos="50000">
                    <a:schemeClr val="accent4">
                      <a:lumMod val="80000"/>
                      <a:lumMod val="105000"/>
                      <a:satMod val="103000"/>
                      <a:tint val="73000"/>
                    </a:schemeClr>
                  </a:gs>
                  <a:gs pos="100000">
                    <a:schemeClr val="accent4">
                      <a:lumMod val="80000"/>
                      <a:lumMod val="105000"/>
                      <a:satMod val="109000"/>
                      <a:tint val="81000"/>
                    </a:schemeClr>
                  </a:gs>
                </a:gsLst>
                <a:lin ang="5400000" scaled="0"/>
              </a:gradFill>
              <a:ln w="9525" cap="flat" cmpd="sng" algn="ctr">
                <a:solidFill>
                  <a:schemeClr val="accent4">
                    <a:lumMod val="80000"/>
                    <a:shade val="95000"/>
                  </a:schemeClr>
                </a:solidFill>
                <a:round/>
              </a:ln>
              <a:effectLst/>
            </c:spPr>
            <c:extLst>
              <c:ext xmlns:c16="http://schemas.microsoft.com/office/drawing/2014/chart" uri="{C3380CC4-5D6E-409C-BE32-E72D297353CC}">
                <c16:uniqueId val="{00000024-CCD5-4285-9E69-4E2FC5BE9D74}"/>
              </c:ext>
            </c:extLst>
          </c:dPt>
          <c:dPt>
            <c:idx val="22"/>
            <c:bubble3D val="0"/>
            <c:spPr>
              <a:gradFill rotWithShape="1">
                <a:gsLst>
                  <a:gs pos="0">
                    <a:schemeClr val="accent5">
                      <a:lumMod val="80000"/>
                      <a:lumMod val="110000"/>
                      <a:satMod val="105000"/>
                      <a:tint val="67000"/>
                    </a:schemeClr>
                  </a:gs>
                  <a:gs pos="50000">
                    <a:schemeClr val="accent5">
                      <a:lumMod val="80000"/>
                      <a:lumMod val="105000"/>
                      <a:satMod val="103000"/>
                      <a:tint val="73000"/>
                    </a:schemeClr>
                  </a:gs>
                  <a:gs pos="100000">
                    <a:schemeClr val="accent5">
                      <a:lumMod val="80000"/>
                      <a:lumMod val="105000"/>
                      <a:satMod val="109000"/>
                      <a:tint val="81000"/>
                    </a:schemeClr>
                  </a:gs>
                </a:gsLst>
                <a:lin ang="5400000" scaled="0"/>
              </a:gradFill>
              <a:ln w="9525" cap="flat" cmpd="sng" algn="ctr">
                <a:solidFill>
                  <a:schemeClr val="accent5">
                    <a:lumMod val="80000"/>
                    <a:shade val="95000"/>
                  </a:schemeClr>
                </a:solidFill>
                <a:round/>
              </a:ln>
              <a:effectLst/>
            </c:spPr>
            <c:extLst>
              <c:ext xmlns:c16="http://schemas.microsoft.com/office/drawing/2014/chart" uri="{C3380CC4-5D6E-409C-BE32-E72D297353CC}">
                <c16:uniqueId val="{00000023-CCD5-4285-9E69-4E2FC5BE9D74}"/>
              </c:ext>
            </c:extLst>
          </c:dPt>
          <c:dPt>
            <c:idx val="23"/>
            <c:bubble3D val="0"/>
            <c:spPr>
              <a:gradFill rotWithShape="1">
                <a:gsLst>
                  <a:gs pos="0">
                    <a:schemeClr val="accent6">
                      <a:lumMod val="80000"/>
                      <a:lumMod val="110000"/>
                      <a:satMod val="105000"/>
                      <a:tint val="67000"/>
                    </a:schemeClr>
                  </a:gs>
                  <a:gs pos="50000">
                    <a:schemeClr val="accent6">
                      <a:lumMod val="80000"/>
                      <a:lumMod val="105000"/>
                      <a:satMod val="103000"/>
                      <a:tint val="73000"/>
                    </a:schemeClr>
                  </a:gs>
                  <a:gs pos="100000">
                    <a:schemeClr val="accent6">
                      <a:lumMod val="80000"/>
                      <a:lumMod val="105000"/>
                      <a:satMod val="109000"/>
                      <a:tint val="81000"/>
                    </a:schemeClr>
                  </a:gs>
                </a:gsLst>
                <a:lin ang="5400000" scaled="0"/>
              </a:gradFill>
              <a:ln w="9525" cap="flat" cmpd="sng" algn="ctr">
                <a:solidFill>
                  <a:schemeClr val="accent6">
                    <a:lumMod val="80000"/>
                    <a:shade val="95000"/>
                  </a:schemeClr>
                </a:solidFill>
                <a:round/>
              </a:ln>
              <a:effectLst/>
            </c:spPr>
            <c:extLst>
              <c:ext xmlns:c16="http://schemas.microsoft.com/office/drawing/2014/chart" uri="{C3380CC4-5D6E-409C-BE32-E72D297353CC}">
                <c16:uniqueId val="{00000021-CCD5-4285-9E69-4E2FC5BE9D74}"/>
              </c:ext>
            </c:extLst>
          </c:dPt>
          <c:dPt>
            <c:idx val="24"/>
            <c:bubble3D val="0"/>
            <c:spPr>
              <a:gradFill rotWithShape="1">
                <a:gsLst>
                  <a:gs pos="0">
                    <a:schemeClr val="accent1">
                      <a:lumMod val="60000"/>
                      <a:lumOff val="40000"/>
                      <a:lumMod val="110000"/>
                      <a:satMod val="105000"/>
                      <a:tint val="67000"/>
                    </a:schemeClr>
                  </a:gs>
                  <a:gs pos="50000">
                    <a:schemeClr val="accent1">
                      <a:lumMod val="60000"/>
                      <a:lumOff val="40000"/>
                      <a:lumMod val="105000"/>
                      <a:satMod val="103000"/>
                      <a:tint val="73000"/>
                    </a:schemeClr>
                  </a:gs>
                  <a:gs pos="100000">
                    <a:schemeClr val="accent1">
                      <a:lumMod val="60000"/>
                      <a:lumOff val="40000"/>
                      <a:lumMod val="105000"/>
                      <a:satMod val="109000"/>
                      <a:tint val="81000"/>
                    </a:schemeClr>
                  </a:gs>
                </a:gsLst>
                <a:lin ang="5400000" scaled="0"/>
              </a:gradFill>
              <a:ln w="9525" cap="flat" cmpd="sng" algn="ctr">
                <a:solidFill>
                  <a:schemeClr val="accent1">
                    <a:lumMod val="60000"/>
                    <a:lumOff val="40000"/>
                    <a:shade val="95000"/>
                  </a:schemeClr>
                </a:solidFill>
                <a:round/>
              </a:ln>
              <a:effectLst/>
            </c:spPr>
            <c:extLst>
              <c:ext xmlns:c16="http://schemas.microsoft.com/office/drawing/2014/chart" uri="{C3380CC4-5D6E-409C-BE32-E72D297353CC}">
                <c16:uniqueId val="{00000020-CCD5-4285-9E69-4E2FC5BE9D74}"/>
              </c:ext>
            </c:extLst>
          </c:dPt>
          <c:dPt>
            <c:idx val="25"/>
            <c:bubble3D val="0"/>
            <c:spPr>
              <a:gradFill rotWithShape="1">
                <a:gsLst>
                  <a:gs pos="0">
                    <a:schemeClr val="accent2">
                      <a:lumMod val="60000"/>
                      <a:lumOff val="40000"/>
                      <a:lumMod val="110000"/>
                      <a:satMod val="105000"/>
                      <a:tint val="67000"/>
                    </a:schemeClr>
                  </a:gs>
                  <a:gs pos="50000">
                    <a:schemeClr val="accent2">
                      <a:lumMod val="60000"/>
                      <a:lumOff val="40000"/>
                      <a:lumMod val="105000"/>
                      <a:satMod val="103000"/>
                      <a:tint val="73000"/>
                    </a:schemeClr>
                  </a:gs>
                  <a:gs pos="100000">
                    <a:schemeClr val="accent2">
                      <a:lumMod val="60000"/>
                      <a:lumOff val="40000"/>
                      <a:lumMod val="105000"/>
                      <a:satMod val="109000"/>
                      <a:tint val="81000"/>
                    </a:schemeClr>
                  </a:gs>
                </a:gsLst>
                <a:lin ang="5400000" scaled="0"/>
              </a:gradFill>
              <a:ln w="9525" cap="flat" cmpd="sng" algn="ctr">
                <a:solidFill>
                  <a:schemeClr val="accent2">
                    <a:lumMod val="60000"/>
                    <a:lumOff val="40000"/>
                    <a:shade val="95000"/>
                  </a:schemeClr>
                </a:solidFill>
                <a:round/>
              </a:ln>
              <a:effectLst/>
            </c:spPr>
            <c:extLst>
              <c:ext xmlns:c16="http://schemas.microsoft.com/office/drawing/2014/chart" uri="{C3380CC4-5D6E-409C-BE32-E72D297353CC}">
                <c16:uniqueId val="{0000001F-CCD5-4285-9E69-4E2FC5BE9D74}"/>
              </c:ext>
            </c:extLst>
          </c:dPt>
          <c:dPt>
            <c:idx val="26"/>
            <c:bubble3D val="0"/>
            <c:spPr>
              <a:gradFill rotWithShape="1">
                <a:gsLst>
                  <a:gs pos="0">
                    <a:schemeClr val="accent3">
                      <a:lumMod val="60000"/>
                      <a:lumOff val="40000"/>
                      <a:lumMod val="110000"/>
                      <a:satMod val="105000"/>
                      <a:tint val="67000"/>
                    </a:schemeClr>
                  </a:gs>
                  <a:gs pos="50000">
                    <a:schemeClr val="accent3">
                      <a:lumMod val="60000"/>
                      <a:lumOff val="40000"/>
                      <a:lumMod val="105000"/>
                      <a:satMod val="103000"/>
                      <a:tint val="73000"/>
                    </a:schemeClr>
                  </a:gs>
                  <a:gs pos="100000">
                    <a:schemeClr val="accent3">
                      <a:lumMod val="60000"/>
                      <a:lumOff val="40000"/>
                      <a:lumMod val="105000"/>
                      <a:satMod val="109000"/>
                      <a:tint val="81000"/>
                    </a:schemeClr>
                  </a:gs>
                </a:gsLst>
                <a:lin ang="5400000" scaled="0"/>
              </a:gradFill>
              <a:ln w="9525" cap="flat" cmpd="sng" algn="ctr">
                <a:solidFill>
                  <a:schemeClr val="accent3">
                    <a:lumMod val="60000"/>
                    <a:lumOff val="40000"/>
                    <a:shade val="95000"/>
                  </a:schemeClr>
                </a:solidFill>
                <a:round/>
              </a:ln>
              <a:effectLst/>
            </c:spPr>
            <c:extLst>
              <c:ext xmlns:c16="http://schemas.microsoft.com/office/drawing/2014/chart" uri="{C3380CC4-5D6E-409C-BE32-E72D297353CC}">
                <c16:uniqueId val="{0000001E-CCD5-4285-9E69-4E2FC5BE9D74}"/>
              </c:ext>
            </c:extLst>
          </c:dPt>
          <c:dPt>
            <c:idx val="27"/>
            <c:bubble3D val="0"/>
            <c:spPr>
              <a:gradFill rotWithShape="1">
                <a:gsLst>
                  <a:gs pos="0">
                    <a:schemeClr val="accent4">
                      <a:lumMod val="60000"/>
                      <a:lumOff val="40000"/>
                      <a:lumMod val="110000"/>
                      <a:satMod val="105000"/>
                      <a:tint val="67000"/>
                    </a:schemeClr>
                  </a:gs>
                  <a:gs pos="50000">
                    <a:schemeClr val="accent4">
                      <a:lumMod val="60000"/>
                      <a:lumOff val="40000"/>
                      <a:lumMod val="105000"/>
                      <a:satMod val="103000"/>
                      <a:tint val="73000"/>
                    </a:schemeClr>
                  </a:gs>
                  <a:gs pos="100000">
                    <a:schemeClr val="accent4">
                      <a:lumMod val="60000"/>
                      <a:lumOff val="40000"/>
                      <a:lumMod val="105000"/>
                      <a:satMod val="109000"/>
                      <a:tint val="81000"/>
                    </a:schemeClr>
                  </a:gs>
                </a:gsLst>
                <a:lin ang="5400000" scaled="0"/>
              </a:gradFill>
              <a:ln w="9525" cap="flat" cmpd="sng" algn="ctr">
                <a:solidFill>
                  <a:schemeClr val="accent4">
                    <a:lumMod val="60000"/>
                    <a:lumOff val="40000"/>
                    <a:shade val="95000"/>
                  </a:schemeClr>
                </a:solidFill>
                <a:round/>
              </a:ln>
              <a:effectLst/>
            </c:spPr>
            <c:extLst>
              <c:ext xmlns:c16="http://schemas.microsoft.com/office/drawing/2014/chart" uri="{C3380CC4-5D6E-409C-BE32-E72D297353CC}">
                <c16:uniqueId val="{0000001D-CCD5-4285-9E69-4E2FC5BE9D74}"/>
              </c:ext>
            </c:extLst>
          </c:dPt>
          <c:dLbls>
            <c:dLbl>
              <c:idx val="0"/>
              <c:layout>
                <c:manualLayout>
                  <c:x val="0.29732525930444165"/>
                  <c:y val="-8.249648047099389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D5-4285-9E69-4E2FC5BE9D74}"/>
                </c:ext>
              </c:extLst>
            </c:dLbl>
            <c:dLbl>
              <c:idx val="1"/>
              <c:layout>
                <c:manualLayout>
                  <c:x val="0.25073890362621759"/>
                  <c:y val="-4.101946903272453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D5-4285-9E69-4E2FC5BE9D74}"/>
                </c:ext>
              </c:extLst>
            </c:dLbl>
            <c:dLbl>
              <c:idx val="2"/>
              <c:layout>
                <c:manualLayout>
                  <c:x val="0.21525453642405815"/>
                  <c:y val="-9.895681203875923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CD5-4285-9E69-4E2FC5BE9D74}"/>
                </c:ext>
              </c:extLst>
            </c:dLbl>
            <c:dLbl>
              <c:idx val="3"/>
              <c:layout>
                <c:manualLayout>
                  <c:x val="0.1398807025034923"/>
                  <c:y val="1.170876234030335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CD5-4285-9E69-4E2FC5BE9D74}"/>
                </c:ext>
              </c:extLst>
            </c:dLbl>
            <c:dLbl>
              <c:idx val="4"/>
              <c:layout>
                <c:manualLayout>
                  <c:x val="0.21186068645320791"/>
                  <c:y val="0.1203924866981500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CD5-4285-9E69-4E2FC5BE9D74}"/>
                </c:ext>
              </c:extLst>
            </c:dLbl>
            <c:dLbl>
              <c:idx val="5"/>
              <c:layout>
                <c:manualLayout>
                  <c:x val="6.8496312161563433E-2"/>
                  <c:y val="0.1411498119909347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CD5-4285-9E69-4E2FC5BE9D74}"/>
                </c:ext>
              </c:extLst>
            </c:dLbl>
            <c:dLbl>
              <c:idx val="6"/>
              <c:layout>
                <c:manualLayout>
                  <c:x val="-0.14495724906969945"/>
                  <c:y val="0.13077114934454234"/>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20945535084009262"/>
                      <c:h val="4.1224048031470069E-2"/>
                    </c:manualLayout>
                  </c15:layout>
                </c:ext>
                <c:ext xmlns:c16="http://schemas.microsoft.com/office/drawing/2014/chart" uri="{C3380CC4-5D6E-409C-BE32-E72D297353CC}">
                  <c16:uniqueId val="{0000000D-CCD5-4285-9E69-4E2FC5BE9D74}"/>
                </c:ext>
              </c:extLst>
            </c:dLbl>
            <c:dLbl>
              <c:idx val="7"/>
              <c:layout>
                <c:manualLayout>
                  <c:x val="-0.23256887385089003"/>
                  <c:y val="8.0953568641859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CD5-4285-9E69-4E2FC5BE9D74}"/>
                </c:ext>
              </c:extLst>
            </c:dLbl>
            <c:dLbl>
              <c:idx val="8"/>
              <c:layout>
                <c:manualLayout>
                  <c:x val="-0.17017664537310903"/>
                  <c:y val="4.225981903298724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CD5-4285-9E69-4E2FC5BE9D74}"/>
                </c:ext>
              </c:extLst>
            </c:dLbl>
            <c:dLbl>
              <c:idx val="9"/>
              <c:layout>
                <c:manualLayout>
                  <c:x val="-0.17522312413423219"/>
                  <c:y val="2.0757325292783762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CD5-4285-9E69-4E2FC5BE9D74}"/>
                </c:ext>
              </c:extLst>
            </c:dLbl>
            <c:dLbl>
              <c:idx val="10"/>
              <c:layout>
                <c:manualLayout>
                  <c:x val="-0.17840899911849098"/>
                  <c:y val="-3.528745299773369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CD5-4285-9E69-4E2FC5BE9D74}"/>
                </c:ext>
              </c:extLst>
            </c:dLbl>
            <c:dLbl>
              <c:idx val="11"/>
              <c:layout>
                <c:manualLayout>
                  <c:x val="-0.20071012400830235"/>
                  <c:y val="-5.604477829051825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7-CCD5-4285-9E69-4E2FC5BE9D74}"/>
                </c:ext>
              </c:extLst>
            </c:dLbl>
            <c:dLbl>
              <c:idx val="12"/>
              <c:layout>
                <c:manualLayout>
                  <c:x val="-0.20867481146894926"/>
                  <c:y val="-7.887783611258120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C-CCD5-4285-9E69-4E2FC5BE9D74}"/>
                </c:ext>
              </c:extLst>
            </c:dLbl>
            <c:dLbl>
              <c:idx val="13"/>
              <c:layout>
                <c:manualLayout>
                  <c:x val="-0.19115249905552603"/>
                  <c:y val="-9.755942887608726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B-CCD5-4285-9E69-4E2FC5BE9D74}"/>
                </c:ext>
              </c:extLst>
            </c:dLbl>
            <c:dLbl>
              <c:idx val="14"/>
              <c:layout>
                <c:manualLayout>
                  <c:x val="-0.16247962419719714"/>
                  <c:y val="-0.1120895565810364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A-CCD5-4285-9E69-4E2FC5BE9D74}"/>
                </c:ext>
              </c:extLst>
            </c:dLbl>
            <c:dLbl>
              <c:idx val="15"/>
              <c:layout>
                <c:manualLayout>
                  <c:x val="-0.25515120817276798"/>
                  <c:y val="-9.9164356298026862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12200308252218947"/>
                      <c:h val="4.6558680631715692E-2"/>
                    </c:manualLayout>
                  </c15:layout>
                </c:ext>
                <c:ext xmlns:c16="http://schemas.microsoft.com/office/drawing/2014/chart" uri="{C3380CC4-5D6E-409C-BE32-E72D297353CC}">
                  <c16:uniqueId val="{00000019-CCD5-4285-9E69-4E2FC5BE9D74}"/>
                </c:ext>
              </c:extLst>
            </c:dLbl>
            <c:dLbl>
              <c:idx val="16"/>
              <c:layout>
                <c:manualLayout>
                  <c:x val="-0.29240738388863152"/>
                  <c:y val="-0.1204354256750931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8-CCD5-4285-9E69-4E2FC5BE9D74}"/>
                </c:ext>
              </c:extLst>
            </c:dLbl>
            <c:dLbl>
              <c:idx val="17"/>
              <c:layout>
                <c:manualLayout>
                  <c:x val="-0.26382630741372104"/>
                  <c:y val="-0.1489548420039339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7-CCD5-4285-9E69-4E2FC5BE9D74}"/>
                </c:ext>
              </c:extLst>
            </c:dLbl>
            <c:dLbl>
              <c:idx val="18"/>
              <c:layout>
                <c:manualLayout>
                  <c:x val="-0.23884588927903558"/>
                  <c:y val="-0.176824946485566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6-CCD5-4285-9E69-4E2FC5BE9D74}"/>
                </c:ext>
              </c:extLst>
            </c:dLbl>
            <c:dLbl>
              <c:idx val="19"/>
              <c:layout>
                <c:manualLayout>
                  <c:x val="-0.13186441021568174"/>
                  <c:y val="-0.1974780355655984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5-CCD5-4285-9E69-4E2FC5BE9D74}"/>
                </c:ext>
              </c:extLst>
            </c:dLbl>
            <c:dLbl>
              <c:idx val="20"/>
              <c:layout>
                <c:manualLayout>
                  <c:x val="-0.25009048103714226"/>
                  <c:y val="-0.208799265954846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2-CCD5-4285-9E69-4E2FC5BE9D74}"/>
                </c:ext>
              </c:extLst>
            </c:dLbl>
            <c:dLbl>
              <c:idx val="21"/>
              <c:layout>
                <c:manualLayout>
                  <c:x val="8.0494733019824738E-2"/>
                  <c:y val="-0.1903417116273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4-CCD5-4285-9E69-4E2FC5BE9D74}"/>
                </c:ext>
              </c:extLst>
            </c:dLbl>
            <c:dLbl>
              <c:idx val="22"/>
              <c:layout>
                <c:manualLayout>
                  <c:x val="-0.11625267989826374"/>
                  <c:y val="-0.1624739333860711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3-CCD5-4285-9E69-4E2FC5BE9D74}"/>
                </c:ext>
              </c:extLst>
            </c:dLbl>
            <c:dLbl>
              <c:idx val="23"/>
              <c:layout>
                <c:manualLayout>
                  <c:x val="-2.5992454249190243E-2"/>
                  <c:y val="-0.1940336005068877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1-CCD5-4285-9E69-4E2FC5BE9D74}"/>
                </c:ext>
              </c:extLst>
            </c:dLbl>
            <c:dLbl>
              <c:idx val="24"/>
              <c:layout>
                <c:manualLayout>
                  <c:x val="9.6029944502976389E-2"/>
                  <c:y val="-0.156863041579656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0-CCD5-4285-9E69-4E2FC5BE9D74}"/>
                </c:ext>
              </c:extLst>
            </c:dLbl>
            <c:dLbl>
              <c:idx val="25"/>
              <c:layout>
                <c:manualLayout>
                  <c:x val="0.32767739897973552"/>
                  <c:y val="-0.1602927922459429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21947492766558649"/>
                      <c:h val="4.1224048031470069E-2"/>
                    </c:manualLayout>
                  </c15:layout>
                </c:ext>
                <c:ext xmlns:c16="http://schemas.microsoft.com/office/drawing/2014/chart" uri="{C3380CC4-5D6E-409C-BE32-E72D297353CC}">
                  <c16:uniqueId val="{0000001F-CCD5-4285-9E69-4E2FC5BE9D74}"/>
                </c:ext>
              </c:extLst>
            </c:dLbl>
            <c:dLbl>
              <c:idx val="26"/>
              <c:layout>
                <c:manualLayout>
                  <c:x val="0.13781071863905389"/>
                  <c:y val="-0.1287105896714054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E-CCD5-4285-9E69-4E2FC5BE9D74}"/>
                </c:ext>
              </c:extLst>
            </c:dLbl>
            <c:dLbl>
              <c:idx val="27"/>
              <c:layout>
                <c:manualLayout>
                  <c:x val="0.30590540562832785"/>
                  <c:y val="-0.1168461821524731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D-CCD5-4285-9E69-4E2FC5BE9D7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showLeaderLines val="1"/>
            <c:leaderLines>
              <c:spPr>
                <a:ln w="9525">
                  <a:solidFill>
                    <a:schemeClr val="tx1"/>
                  </a:solidFill>
                </a:ln>
                <a:effectLst/>
              </c:spPr>
            </c:leaderLines>
            <c:extLst>
              <c:ext xmlns:c15="http://schemas.microsoft.com/office/drawing/2012/chart" uri="{CE6537A1-D6FC-4f65-9D91-7224C49458BB}"/>
            </c:extLst>
          </c:dLbls>
          <c:cat>
            <c:strRef>
              <c:f>'7. BoM'!$A$49:$A$76</c:f>
              <c:strCache>
                <c:ptCount val="28"/>
                <c:pt idx="0">
                  <c:v>NH3</c:v>
                </c:pt>
                <c:pt idx="1">
                  <c:v>H2O2</c:v>
                </c:pt>
                <c:pt idx="2">
                  <c:v>HCl</c:v>
                </c:pt>
                <c:pt idx="3">
                  <c:v>N2</c:v>
                </c:pt>
                <c:pt idx="4">
                  <c:v>HMDS</c:v>
                </c:pt>
                <c:pt idx="5">
                  <c:v>PGMEA</c:v>
                </c:pt>
                <c:pt idx="6">
                  <c:v>PHENOLIC RESIN</c:v>
                </c:pt>
                <c:pt idx="7">
                  <c:v>C3H9N</c:v>
                </c:pt>
                <c:pt idx="8">
                  <c:v>O2</c:v>
                </c:pt>
                <c:pt idx="9">
                  <c:v>HF</c:v>
                </c:pt>
                <c:pt idx="10">
                  <c:v>HNO3</c:v>
                </c:pt>
                <c:pt idx="11">
                  <c:v>H3PO4</c:v>
                </c:pt>
                <c:pt idx="12">
                  <c:v>CH3COOH</c:v>
                </c:pt>
                <c:pt idx="13">
                  <c:v>CHF3</c:v>
                </c:pt>
                <c:pt idx="14">
                  <c:v>SF6</c:v>
                </c:pt>
                <c:pt idx="15">
                  <c:v>H2</c:v>
                </c:pt>
                <c:pt idx="16">
                  <c:v>Ar</c:v>
                </c:pt>
                <c:pt idx="17">
                  <c:v>PH3</c:v>
                </c:pt>
                <c:pt idx="18">
                  <c:v>BF3</c:v>
                </c:pt>
                <c:pt idx="19">
                  <c:v>SiH4</c:v>
                </c:pt>
                <c:pt idx="20">
                  <c:v>Al</c:v>
                </c:pt>
                <c:pt idx="21">
                  <c:v>W</c:v>
                </c:pt>
                <c:pt idx="22">
                  <c:v>Ti</c:v>
                </c:pt>
                <c:pt idx="23">
                  <c:v>SiO2</c:v>
                </c:pt>
                <c:pt idx="24">
                  <c:v>Ni</c:v>
                </c:pt>
                <c:pt idx="25">
                  <c:v>POLYESTER FILM</c:v>
                </c:pt>
                <c:pt idx="26">
                  <c:v>BS GLASS</c:v>
                </c:pt>
                <c:pt idx="27">
                  <c:v>PVC FILM</c:v>
                </c:pt>
              </c:strCache>
            </c:strRef>
          </c:cat>
          <c:val>
            <c:numRef>
              <c:f>'7. BoM'!$D$49:$D$76</c:f>
              <c:numCache>
                <c:formatCode>0.00E+00</c:formatCode>
                <c:ptCount val="28"/>
                <c:pt idx="0">
                  <c:v>0.49890242107402072</c:v>
                </c:pt>
                <c:pt idx="1">
                  <c:v>1.8893674978959023</c:v>
                </c:pt>
                <c:pt idx="2">
                  <c:v>0.11333333333333336</c:v>
                </c:pt>
                <c:pt idx="3">
                  <c:v>17.470870333333334</c:v>
                </c:pt>
                <c:pt idx="4">
                  <c:v>5.787190659030831E-3</c:v>
                </c:pt>
                <c:pt idx="5">
                  <c:v>0.44935676876300445</c:v>
                </c:pt>
                <c:pt idx="6">
                  <c:v>1.2157963569392503E-2</c:v>
                </c:pt>
                <c:pt idx="7">
                  <c:v>2.6563216931555438E-2</c:v>
                </c:pt>
                <c:pt idx="8">
                  <c:v>8.1833081527666067</c:v>
                </c:pt>
                <c:pt idx="9">
                  <c:v>0.43006818181818179</c:v>
                </c:pt>
                <c:pt idx="10">
                  <c:v>2.3855151515151509</c:v>
                </c:pt>
                <c:pt idx="11">
                  <c:v>0.74</c:v>
                </c:pt>
                <c:pt idx="12">
                  <c:v>0.70827272727272739</c:v>
                </c:pt>
                <c:pt idx="13">
                  <c:v>0.97516203600000007</c:v>
                </c:pt>
                <c:pt idx="14">
                  <c:v>1.1260250000000003</c:v>
                </c:pt>
                <c:pt idx="15">
                  <c:v>3.1600464514516076</c:v>
                </c:pt>
                <c:pt idx="16">
                  <c:v>1.5150397498138495E-2</c:v>
                </c:pt>
                <c:pt idx="17">
                  <c:v>8.4179999999999991E-2</c:v>
                </c:pt>
                <c:pt idx="18">
                  <c:v>0.2898</c:v>
                </c:pt>
                <c:pt idx="19">
                  <c:v>1.8671066558808452E-3</c:v>
                </c:pt>
                <c:pt idx="20">
                  <c:v>5.93761011528471E-3</c:v>
                </c:pt>
                <c:pt idx="21">
                  <c:v>7.0171943464260778E-6</c:v>
                </c:pt>
                <c:pt idx="22">
                  <c:v>8.4823001646924421E-4</c:v>
                </c:pt>
                <c:pt idx="23">
                  <c:v>2.7960174616949158E-3</c:v>
                </c:pt>
                <c:pt idx="24">
                  <c:v>0.10038599999999999</c:v>
                </c:pt>
                <c:pt idx="25">
                  <c:v>8.7336275769796263E-3</c:v>
                </c:pt>
                <c:pt idx="26">
                  <c:v>6.974335690969341E-2</c:v>
                </c:pt>
                <c:pt idx="27">
                  <c:v>1.1666555646517985E-2</c:v>
                </c:pt>
              </c:numCache>
            </c:numRef>
          </c:val>
          <c:extLst>
            <c:ext xmlns:c16="http://schemas.microsoft.com/office/drawing/2014/chart" uri="{C3380CC4-5D6E-409C-BE32-E72D297353CC}">
              <c16:uniqueId val="{00000018-CCD5-4285-9E69-4E2FC5BE9D74}"/>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none" spc="20" baseline="0">
                <a:solidFill>
                  <a:sysClr val="windowText" lastClr="000000"/>
                </a:solidFill>
                <a:latin typeface="+mn-lt"/>
                <a:ea typeface="+mn-ea"/>
                <a:cs typeface="+mn-cs"/>
              </a:defRPr>
            </a:pPr>
            <a:r>
              <a:rPr lang="fr-FR" sz="1200" b="1">
                <a:solidFill>
                  <a:sysClr val="windowText" lastClr="000000"/>
                </a:solidFill>
              </a:rPr>
              <a:t>Electrical consumption breakdown </a:t>
            </a:r>
          </a:p>
          <a:p>
            <a:pPr>
              <a:defRPr sz="1200" b="1">
                <a:solidFill>
                  <a:sysClr val="windowText" lastClr="000000"/>
                </a:solidFill>
              </a:defRPr>
            </a:pPr>
            <a:r>
              <a:rPr lang="fr-FR" sz="1200" b="1">
                <a:solidFill>
                  <a:sysClr val="windowText" lastClr="000000"/>
                </a:solidFill>
              </a:rPr>
              <a:t>per</a:t>
            </a:r>
            <a:r>
              <a:rPr lang="fr-FR" sz="1200" b="1" baseline="0">
                <a:solidFill>
                  <a:sysClr val="windowText" lastClr="000000"/>
                </a:solidFill>
              </a:rPr>
              <a:t> wafer</a:t>
            </a:r>
            <a:r>
              <a:rPr lang="fr-FR" sz="1200" b="1">
                <a:solidFill>
                  <a:sysClr val="windowText" lastClr="000000"/>
                </a:solidFill>
              </a:rPr>
              <a:t> (kWh/wafer)</a:t>
            </a:r>
          </a:p>
        </c:rich>
      </c:tx>
      <c:layout>
        <c:manualLayout>
          <c:xMode val="edge"/>
          <c:yMode val="edge"/>
          <c:x val="0.27293884710508542"/>
          <c:y val="3.0926419961455873E-2"/>
        </c:manualLayout>
      </c:layout>
      <c:overlay val="0"/>
      <c:spPr>
        <a:noFill/>
        <a:ln>
          <a:noFill/>
        </a:ln>
        <a:effectLst/>
      </c:spPr>
      <c:txPr>
        <a:bodyPr rot="0" spcFirstLastPara="1" vertOverflow="ellipsis" vert="horz" wrap="square" anchor="ctr" anchorCtr="1"/>
        <a:lstStyle/>
        <a:p>
          <a:pPr>
            <a:defRPr sz="1200" b="1" i="0" u="none" strike="noStrike" kern="1200" cap="none" spc="2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0.17567706284469828"/>
          <c:y val="0.17817250000000001"/>
          <c:w val="0.79308050595294666"/>
          <c:h val="0.71815416666666665"/>
        </c:manualLayout>
      </c:layout>
      <c:barChart>
        <c:barDir val="col"/>
        <c:grouping val="stacked"/>
        <c:varyColors val="0"/>
        <c:ser>
          <c:idx val="0"/>
          <c:order val="0"/>
          <c:tx>
            <c:v>RAW WF PROD.</c:v>
          </c:tx>
          <c:spPr>
            <a:solidFill>
              <a:schemeClr val="accent5">
                <a:lumMod val="50000"/>
              </a:schemeClr>
            </a:soli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'8. BoE'!$D$8</c:f>
              <c:numCache>
                <c:formatCode>0.0</c:formatCode>
                <c:ptCount val="1"/>
                <c:pt idx="0">
                  <c:v>112.87851574692839</c:v>
                </c:pt>
              </c:numCache>
            </c:numRef>
          </c:val>
          <c:extLst>
            <c:ext xmlns:c16="http://schemas.microsoft.com/office/drawing/2014/chart" uri="{C3380CC4-5D6E-409C-BE32-E72D297353CC}">
              <c16:uniqueId val="{00000000-3FD7-4D2D-8D03-B5E15CDF4EC3}"/>
            </c:ext>
          </c:extLst>
        </c:ser>
        <c:ser>
          <c:idx val="1"/>
          <c:order val="1"/>
          <c:tx>
            <c:v>WF PROCESSING STEPS</c:v>
          </c:tx>
          <c:spPr>
            <a:solidFill>
              <a:schemeClr val="accent2"/>
            </a:soli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'8. BoE'!$D$10</c:f>
              <c:numCache>
                <c:formatCode>0.0</c:formatCode>
                <c:ptCount val="1"/>
                <c:pt idx="0">
                  <c:v>138.94664899447844</c:v>
                </c:pt>
              </c:numCache>
            </c:numRef>
          </c:val>
          <c:extLst>
            <c:ext xmlns:c16="http://schemas.microsoft.com/office/drawing/2014/chart" uri="{C3380CC4-5D6E-409C-BE32-E72D297353CC}">
              <c16:uniqueId val="{00000001-3FD7-4D2D-8D03-B5E15CDF4EC3}"/>
            </c:ext>
          </c:extLst>
        </c:ser>
        <c:ser>
          <c:idx val="2"/>
          <c:order val="2"/>
          <c:tx>
            <c:v>CLNR FACILITIES &amp; INFRAS.</c:v>
          </c:tx>
          <c:spPr>
            <a:solidFill>
              <a:srgbClr val="66FFCC"/>
            </a:soli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'8. BoE'!$D$12</c:f>
              <c:numCache>
                <c:formatCode>0.0</c:formatCode>
                <c:ptCount val="1"/>
                <c:pt idx="0">
                  <c:v>245.26501849388669</c:v>
                </c:pt>
              </c:numCache>
            </c:numRef>
          </c:val>
          <c:extLst>
            <c:ext xmlns:c16="http://schemas.microsoft.com/office/drawing/2014/chart" uri="{C3380CC4-5D6E-409C-BE32-E72D297353CC}">
              <c16:uniqueId val="{00000002-3FD7-4D2D-8D03-B5E15CDF4EC3}"/>
            </c:ext>
          </c:extLst>
        </c:ser>
        <c:dLbls>
          <c:showLegendKey val="0"/>
          <c:showVal val="0"/>
          <c:showCatName val="0"/>
          <c:showSerName val="0"/>
          <c:showPercent val="0"/>
          <c:showBubbleSize val="0"/>
        </c:dLbls>
        <c:gapWidth val="150"/>
        <c:overlap val="100"/>
        <c:axId val="1747233503"/>
        <c:axId val="1747233983"/>
      </c:barChart>
      <c:catAx>
        <c:axId val="1747233503"/>
        <c:scaling>
          <c:orientation val="minMax"/>
        </c:scaling>
        <c:delete val="1"/>
        <c:axPos val="b"/>
        <c:numFmt formatCode="General" sourceLinked="1"/>
        <c:majorTickMark val="none"/>
        <c:minorTickMark val="none"/>
        <c:tickLblPos val="nextTo"/>
        <c:crossAx val="1747233983"/>
        <c:crosses val="autoZero"/>
        <c:auto val="1"/>
        <c:lblAlgn val="ctr"/>
        <c:lblOffset val="100"/>
        <c:noMultiLvlLbl val="0"/>
      </c:catAx>
      <c:valAx>
        <c:axId val="1747233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cap="all" baseline="0">
                    <a:solidFill>
                      <a:schemeClr val="tx1">
                        <a:lumMod val="50000"/>
                        <a:lumOff val="50000"/>
                      </a:schemeClr>
                    </a:solidFill>
                    <a:latin typeface="+mn-lt"/>
                    <a:ea typeface="+mn-ea"/>
                    <a:cs typeface="+mn-cs"/>
                  </a:defRPr>
                </a:pPr>
                <a:r>
                  <a:rPr lang="fr-FR" sz="1200" b="1" i="0" u="none" strike="noStrike" kern="1200" cap="none" baseline="0">
                    <a:solidFill>
                      <a:sysClr val="windowText" lastClr="000000"/>
                    </a:solidFill>
                  </a:rPr>
                  <a:t>Electrical input (kWh/wafer)</a:t>
                </a:r>
                <a:endParaRPr lang="fr-FR" sz="1200"/>
              </a:p>
            </c:rich>
          </c:tx>
          <c:layout>
            <c:manualLayout>
              <c:xMode val="edge"/>
              <c:yMode val="edge"/>
              <c:x val="2.54884605748927E-2"/>
              <c:y val="0.25533986414662435"/>
            </c:manualLayout>
          </c:layout>
          <c:overlay val="0"/>
          <c:spPr>
            <a:noFill/>
            <a:ln>
              <a:noFill/>
            </a:ln>
            <a:effectLst/>
          </c:spPr>
          <c:txPr>
            <a:bodyPr rot="-5400000" spcFirstLastPara="1" vertOverflow="ellipsis" vert="horz" wrap="square" anchor="ctr" anchorCtr="1"/>
            <a:lstStyle/>
            <a:p>
              <a:pPr>
                <a:defRPr sz="1200" b="0" i="0" u="none" strike="noStrike" kern="1200" cap="all" baseline="0">
                  <a:solidFill>
                    <a:schemeClr val="tx1">
                      <a:lumMod val="50000"/>
                      <a:lumOff val="50000"/>
                    </a:schemeClr>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fr-FR"/>
          </a:p>
        </c:txPr>
        <c:crossAx val="1747233503"/>
        <c:crosses val="autoZero"/>
        <c:crossBetween val="between"/>
      </c:valAx>
      <c:spPr>
        <a:noFill/>
        <a:ln>
          <a:solidFill>
            <a:schemeClr val="tx1"/>
          </a:solid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none" spc="20" baseline="0">
                <a:solidFill>
                  <a:sysClr val="windowText" lastClr="000000"/>
                </a:solidFill>
                <a:latin typeface="+mn-lt"/>
                <a:ea typeface="+mn-ea"/>
                <a:cs typeface="+mn-cs"/>
              </a:defRPr>
            </a:pPr>
            <a:r>
              <a:rPr lang="fr-FR" sz="1200" b="1">
                <a:solidFill>
                  <a:sysClr val="windowText" lastClr="000000"/>
                </a:solidFill>
              </a:rPr>
              <a:t>Electrical consumption breakdown </a:t>
            </a:r>
          </a:p>
          <a:p>
            <a:pPr>
              <a:defRPr sz="1200" b="1">
                <a:solidFill>
                  <a:sysClr val="windowText" lastClr="000000"/>
                </a:solidFill>
              </a:defRPr>
            </a:pPr>
            <a:r>
              <a:rPr lang="fr-FR" sz="1200" b="1">
                <a:solidFill>
                  <a:sysClr val="windowText" lastClr="000000"/>
                </a:solidFill>
              </a:rPr>
              <a:t>per</a:t>
            </a:r>
            <a:r>
              <a:rPr lang="fr-FR" sz="1200" b="1" baseline="0">
                <a:solidFill>
                  <a:sysClr val="windowText" lastClr="000000"/>
                </a:solidFill>
              </a:rPr>
              <a:t> cm² of good die</a:t>
            </a:r>
            <a:r>
              <a:rPr lang="fr-FR" sz="1200" b="1">
                <a:solidFill>
                  <a:sysClr val="windowText" lastClr="000000"/>
                </a:solidFill>
              </a:rPr>
              <a:t> (kWh/cm²)</a:t>
            </a:r>
          </a:p>
        </c:rich>
      </c:tx>
      <c:layout>
        <c:manualLayout>
          <c:xMode val="edge"/>
          <c:yMode val="edge"/>
          <c:x val="0.28287697280851876"/>
          <c:y val="2.7727777777777778E-2"/>
        </c:manualLayout>
      </c:layout>
      <c:overlay val="0"/>
      <c:spPr>
        <a:noFill/>
        <a:ln>
          <a:noFill/>
        </a:ln>
        <a:effectLst/>
      </c:spPr>
      <c:txPr>
        <a:bodyPr rot="0" spcFirstLastPara="1" vertOverflow="ellipsis" vert="horz" wrap="square" anchor="ctr" anchorCtr="1"/>
        <a:lstStyle/>
        <a:p>
          <a:pPr>
            <a:defRPr sz="1200" b="1" i="0" u="none" strike="noStrike" kern="1200" cap="none" spc="2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0.1654097756829222"/>
          <c:y val="0.17099970836978712"/>
          <c:w val="0.80334779311472282"/>
          <c:h val="0.72541732283464566"/>
        </c:manualLayout>
      </c:layout>
      <c:barChart>
        <c:barDir val="col"/>
        <c:grouping val="stacked"/>
        <c:varyColors val="0"/>
        <c:ser>
          <c:idx val="0"/>
          <c:order val="0"/>
          <c:tx>
            <c:v>RAW WF PROD.</c:v>
          </c:tx>
          <c:spPr>
            <a:solidFill>
              <a:schemeClr val="accent5">
                <a:lumMod val="50000"/>
              </a:schemeClr>
            </a:solidFill>
            <a:ln w="9525" cap="flat" cmpd="sng" algn="ctr">
              <a:solidFill>
                <a:schemeClr val="accent1">
                  <a:shade val="95000"/>
                </a:schemeClr>
              </a:solidFill>
              <a:round/>
            </a:ln>
            <a:effectLst/>
          </c:spPr>
          <c:invertIfNegative val="0"/>
          <c:dPt>
            <c:idx val="0"/>
            <c:invertIfNegative val="0"/>
            <c:bubble3D val="0"/>
            <c:spPr>
              <a:solidFill>
                <a:schemeClr val="accent5">
                  <a:lumMod val="50000"/>
                </a:schemeClr>
              </a:solidFill>
              <a:ln w="9525" cap="flat" cmpd="sng" algn="ctr">
                <a:solidFill>
                  <a:schemeClr val="accent1">
                    <a:shade val="95000"/>
                  </a:schemeClr>
                </a:solidFill>
                <a:round/>
              </a:ln>
              <a:effectLst/>
            </c:spPr>
            <c:extLst>
              <c:ext xmlns:c16="http://schemas.microsoft.com/office/drawing/2014/chart" uri="{C3380CC4-5D6E-409C-BE32-E72D297353CC}">
                <c16:uniqueId val="{00000000-AEE7-4EA9-AF0C-FDCA294038E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'8. BoE'!$D$7</c:f>
              <c:numCache>
                <c:formatCode>0.00</c:formatCode>
                <c:ptCount val="1"/>
                <c:pt idx="0">
                  <c:v>0.48496365535673341</c:v>
                </c:pt>
              </c:numCache>
            </c:numRef>
          </c:val>
          <c:extLst>
            <c:ext xmlns:c16="http://schemas.microsoft.com/office/drawing/2014/chart" uri="{C3380CC4-5D6E-409C-BE32-E72D297353CC}">
              <c16:uniqueId val="{00000000-0EE2-403D-97CE-7EBD12F46EE2}"/>
            </c:ext>
          </c:extLst>
        </c:ser>
        <c:ser>
          <c:idx val="1"/>
          <c:order val="1"/>
          <c:tx>
            <c:v>WF PROCESSING STEPS</c:v>
          </c:tx>
          <c:spPr>
            <a:solidFill>
              <a:schemeClr val="accent2"/>
            </a:soli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'8. BoE'!$D$9</c:f>
              <c:numCache>
                <c:formatCode>0.00</c:formatCode>
                <c:ptCount val="1"/>
                <c:pt idx="0">
                  <c:v>0.59696102796926509</c:v>
                </c:pt>
              </c:numCache>
            </c:numRef>
          </c:val>
          <c:extLst>
            <c:ext xmlns:c16="http://schemas.microsoft.com/office/drawing/2014/chart" uri="{C3380CC4-5D6E-409C-BE32-E72D297353CC}">
              <c16:uniqueId val="{00000001-0EE2-403D-97CE-7EBD12F46EE2}"/>
            </c:ext>
          </c:extLst>
        </c:ser>
        <c:ser>
          <c:idx val="2"/>
          <c:order val="2"/>
          <c:tx>
            <c:v>CLNR FACILITIES &amp; INFRAS.</c:v>
          </c:tx>
          <c:spPr>
            <a:solidFill>
              <a:srgbClr val="66FFCC"/>
            </a:soli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'8. BoE'!$D$11</c:f>
              <c:numCache>
                <c:formatCode>0.00</c:formatCode>
                <c:ptCount val="1"/>
                <c:pt idx="0">
                  <c:v>1.0537401126588501</c:v>
                </c:pt>
              </c:numCache>
            </c:numRef>
          </c:val>
          <c:extLst>
            <c:ext xmlns:c16="http://schemas.microsoft.com/office/drawing/2014/chart" uri="{C3380CC4-5D6E-409C-BE32-E72D297353CC}">
              <c16:uniqueId val="{00000002-0EE2-403D-97CE-7EBD12F46EE2}"/>
            </c:ext>
          </c:extLst>
        </c:ser>
        <c:dLbls>
          <c:showLegendKey val="0"/>
          <c:showVal val="0"/>
          <c:showCatName val="0"/>
          <c:showSerName val="0"/>
          <c:showPercent val="0"/>
          <c:showBubbleSize val="0"/>
        </c:dLbls>
        <c:gapWidth val="150"/>
        <c:overlap val="100"/>
        <c:axId val="1747233503"/>
        <c:axId val="1747233983"/>
      </c:barChart>
      <c:catAx>
        <c:axId val="1747233503"/>
        <c:scaling>
          <c:orientation val="minMax"/>
        </c:scaling>
        <c:delete val="1"/>
        <c:axPos val="b"/>
        <c:numFmt formatCode="General" sourceLinked="1"/>
        <c:majorTickMark val="none"/>
        <c:minorTickMark val="none"/>
        <c:tickLblPos val="nextTo"/>
        <c:crossAx val="1747233983"/>
        <c:crosses val="autoZero"/>
        <c:auto val="1"/>
        <c:lblAlgn val="ctr"/>
        <c:lblOffset val="100"/>
        <c:noMultiLvlLbl val="0"/>
      </c:catAx>
      <c:valAx>
        <c:axId val="1747233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cap="all" baseline="0">
                    <a:solidFill>
                      <a:schemeClr val="tx1">
                        <a:lumMod val="50000"/>
                        <a:lumOff val="50000"/>
                      </a:schemeClr>
                    </a:solidFill>
                    <a:latin typeface="+mn-lt"/>
                    <a:ea typeface="+mn-ea"/>
                    <a:cs typeface="+mn-cs"/>
                  </a:defRPr>
                </a:pPr>
                <a:r>
                  <a:rPr lang="fr-FR" sz="1200" b="1" i="0" u="none" strike="noStrike" kern="1200" cap="none" baseline="0">
                    <a:solidFill>
                      <a:sysClr val="windowText" lastClr="000000"/>
                    </a:solidFill>
                  </a:rPr>
                  <a:t>Electrical input (kWh/cm²)</a:t>
                </a:r>
                <a:endParaRPr lang="fr-FR" sz="1200" b="0" i="0" u="none" strike="noStrike" kern="1200" cap="all" baseline="0">
                  <a:solidFill>
                    <a:sysClr val="windowText" lastClr="000000">
                      <a:lumMod val="50000"/>
                      <a:lumOff val="50000"/>
                    </a:sysClr>
                  </a:solidFill>
                </a:endParaRPr>
              </a:p>
            </c:rich>
          </c:tx>
          <c:layout>
            <c:manualLayout>
              <c:xMode val="edge"/>
              <c:yMode val="edge"/>
              <c:x val="3.123750689874269E-2"/>
              <c:y val="0.26227416666666664"/>
            </c:manualLayout>
          </c:layout>
          <c:overlay val="0"/>
          <c:spPr>
            <a:noFill/>
            <a:ln>
              <a:noFill/>
            </a:ln>
            <a:effectLst/>
          </c:spPr>
          <c:txPr>
            <a:bodyPr rot="-5400000" spcFirstLastPara="1" vertOverflow="ellipsis" vert="horz" wrap="square" anchor="ctr" anchorCtr="1"/>
            <a:lstStyle/>
            <a:p>
              <a:pPr>
                <a:defRPr sz="1200" b="0" i="0" u="none" strike="noStrike" kern="1200" cap="all" baseline="0">
                  <a:solidFill>
                    <a:schemeClr val="tx1">
                      <a:lumMod val="50000"/>
                      <a:lumOff val="50000"/>
                    </a:schemeClr>
                  </a:solidFill>
                  <a:latin typeface="+mn-lt"/>
                  <a:ea typeface="+mn-ea"/>
                  <a:cs typeface="+mn-cs"/>
                </a:defRPr>
              </a:pPr>
              <a:endParaRPr lang="fr-FR"/>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fr-FR"/>
          </a:p>
        </c:txPr>
        <c:crossAx val="1747233503"/>
        <c:crosses val="autoZero"/>
        <c:crossBetween val="between"/>
      </c:valAx>
      <c:spPr>
        <a:noFill/>
        <a:ln>
          <a:solidFill>
            <a:schemeClr val="tx1"/>
          </a:solidFill>
        </a:ln>
        <a:effectLst/>
      </c:spPr>
    </c:plotArea>
    <c:legend>
      <c:legendPos val="b"/>
      <c:layout>
        <c:manualLayout>
          <c:xMode val="edge"/>
          <c:yMode val="edge"/>
          <c:x val="6.7125856260786487E-2"/>
          <c:y val="0.91536936139525527"/>
          <c:w val="0.89999984267658373"/>
          <c:h val="6.6298758830697441E-2"/>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r>
              <a:rPr lang="fr-FR" sz="1400" b="1">
                <a:solidFill>
                  <a:sysClr val="windowText" lastClr="000000"/>
                </a:solidFill>
              </a:rPr>
              <a:t>Bill of Energy (BoE) (kWh/wafer) -</a:t>
            </a:r>
            <a:r>
              <a:rPr lang="fr-FR" sz="1400" b="1" baseline="0">
                <a:solidFill>
                  <a:sysClr val="windowText" lastClr="000000"/>
                </a:solidFill>
              </a:rPr>
              <a:t> </a:t>
            </a:r>
            <a:r>
              <a:rPr lang="fr-FR" sz="1400" b="1" baseline="0">
                <a:ln>
                  <a:noFill/>
                </a:ln>
                <a:solidFill>
                  <a:sysClr val="windowText" lastClr="000000"/>
                </a:solidFill>
              </a:rPr>
              <a:t>Wafer process steps</a:t>
            </a:r>
            <a:endParaRPr lang="fr-FR" sz="1400" b="1">
              <a:ln>
                <a:noFill/>
              </a:ln>
              <a:solidFill>
                <a:sysClr val="windowText" lastClr="000000"/>
              </a:solidFill>
            </a:endParaRPr>
          </a:p>
        </c:rich>
      </c:tx>
      <c:layout>
        <c:manualLayout>
          <c:xMode val="edge"/>
          <c:yMode val="edge"/>
          <c:x val="0.22924270357829474"/>
          <c:y val="1.6933195045573793E-2"/>
        </c:manualLayout>
      </c:layout>
      <c:overlay val="0"/>
      <c:spPr>
        <a:solidFill>
          <a:schemeClr val="accent2"/>
        </a:solidFill>
        <a:ln>
          <a:noFill/>
        </a:ln>
        <a:effectLst/>
      </c:spPr>
      <c:txPr>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0.22736251488989812"/>
          <c:y val="0.19012684451036724"/>
          <c:w val="0.58288962883700979"/>
          <c:h val="0.76070328758981798"/>
        </c:manualLayout>
      </c:layout>
      <c:doughnutChart>
        <c:varyColors val="1"/>
        <c:ser>
          <c:idx val="0"/>
          <c:order val="0"/>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5-C1B6-4816-AA13-B5179897FE84}"/>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1-C1B6-4816-AA13-B5179897FE84}"/>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7-C1B6-4816-AA13-B5179897FE84}"/>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8-C1B6-4816-AA13-B5179897FE84}"/>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C1B6-4816-AA13-B5179897FE84}"/>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A-C1B6-4816-AA13-B5179897FE84}"/>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B-C1B6-4816-AA13-B5179897FE84}"/>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0C-C1B6-4816-AA13-B5179897FE84}"/>
              </c:ext>
            </c:extLst>
          </c:dPt>
          <c:dPt>
            <c:idx val="8"/>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02-C1B6-4816-AA13-B5179897FE84}"/>
              </c:ext>
            </c:extLst>
          </c:dPt>
          <c:dPt>
            <c:idx val="9"/>
            <c:bubble3D val="0"/>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extLst>
              <c:ext xmlns:c16="http://schemas.microsoft.com/office/drawing/2014/chart" uri="{C3380CC4-5D6E-409C-BE32-E72D297353CC}">
                <c16:uniqueId val="{00000006-C1B6-4816-AA13-B5179897FE84}"/>
              </c:ext>
            </c:extLst>
          </c:dPt>
          <c:dPt>
            <c:idx val="10"/>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03-C1B6-4816-AA13-B5179897FE84}"/>
              </c:ext>
            </c:extLst>
          </c:dPt>
          <c:dPt>
            <c:idx val="11"/>
            <c:bubble3D val="0"/>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extLst>
              <c:ext xmlns:c16="http://schemas.microsoft.com/office/drawing/2014/chart" uri="{C3380CC4-5D6E-409C-BE32-E72D297353CC}">
                <c16:uniqueId val="{00000004-C1B6-4816-AA13-B5179897FE84}"/>
              </c:ext>
            </c:extLst>
          </c:dPt>
          <c:dLbls>
            <c:dLbl>
              <c:idx val="0"/>
              <c:layout>
                <c:manualLayout>
                  <c:x val="0.20834193766897705"/>
                  <c:y val="-8.0879028901635105E-2"/>
                </c:manualLayout>
              </c:layout>
              <c:tx>
                <c:rich>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fld id="{E726B876-1576-4500-A7BD-AA9DE6B4000A}" type="CATEGORYNAME">
                      <a:rPr lang="en-US"/>
                      <a:pPr>
                        <a:defRPr sz="1100" b="1">
                          <a:solidFill>
                            <a:sysClr val="windowText" lastClr="000000"/>
                          </a:solidFill>
                        </a:defRPr>
                      </a:pPr>
                      <a:t>[NOM DE CATÉGORIE]</a:t>
                    </a:fld>
                    <a:r>
                      <a:rPr lang="en-US" baseline="0"/>
                      <a:t>; </a:t>
                    </a:r>
                  </a:p>
                  <a:p>
                    <a:pPr>
                      <a:defRPr sz="1100" b="1">
                        <a:solidFill>
                          <a:sysClr val="windowText" lastClr="000000"/>
                        </a:solidFill>
                      </a:defRPr>
                    </a:pPr>
                    <a:fld id="{B2257EB3-BB96-42BB-9589-877F90AE4FF5}" type="VALUE">
                      <a:rPr lang="en-US" baseline="0"/>
                      <a:pPr>
                        <a:defRPr sz="1100" b="1">
                          <a:solidFill>
                            <a:sysClr val="windowText" lastClr="000000"/>
                          </a:solidFill>
                        </a:defRPr>
                      </a:pPr>
                      <a:t>[VALEUR]</a:t>
                    </a:fld>
                    <a:endParaRPr lang="fr-FR"/>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11577225202015136"/>
                      <c:h val="8.5971931673996457E-2"/>
                    </c:manualLayout>
                  </c15:layout>
                  <c15:dlblFieldTable/>
                  <c15:showDataLabelsRange val="0"/>
                </c:ext>
                <c:ext xmlns:c16="http://schemas.microsoft.com/office/drawing/2014/chart" uri="{C3380CC4-5D6E-409C-BE32-E72D297353CC}">
                  <c16:uniqueId val="{00000005-C1B6-4816-AA13-B5179897FE84}"/>
                </c:ext>
              </c:extLst>
            </c:dLbl>
            <c:dLbl>
              <c:idx val="1"/>
              <c:layout>
                <c:manualLayout>
                  <c:x val="0.19669591333888814"/>
                  <c:y val="-0.1037158196541394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1B6-4816-AA13-B5179897FE84}"/>
                </c:ext>
              </c:extLst>
            </c:dLbl>
            <c:dLbl>
              <c:idx val="2"/>
              <c:layout>
                <c:manualLayout>
                  <c:x val="0.1494680371226112"/>
                  <c:y val="-6.7769715503188221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10756235589865959"/>
                      <c:h val="7.7466175386685418E-2"/>
                    </c:manualLayout>
                  </c15:layout>
                </c:ext>
                <c:ext xmlns:c16="http://schemas.microsoft.com/office/drawing/2014/chart" uri="{C3380CC4-5D6E-409C-BE32-E72D297353CC}">
                  <c16:uniqueId val="{00000007-C1B6-4816-AA13-B5179897FE84}"/>
                </c:ext>
              </c:extLst>
            </c:dLbl>
            <c:dLbl>
              <c:idx val="3"/>
              <c:layout>
                <c:manualLayout>
                  <c:x val="0.12689788446312519"/>
                  <c:y val="0.15458393262877815"/>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11418578659391743"/>
                      <c:h val="6.4707540955718831E-2"/>
                    </c:manualLayout>
                  </c15:layout>
                </c:ext>
                <c:ext xmlns:c16="http://schemas.microsoft.com/office/drawing/2014/chart" uri="{C3380CC4-5D6E-409C-BE32-E72D297353CC}">
                  <c16:uniqueId val="{00000008-C1B6-4816-AA13-B5179897FE84}"/>
                </c:ext>
              </c:extLst>
            </c:dLbl>
            <c:dLbl>
              <c:idx val="4"/>
              <c:layout>
                <c:manualLayout>
                  <c:x val="-0.21330254894625147"/>
                  <c:y val="9.6294713593172321E-2"/>
                </c:manualLayout>
              </c:layout>
              <c:tx>
                <c:rich>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fld id="{091084E3-2FD6-4568-B683-FAE3C680AFA6}" type="CATEGORYNAME">
                      <a:rPr lang="en-US"/>
                      <a:pPr>
                        <a:defRPr sz="1100" b="1">
                          <a:solidFill>
                            <a:sysClr val="windowText" lastClr="000000"/>
                          </a:solidFill>
                        </a:defRPr>
                      </a:pPr>
                      <a:t>[NOM DE CATÉGORIE]</a:t>
                    </a:fld>
                    <a:r>
                      <a:rPr lang="en-US" baseline="0"/>
                      <a:t>; </a:t>
                    </a:r>
                    <a:fld id="{C68B8B34-2CF3-41D5-B8A4-7E75D0F95B81}" type="VALUE">
                      <a:rPr lang="en-US" baseline="0"/>
                      <a:pPr>
                        <a:defRPr sz="1100" b="1">
                          <a:solidFill>
                            <a:sysClr val="windowText" lastClr="000000"/>
                          </a:solidFill>
                        </a:defRPr>
                      </a:pPr>
                      <a:t>[VALEUR]</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9199262952893617"/>
                      <c:h val="7.3787730733532342E-2"/>
                    </c:manualLayout>
                  </c15:layout>
                  <c15:dlblFieldTable/>
                  <c15:showDataLabelsRange val="0"/>
                </c:ext>
                <c:ext xmlns:c16="http://schemas.microsoft.com/office/drawing/2014/chart" uri="{C3380CC4-5D6E-409C-BE32-E72D297353CC}">
                  <c16:uniqueId val="{00000009-C1B6-4816-AA13-B5179897FE84}"/>
                </c:ext>
              </c:extLst>
            </c:dLbl>
            <c:dLbl>
              <c:idx val="5"/>
              <c:layout>
                <c:manualLayout>
                  <c:x val="-0.15862579901469687"/>
                  <c:y val="-1.3729939717212663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12307770899971233"/>
                      <c:h val="0.11309257641062598"/>
                    </c:manualLayout>
                  </c15:layout>
                </c:ext>
                <c:ext xmlns:c16="http://schemas.microsoft.com/office/drawing/2014/chart" uri="{C3380CC4-5D6E-409C-BE32-E72D297353CC}">
                  <c16:uniqueId val="{0000000A-C1B6-4816-AA13-B5179897FE84}"/>
                </c:ext>
              </c:extLst>
            </c:dLbl>
            <c:dLbl>
              <c:idx val="6"/>
              <c:layout>
                <c:manualLayout>
                  <c:x val="-0.17210923626242372"/>
                  <c:y val="-9.8350773518914969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1099975178686599"/>
                      <c:h val="6.6833980027546591E-2"/>
                    </c:manualLayout>
                  </c15:layout>
                </c:ext>
                <c:ext xmlns:c16="http://schemas.microsoft.com/office/drawing/2014/chart" uri="{C3380CC4-5D6E-409C-BE32-E72D297353CC}">
                  <c16:uniqueId val="{0000000B-C1B6-4816-AA13-B5179897FE84}"/>
                </c:ext>
              </c:extLst>
            </c:dLbl>
            <c:dLbl>
              <c:idx val="7"/>
              <c:layout>
                <c:manualLayout>
                  <c:x val="-0.18162761269863181"/>
                  <c:y val="-0.11948789825248904"/>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9.7361383207975494E-2"/>
                      <c:h val="7.9592614458513178E-2"/>
                    </c:manualLayout>
                  </c15:layout>
                </c:ext>
                <c:ext xmlns:c16="http://schemas.microsoft.com/office/drawing/2014/chart" uri="{C3380CC4-5D6E-409C-BE32-E72D297353CC}">
                  <c16:uniqueId val="{0000000C-C1B6-4816-AA13-B5179897FE84}"/>
                </c:ext>
              </c:extLst>
            </c:dLbl>
            <c:dLbl>
              <c:idx val="8"/>
              <c:layout>
                <c:manualLayout>
                  <c:x val="-0.18135299509746552"/>
                  <c:y val="-0.1646783925724108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10209951779025105"/>
                      <c:h val="7.9276526502696107E-2"/>
                    </c:manualLayout>
                  </c15:layout>
                </c:ext>
                <c:ext xmlns:c16="http://schemas.microsoft.com/office/drawing/2014/chart" uri="{C3380CC4-5D6E-409C-BE32-E72D297353CC}">
                  <c16:uniqueId val="{00000002-C1B6-4816-AA13-B5179897FE84}"/>
                </c:ext>
              </c:extLst>
            </c:dLbl>
            <c:dLbl>
              <c:idx val="9"/>
              <c:layout>
                <c:manualLayout>
                  <c:x val="-7.7103036908461833E-2"/>
                  <c:y val="-0.17235145230201798"/>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10163937825206178"/>
                      <c:h val="8.1394520798787368E-2"/>
                    </c:manualLayout>
                  </c15:layout>
                </c:ext>
                <c:ext xmlns:c16="http://schemas.microsoft.com/office/drawing/2014/chart" uri="{C3380CC4-5D6E-409C-BE32-E72D297353CC}">
                  <c16:uniqueId val="{00000006-C1B6-4816-AA13-B5179897FE84}"/>
                </c:ext>
              </c:extLst>
            </c:dLbl>
            <c:dLbl>
              <c:idx val="10"/>
              <c:layout>
                <c:manualLayout>
                  <c:x val="5.3970595784527238E-2"/>
                  <c:y val="-0.189273620932095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1B6-4816-AA13-B5179897FE84}"/>
                </c:ext>
              </c:extLst>
            </c:dLbl>
            <c:dLbl>
              <c:idx val="11"/>
              <c:layout>
                <c:manualLayout>
                  <c:x val="0.16215000792608109"/>
                  <c:y val="-0.14357984510816876"/>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10616626632357376"/>
                      <c:h val="7.1086858171202125E-2"/>
                    </c:manualLayout>
                  </c15:layout>
                </c:ext>
                <c:ext xmlns:c16="http://schemas.microsoft.com/office/drawing/2014/chart" uri="{C3380CC4-5D6E-409C-BE32-E72D297353CC}">
                  <c16:uniqueId val="{00000004-C1B6-4816-AA13-B5179897FE8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showLeaderLines val="1"/>
            <c:leaderLines>
              <c:spPr>
                <a:ln w="9525">
                  <a:solidFill>
                    <a:schemeClr val="tx1"/>
                  </a:solidFill>
                </a:ln>
                <a:effectLst/>
              </c:spPr>
            </c:leaderLines>
            <c:extLst>
              <c:ext xmlns:c15="http://schemas.microsoft.com/office/drawing/2012/chart" uri="{CE6537A1-D6FC-4f65-9D91-7224C49458BB}"/>
            </c:extLst>
          </c:dLbls>
          <c:cat>
            <c:strRef>
              <c:f>('8. BoE'!$A$15,'8. BoE'!$A$17,'8. BoE'!$A$19,'8. BoE'!$A$21,'8. BoE'!$A$23,'8. BoE'!$A$25,'8. BoE'!$A$27,'8. BoE'!$A$29,'8. BoE'!$A$31,'8. BoE'!$A$33,'8. BoE'!$A$35,'8. BoE'!$A$37)</c:f>
              <c:strCache>
                <c:ptCount val="12"/>
                <c:pt idx="0">
                  <c:v>WET CLEAN</c:v>
                </c:pt>
                <c:pt idx="1">
                  <c:v>PHOTOLITHOGRAPHY</c:v>
                </c:pt>
                <c:pt idx="2">
                  <c:v>WET ETCH</c:v>
                </c:pt>
                <c:pt idx="3">
                  <c:v>DRY ETCH</c:v>
                </c:pt>
                <c:pt idx="4">
                  <c:v>THERMAL PROCESSES</c:v>
                </c:pt>
                <c:pt idx="5">
                  <c:v>ION IMPLANT</c:v>
                </c:pt>
                <c:pt idx="6">
                  <c:v>CVD</c:v>
                </c:pt>
                <c:pt idx="7">
                  <c:v>PVD</c:v>
                </c:pt>
                <c:pt idx="8">
                  <c:v>CMP</c:v>
                </c:pt>
                <c:pt idx="9">
                  <c:v>THINNING</c:v>
                </c:pt>
                <c:pt idx="10">
                  <c:v>DICING</c:v>
                </c:pt>
                <c:pt idx="11">
                  <c:v>PROBING</c:v>
                </c:pt>
              </c:strCache>
            </c:strRef>
          </c:cat>
          <c:val>
            <c:numRef>
              <c:f>('8. BoE'!$D$16,'8. BoE'!$D$18,'8. BoE'!$D$20,'8. BoE'!$D$22,'8. BoE'!$D$24,'8. BoE'!$D$26,'8. BoE'!$D$28,'8. BoE'!$D$30,'8. BoE'!$D$32,'8. BoE'!$D$34,'8. BoE'!$D$36,'8. BoE'!$D$38)</c:f>
              <c:numCache>
                <c:formatCode>0.00E+00</c:formatCode>
                <c:ptCount val="12"/>
                <c:pt idx="0">
                  <c:v>0.52313333333333323</c:v>
                </c:pt>
                <c:pt idx="1">
                  <c:v>39.233333333333334</c:v>
                </c:pt>
                <c:pt idx="2">
                  <c:v>0.38388888888888884</c:v>
                </c:pt>
                <c:pt idx="3">
                  <c:v>22.313066666666668</c:v>
                </c:pt>
                <c:pt idx="4">
                  <c:v>26.385442935502002</c:v>
                </c:pt>
                <c:pt idx="5">
                  <c:v>24.155555555555551</c:v>
                </c:pt>
                <c:pt idx="6">
                  <c:v>9.4936944444444453</c:v>
                </c:pt>
                <c:pt idx="7">
                  <c:v>9.8068503350707363</c:v>
                </c:pt>
                <c:pt idx="8">
                  <c:v>2.546666666666666</c:v>
                </c:pt>
                <c:pt idx="9">
                  <c:v>1.3124242424242423</c:v>
                </c:pt>
                <c:pt idx="10">
                  <c:v>1.4459259259259256</c:v>
                </c:pt>
                <c:pt idx="11">
                  <c:v>1.3466666666666667</c:v>
                </c:pt>
              </c:numCache>
            </c:numRef>
          </c:val>
          <c:extLst>
            <c:ext xmlns:c16="http://schemas.microsoft.com/office/drawing/2014/chart" uri="{C3380CC4-5D6E-409C-BE32-E72D297353CC}">
              <c16:uniqueId val="{00000000-C1B6-4816-AA13-B5179897FE84}"/>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r>
              <a:rPr lang="fr-FR" sz="1400" b="1">
                <a:ln>
                  <a:noFill/>
                </a:ln>
                <a:solidFill>
                  <a:sysClr val="windowText" lastClr="000000"/>
                </a:solidFill>
              </a:rPr>
              <a:t>Bill of Energy (BoE) (kWh/wafer) -</a:t>
            </a:r>
            <a:r>
              <a:rPr lang="fr-FR" sz="1400" b="1" baseline="0">
                <a:ln>
                  <a:noFill/>
                </a:ln>
                <a:solidFill>
                  <a:sysClr val="windowText" lastClr="000000"/>
                </a:solidFill>
              </a:rPr>
              <a:t> Cleanroom facilities &amp; infras.</a:t>
            </a:r>
            <a:endParaRPr lang="fr-FR" sz="1400" b="1">
              <a:ln>
                <a:noFill/>
              </a:ln>
              <a:solidFill>
                <a:sysClr val="windowText" lastClr="000000"/>
              </a:solidFill>
            </a:endParaRPr>
          </a:p>
        </c:rich>
      </c:tx>
      <c:overlay val="0"/>
      <c:spPr>
        <a:solidFill>
          <a:srgbClr val="66FFCC"/>
        </a:solidFill>
        <a:ln>
          <a:noFill/>
        </a:ln>
        <a:effectLst/>
      </c:spPr>
      <c:txPr>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0.20517608995484959"/>
          <c:y val="0.13932719549457012"/>
          <c:w val="0.62184018816337194"/>
          <c:h val="0.83055271715280987"/>
        </c:manualLayout>
      </c:layout>
      <c:doughnutChart>
        <c:varyColors val="1"/>
        <c:ser>
          <c:idx val="0"/>
          <c:order val="0"/>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4AF7-4005-B817-12C033A0B80B}"/>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4AF7-4005-B817-12C033A0B80B}"/>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4AF7-4005-B817-12C033A0B80B}"/>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4AF7-4005-B817-12C033A0B80B}"/>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4AF7-4005-B817-12C033A0B80B}"/>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B-4AF7-4005-B817-12C033A0B80B}"/>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D-4AF7-4005-B817-12C033A0B80B}"/>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0F-4AF7-4005-B817-12C033A0B80B}"/>
              </c:ext>
            </c:extLst>
          </c:dPt>
          <c:dPt>
            <c:idx val="8"/>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11-4AF7-4005-B817-12C033A0B80B}"/>
              </c:ext>
            </c:extLst>
          </c:dPt>
          <c:dPt>
            <c:idx val="9"/>
            <c:bubble3D val="0"/>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extLst>
              <c:ext xmlns:c16="http://schemas.microsoft.com/office/drawing/2014/chart" uri="{C3380CC4-5D6E-409C-BE32-E72D297353CC}">
                <c16:uniqueId val="{00000013-4AF7-4005-B817-12C033A0B80B}"/>
              </c:ext>
            </c:extLst>
          </c:dPt>
          <c:dPt>
            <c:idx val="10"/>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15-4AF7-4005-B817-12C033A0B80B}"/>
              </c:ext>
            </c:extLst>
          </c:dPt>
          <c:dPt>
            <c:idx val="11"/>
            <c:bubble3D val="0"/>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extLst>
              <c:ext xmlns:c16="http://schemas.microsoft.com/office/drawing/2014/chart" uri="{C3380CC4-5D6E-409C-BE32-E72D297353CC}">
                <c16:uniqueId val="{00000017-4AF7-4005-B817-12C033A0B80B}"/>
              </c:ext>
            </c:extLst>
          </c:dPt>
          <c:dLbls>
            <c:dLbl>
              <c:idx val="0"/>
              <c:layout>
                <c:manualLayout>
                  <c:x val="0.16481396605667137"/>
                  <c:y val="-6.3499481420901727E-2"/>
                </c:manualLayout>
              </c:layout>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11337294873261874"/>
                      <c:h val="8.3459485080871837E-2"/>
                    </c:manualLayout>
                  </c15:layout>
                </c:ext>
                <c:ext xmlns:c16="http://schemas.microsoft.com/office/drawing/2014/chart" uri="{C3380CC4-5D6E-409C-BE32-E72D297353CC}">
                  <c16:uniqueId val="{00000001-4AF7-4005-B817-12C033A0B80B}"/>
                </c:ext>
              </c:extLst>
            </c:dLbl>
            <c:dLbl>
              <c:idx val="1"/>
              <c:layout>
                <c:manualLayout>
                  <c:x val="-0.15451297229421879"/>
                  <c:y val="0.11959069000936492"/>
                </c:manualLayout>
              </c:layout>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11696246777624889"/>
                      <c:h val="9.192608260365874E-2"/>
                    </c:manualLayout>
                  </c15:layout>
                </c:ext>
                <c:ext xmlns:c16="http://schemas.microsoft.com/office/drawing/2014/chart" uri="{C3380CC4-5D6E-409C-BE32-E72D297353CC}">
                  <c16:uniqueId val="{00000003-4AF7-4005-B817-12C033A0B80B}"/>
                </c:ext>
              </c:extLst>
            </c:dLbl>
            <c:dLbl>
              <c:idx val="2"/>
              <c:layout>
                <c:manualLayout>
                  <c:x val="-0.16639865273867724"/>
                  <c:y val="-6.7732696849642351E-2"/>
                </c:manualLayout>
              </c:layout>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11681185422255143"/>
                      <c:h val="7.0759588796691489E-2"/>
                    </c:manualLayout>
                  </c15:layout>
                </c:ext>
                <c:ext xmlns:c16="http://schemas.microsoft.com/office/drawing/2014/chart" uri="{C3380CC4-5D6E-409C-BE32-E72D297353CC}">
                  <c16:uniqueId val="{00000005-4AF7-4005-B817-12C033A0B80B}"/>
                </c:ext>
              </c:extLst>
            </c:dLbl>
            <c:dLbl>
              <c:idx val="3"/>
              <c:layout>
                <c:manualLayout>
                  <c:x val="-0.21156393894747955"/>
                  <c:y val="-6.4557806111250088E-2"/>
                </c:manualLayout>
              </c:layout>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14625649201192875"/>
                      <c:h val="3.6893198705543903E-2"/>
                    </c:manualLayout>
                  </c15:layout>
                </c:ext>
                <c:ext xmlns:c16="http://schemas.microsoft.com/office/drawing/2014/chart" uri="{C3380CC4-5D6E-409C-BE32-E72D297353CC}">
                  <c16:uniqueId val="{00000007-4AF7-4005-B817-12C033A0B80B}"/>
                </c:ext>
              </c:extLst>
            </c:dLbl>
            <c:dLbl>
              <c:idx val="4"/>
              <c:layout>
                <c:manualLayout>
                  <c:x val="-0.18066139440199244"/>
                  <c:y val="-9.313257275065586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AF7-4005-B817-12C033A0B80B}"/>
                </c:ext>
              </c:extLst>
            </c:dLbl>
            <c:dLbl>
              <c:idx val="5"/>
              <c:layout>
                <c:manualLayout>
                  <c:x val="-0.15055116200166035"/>
                  <c:y val="-0.131232261603196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AF7-4005-B817-12C033A0B80B}"/>
                </c:ext>
              </c:extLst>
            </c:dLbl>
            <c:dLbl>
              <c:idx val="6"/>
              <c:layout>
                <c:manualLayout>
                  <c:x val="-0.12519517682243339"/>
                  <c:y val="-0.1672153010750412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AF7-4005-B817-12C033A0B80B}"/>
                </c:ext>
              </c:extLst>
            </c:dLbl>
            <c:dLbl>
              <c:idx val="7"/>
              <c:layout>
                <c:manualLayout>
                  <c:x val="-5.8688952206399796E-2"/>
                  <c:y val="-0.1757072511861981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AF7-4005-B817-12C033A0B80B}"/>
                </c:ext>
              </c:extLst>
            </c:dLbl>
            <c:dLbl>
              <c:idx val="8"/>
              <c:layout>
                <c:manualLayout>
                  <c:x val="2.6916169631156384E-2"/>
                  <c:y val="-0.1735483672331547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AF7-4005-B817-12C033A0B80B}"/>
                </c:ext>
              </c:extLst>
            </c:dLbl>
            <c:dLbl>
              <c:idx val="9"/>
              <c:layout>
                <c:manualLayout>
                  <c:x val="0.10479986879515638"/>
                  <c:y val="-0.1397720017538326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AF7-4005-B817-12C033A0B80B}"/>
                </c:ext>
              </c:extLst>
            </c:dLbl>
            <c:dLbl>
              <c:idx val="10"/>
              <c:layout>
                <c:manualLayout>
                  <c:x val="0.22694519318285675"/>
                  <c:y val="-0.1460418531897580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5-4AF7-4005-B817-12C033A0B80B}"/>
                </c:ext>
              </c:extLst>
            </c:dLbl>
            <c:dLbl>
              <c:idx val="11"/>
              <c:layout>
                <c:manualLayout>
                  <c:x val="0.2441948024733446"/>
                  <c:y val="-7.5031340797117138E-2"/>
                </c:manualLayout>
              </c:layout>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7.7961668289058719E-2"/>
                      <c:h val="7.9226186319478392E-2"/>
                    </c:manualLayout>
                  </c15:layout>
                </c:ext>
                <c:ext xmlns:c16="http://schemas.microsoft.com/office/drawing/2014/chart" uri="{C3380CC4-5D6E-409C-BE32-E72D297353CC}">
                  <c16:uniqueId val="{00000017-4AF7-4005-B817-12C033A0B80B}"/>
                </c:ext>
              </c:extLst>
            </c:dLbl>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showLeaderLines val="1"/>
            <c:leaderLines>
              <c:spPr>
                <a:ln w="9525">
                  <a:solidFill>
                    <a:schemeClr val="tx1"/>
                  </a:solidFill>
                </a:ln>
                <a:effectLst/>
              </c:spPr>
            </c:leaderLines>
            <c:extLst>
              <c:ext xmlns:c15="http://schemas.microsoft.com/office/drawing/2012/chart" uri="{CE6537A1-D6FC-4f65-9D91-7224C49458BB}"/>
            </c:extLst>
          </c:dLbls>
          <c:cat>
            <c:strRef>
              <c:f>('8. BoE'!$A$41,'8. BoE'!$A$43,'8. BoE'!$A$45,'8. BoE'!$A$47,'8. BoE'!$A$49,'8. BoE'!$A$51,'8. BoE'!$A$53,'8. BoE'!$A$55,'8. BoE'!$A$57,'8. BoE'!$A$59,'8. BoE'!$A$61,'8. BoE'!$A$63)</c:f>
              <c:strCache>
                <c:ptCount val="12"/>
                <c:pt idx="0">
                  <c:v>HVAC - RCU</c:v>
                </c:pt>
                <c:pt idx="1">
                  <c:v>HVAC - MAU</c:v>
                </c:pt>
                <c:pt idx="2">
                  <c:v>HVAC - EXH</c:v>
                </c:pt>
                <c:pt idx="3">
                  <c:v>SCR</c:v>
                </c:pt>
                <c:pt idx="4">
                  <c:v>AWN</c:v>
                </c:pt>
                <c:pt idx="5">
                  <c:v>WWT</c:v>
                </c:pt>
                <c:pt idx="6">
                  <c:v>PCW</c:v>
                </c:pt>
                <c:pt idx="7">
                  <c:v>UPW</c:v>
                </c:pt>
                <c:pt idx="8">
                  <c:v>CDA</c:v>
                </c:pt>
                <c:pt idx="9">
                  <c:v>VAC</c:v>
                </c:pt>
                <c:pt idx="10">
                  <c:v>N2</c:v>
                </c:pt>
                <c:pt idx="11">
                  <c:v>UF</c:v>
                </c:pt>
              </c:strCache>
            </c:strRef>
          </c:cat>
          <c:val>
            <c:numRef>
              <c:f>('8. BoE'!$D$42,'8. BoE'!$D$44,'8. BoE'!$D$46,'8. BoE'!$D$48,'8. BoE'!$D$50,'8. BoE'!$D$52,'8. BoE'!$D$54,'8. BoE'!$D$56,'8. BoE'!$D$58,'8. BoE'!$D$60,'8. BoE'!$D$62,'8. BoE'!$D$64)</c:f>
              <c:numCache>
                <c:formatCode>0.00E+00</c:formatCode>
                <c:ptCount val="12"/>
                <c:pt idx="0">
                  <c:v>103.51990582695703</c:v>
                </c:pt>
                <c:pt idx="1">
                  <c:v>109.6226409024071</c:v>
                </c:pt>
                <c:pt idx="2">
                  <c:v>19.111091999999999</c:v>
                </c:pt>
                <c:pt idx="3">
                  <c:v>10.000000000000002</c:v>
                </c:pt>
                <c:pt idx="4">
                  <c:v>4.1326964522593386E-2</c:v>
                </c:pt>
                <c:pt idx="5">
                  <c:v>1.2429870356495087</c:v>
                </c:pt>
                <c:pt idx="6">
                  <c:v>2.8460889600000003</c:v>
                </c:pt>
                <c:pt idx="7">
                  <c:v>12.212090565190277</c:v>
                </c:pt>
                <c:pt idx="8">
                  <c:v>0.28305076800000001</c:v>
                </c:pt>
                <c:pt idx="9">
                  <c:v>0.12396383999999999</c:v>
                </c:pt>
                <c:pt idx="10">
                  <c:v>7.8688799981333322</c:v>
                </c:pt>
                <c:pt idx="11">
                  <c:v>0.15600193669868903</c:v>
                </c:pt>
              </c:numCache>
            </c:numRef>
          </c:val>
          <c:extLst>
            <c:ext xmlns:c16="http://schemas.microsoft.com/office/drawing/2014/chart" uri="{C3380CC4-5D6E-409C-BE32-E72D297353CC}">
              <c16:uniqueId val="{00000018-4AF7-4005-B817-12C033A0B80B}"/>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fr-FR" sz="1600" b="1">
                <a:solidFill>
                  <a:sysClr val="windowText" lastClr="000000"/>
                </a:solidFill>
              </a:rPr>
              <a:t>FE</a:t>
            </a:r>
            <a:r>
              <a:rPr lang="fr-FR" sz="1600" b="1" baseline="0">
                <a:solidFill>
                  <a:sysClr val="windowText" lastClr="000000"/>
                </a:solidFill>
              </a:rPr>
              <a:t> yield (</a:t>
            </a:r>
            <a:r>
              <a:rPr lang="el-GR" sz="16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η</a:t>
            </a:r>
            <a:r>
              <a:rPr lang="fr-FR" sz="1600" b="1" baseline="-250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1</a:t>
            </a:r>
            <a:r>
              <a:rPr lang="fr-FR" sz="1600" b="1" baseline="0">
                <a:solidFill>
                  <a:sysClr val="windowText" lastClr="000000"/>
                </a:solidFill>
              </a:rPr>
              <a:t>) vs die area (A) at constant defect density</a:t>
            </a:r>
          </a:p>
        </c:rich>
      </c:tx>
      <c:layout>
        <c:manualLayout>
          <c:xMode val="edge"/>
          <c:yMode val="edge"/>
          <c:x val="0.32493169473212125"/>
          <c:y val="2.43545669964138E-2"/>
        </c:manualLayout>
      </c:layout>
      <c:overlay val="0"/>
      <c:spPr>
        <a:solidFill>
          <a:srgbClr val="FFFF00"/>
        </a:solid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0.14462012235991573"/>
          <c:y val="8.08820161142772E-2"/>
          <c:w val="0.81919210796395592"/>
          <c:h val="0.79864179549673975"/>
        </c:manualLayout>
      </c:layout>
      <c:scatterChart>
        <c:scatterStyle val="smoothMarker"/>
        <c:varyColors val="0"/>
        <c:ser>
          <c:idx val="0"/>
          <c:order val="0"/>
          <c:tx>
            <c:v>Murphy, triangular</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'27. FRONT-END YIELD MODELS'!$E$5:$E$25</c:f>
              <c:numCache>
                <c:formatCode>General</c:formatCode>
                <c:ptCount val="21"/>
                <c:pt idx="0">
                  <c:v>0.1</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numCache>
            </c:numRef>
          </c:xVal>
          <c:yVal>
            <c:numRef>
              <c:f>'27. FRONT-END YIELD MODELS'!$F$5:$F$25</c:f>
              <c:numCache>
                <c:formatCode>0.00%</c:formatCode>
                <c:ptCount val="21"/>
                <c:pt idx="0">
                  <c:v>0.99005808419193975</c:v>
                </c:pt>
                <c:pt idx="1">
                  <c:v>0.95142761381262175</c:v>
                </c:pt>
                <c:pt idx="2">
                  <c:v>0.90559170060627225</c:v>
                </c:pt>
                <c:pt idx="3">
                  <c:v>0.86232301473787765</c:v>
                </c:pt>
                <c:pt idx="4">
                  <c:v>0.82146349699188992</c:v>
                </c:pt>
                <c:pt idx="5">
                  <c:v>0.7828654971171789</c:v>
                </c:pt>
                <c:pt idx="6">
                  <c:v>0.74639105256211857</c:v>
                </c:pt>
                <c:pt idx="7">
                  <c:v>0.71191121921618472</c:v>
                </c:pt>
                <c:pt idx="8">
                  <c:v>0.67930545028714362</c:v>
                </c:pt>
                <c:pt idx="9">
                  <c:v>0.64846101973853076</c:v>
                </c:pt>
                <c:pt idx="10">
                  <c:v>0.61927248698470194</c:v>
                </c:pt>
                <c:pt idx="11">
                  <c:v>0.59164119979208651</c:v>
                </c:pt>
                <c:pt idx="12">
                  <c:v>0.56547483256708109</c:v>
                </c:pt>
                <c:pt idx="13">
                  <c:v>0.54068695742480599</c:v>
                </c:pt>
                <c:pt idx="14">
                  <c:v>0.51719664563017864</c:v>
                </c:pt>
                <c:pt idx="15">
                  <c:v>0.49492809718471187</c:v>
                </c:pt>
                <c:pt idx="16">
                  <c:v>0.47381029650033163</c:v>
                </c:pt>
                <c:pt idx="17">
                  <c:v>0.45377669225644479</c:v>
                </c:pt>
                <c:pt idx="18">
                  <c:v>0.43476489967949167</c:v>
                </c:pt>
                <c:pt idx="19">
                  <c:v>0.41671642361621336</c:v>
                </c:pt>
                <c:pt idx="20">
                  <c:v>0.39957640089372803</c:v>
                </c:pt>
              </c:numCache>
            </c:numRef>
          </c:yVal>
          <c:smooth val="1"/>
          <c:extLst>
            <c:ext xmlns:c16="http://schemas.microsoft.com/office/drawing/2014/chart" uri="{C3380CC4-5D6E-409C-BE32-E72D297353CC}">
              <c16:uniqueId val="{00000000-978D-46C7-ADD0-58E46782D62D}"/>
            </c:ext>
          </c:extLst>
        </c:ser>
        <c:ser>
          <c:idx val="1"/>
          <c:order val="1"/>
          <c:tx>
            <c:v>Murphy, rectangular</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'27. FRONT-END YIELD MODELS'!$E$26:$E$46</c:f>
              <c:numCache>
                <c:formatCode>General</c:formatCode>
                <c:ptCount val="21"/>
                <c:pt idx="0">
                  <c:v>0.1</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numCache>
            </c:numRef>
          </c:xVal>
          <c:yVal>
            <c:numRef>
              <c:f>'27. FRONT-END YIELD MODELS'!$F$26:$F$46</c:f>
              <c:numCache>
                <c:formatCode>0.00%</c:formatCode>
                <c:ptCount val="21"/>
                <c:pt idx="0">
                  <c:v>0.99006633466223715</c:v>
                </c:pt>
                <c:pt idx="1">
                  <c:v>0.95162581964040482</c:v>
                </c:pt>
                <c:pt idx="2">
                  <c:v>0.9063462346100909</c:v>
                </c:pt>
                <c:pt idx="3">
                  <c:v>0.8639392643942736</c:v>
                </c:pt>
                <c:pt idx="4">
                  <c:v>0.82419988491090168</c:v>
                </c:pt>
                <c:pt idx="5">
                  <c:v>0.78693868057473315</c:v>
                </c:pt>
                <c:pt idx="6">
                  <c:v>0.75198060650995591</c:v>
                </c:pt>
                <c:pt idx="7">
                  <c:v>0.71916385172655795</c:v>
                </c:pt>
                <c:pt idx="8">
                  <c:v>0.68833879485347305</c:v>
                </c:pt>
                <c:pt idx="9">
                  <c:v>0.65936704473266761</c:v>
                </c:pt>
                <c:pt idx="10">
                  <c:v>0.63212055882855767</c:v>
                </c:pt>
                <c:pt idx="11">
                  <c:v>0.60648083300174582</c:v>
                </c:pt>
                <c:pt idx="12">
                  <c:v>0.58233815673983158</c:v>
                </c:pt>
                <c:pt idx="13">
                  <c:v>0.55959092843537495</c:v>
                </c:pt>
                <c:pt idx="14">
                  <c:v>0.53814502575599532</c:v>
                </c:pt>
                <c:pt idx="15">
                  <c:v>0.51791322656771344</c:v>
                </c:pt>
                <c:pt idx="16">
                  <c:v>0.49881467625334036</c:v>
                </c:pt>
                <c:pt idx="17">
                  <c:v>0.48077439761603841</c:v>
                </c:pt>
                <c:pt idx="18">
                  <c:v>0.46372283987689633</c:v>
                </c:pt>
                <c:pt idx="19">
                  <c:v>0.44759546356703411</c:v>
                </c:pt>
                <c:pt idx="20">
                  <c:v>0.43233235838169365</c:v>
                </c:pt>
              </c:numCache>
            </c:numRef>
          </c:yVal>
          <c:smooth val="1"/>
          <c:extLst>
            <c:ext xmlns:c16="http://schemas.microsoft.com/office/drawing/2014/chart" uri="{C3380CC4-5D6E-409C-BE32-E72D297353CC}">
              <c16:uniqueId val="{00000001-978D-46C7-ADD0-58E46782D62D}"/>
            </c:ext>
          </c:extLst>
        </c:ser>
        <c:ser>
          <c:idx val="2"/>
          <c:order val="2"/>
          <c:tx>
            <c:v>Seed</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'27. FRONT-END YIELD MODELS'!$E$47:$E$67</c:f>
              <c:numCache>
                <c:formatCode>General</c:formatCode>
                <c:ptCount val="21"/>
                <c:pt idx="0">
                  <c:v>0.1</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numCache>
            </c:numRef>
          </c:xVal>
          <c:yVal>
            <c:numRef>
              <c:f>'27. FRONT-END YIELD MODELS'!$F$47:$F$67</c:f>
              <c:numCache>
                <c:formatCode>0.00%</c:formatCode>
                <c:ptCount val="21"/>
                <c:pt idx="0">
                  <c:v>0.99009900990099009</c:v>
                </c:pt>
                <c:pt idx="1">
                  <c:v>0.95238095238095233</c:v>
                </c:pt>
                <c:pt idx="2">
                  <c:v>0.90909090909090906</c:v>
                </c:pt>
                <c:pt idx="3">
                  <c:v>0.86956521739130443</c:v>
                </c:pt>
                <c:pt idx="4">
                  <c:v>0.83333333333333337</c:v>
                </c:pt>
                <c:pt idx="5">
                  <c:v>0.8</c:v>
                </c:pt>
                <c:pt idx="6">
                  <c:v>0.76923076923076916</c:v>
                </c:pt>
                <c:pt idx="7">
                  <c:v>0.7407407407407407</c:v>
                </c:pt>
                <c:pt idx="8">
                  <c:v>0.7142857142857143</c:v>
                </c:pt>
                <c:pt idx="9">
                  <c:v>0.68965517241379315</c:v>
                </c:pt>
                <c:pt idx="10">
                  <c:v>0.66666666666666663</c:v>
                </c:pt>
                <c:pt idx="11">
                  <c:v>0.64516129032258063</c:v>
                </c:pt>
                <c:pt idx="12">
                  <c:v>0.625</c:v>
                </c:pt>
                <c:pt idx="13">
                  <c:v>0.60606060606060608</c:v>
                </c:pt>
                <c:pt idx="14">
                  <c:v>0.58823529411764697</c:v>
                </c:pt>
                <c:pt idx="15">
                  <c:v>0.5714285714285714</c:v>
                </c:pt>
                <c:pt idx="16">
                  <c:v>0.55555555555555558</c:v>
                </c:pt>
                <c:pt idx="17">
                  <c:v>0.54054054054054046</c:v>
                </c:pt>
                <c:pt idx="18">
                  <c:v>0.52631578947368418</c:v>
                </c:pt>
                <c:pt idx="19">
                  <c:v>0.51282051282051277</c:v>
                </c:pt>
                <c:pt idx="20">
                  <c:v>0.5</c:v>
                </c:pt>
              </c:numCache>
            </c:numRef>
          </c:yVal>
          <c:smooth val="1"/>
          <c:extLst>
            <c:ext xmlns:c16="http://schemas.microsoft.com/office/drawing/2014/chart" uri="{C3380CC4-5D6E-409C-BE32-E72D297353CC}">
              <c16:uniqueId val="{00000002-978D-46C7-ADD0-58E46782D62D}"/>
            </c:ext>
          </c:extLst>
        </c:ser>
        <c:ser>
          <c:idx val="3"/>
          <c:order val="3"/>
          <c:tx>
            <c:v>Poisson</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'27. FRONT-END YIELD MODELS'!$E$68:$E$88</c:f>
              <c:numCache>
                <c:formatCode>General</c:formatCode>
                <c:ptCount val="21"/>
                <c:pt idx="0">
                  <c:v>0.1</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numCache>
            </c:numRef>
          </c:xVal>
          <c:yVal>
            <c:numRef>
              <c:f>'27. FRONT-END YIELD MODELS'!$F$68:$F$88</c:f>
              <c:numCache>
                <c:formatCode>0.00%</c:formatCode>
                <c:ptCount val="21"/>
                <c:pt idx="0">
                  <c:v>0.99004983374916811</c:v>
                </c:pt>
                <c:pt idx="1">
                  <c:v>0.95122942450071402</c:v>
                </c:pt>
                <c:pt idx="2">
                  <c:v>0.90483741803595952</c:v>
                </c:pt>
                <c:pt idx="3">
                  <c:v>0.86070797642505781</c:v>
                </c:pt>
                <c:pt idx="4">
                  <c:v>0.81873075307798182</c:v>
                </c:pt>
                <c:pt idx="5">
                  <c:v>0.77880078307140488</c:v>
                </c:pt>
                <c:pt idx="6">
                  <c:v>0.74081822068171788</c:v>
                </c:pt>
                <c:pt idx="7">
                  <c:v>0.70468808971871344</c:v>
                </c:pt>
                <c:pt idx="8">
                  <c:v>0.67032004603563933</c:v>
                </c:pt>
                <c:pt idx="9">
                  <c:v>0.63762815162177333</c:v>
                </c:pt>
                <c:pt idx="10">
                  <c:v>0.60653065971263342</c:v>
                </c:pt>
                <c:pt idx="11">
                  <c:v>0.57694981038048665</c:v>
                </c:pt>
                <c:pt idx="12">
                  <c:v>0.54881163609402639</c:v>
                </c:pt>
                <c:pt idx="13">
                  <c:v>0.52204577676101604</c:v>
                </c:pt>
                <c:pt idx="14">
                  <c:v>0.49658530379140947</c:v>
                </c:pt>
                <c:pt idx="15">
                  <c:v>0.47236655274101469</c:v>
                </c:pt>
                <c:pt idx="16">
                  <c:v>0.44932896411722156</c:v>
                </c:pt>
                <c:pt idx="17">
                  <c:v>0.42741493194872665</c:v>
                </c:pt>
                <c:pt idx="18">
                  <c:v>0.40656965974059911</c:v>
                </c:pt>
                <c:pt idx="19">
                  <c:v>0.38674102345450118</c:v>
                </c:pt>
                <c:pt idx="20">
                  <c:v>0.36787944117144233</c:v>
                </c:pt>
              </c:numCache>
            </c:numRef>
          </c:yVal>
          <c:smooth val="1"/>
          <c:extLst>
            <c:ext xmlns:c16="http://schemas.microsoft.com/office/drawing/2014/chart" uri="{C3380CC4-5D6E-409C-BE32-E72D297353CC}">
              <c16:uniqueId val="{00000000-CB8A-4202-8198-FBC4E21879B7}"/>
            </c:ext>
          </c:extLst>
        </c:ser>
        <c:dLbls>
          <c:showLegendKey val="0"/>
          <c:showVal val="0"/>
          <c:showCatName val="0"/>
          <c:showSerName val="0"/>
          <c:showPercent val="0"/>
          <c:showBubbleSize val="0"/>
        </c:dLbls>
        <c:axId val="1349060623"/>
        <c:axId val="1349064367"/>
      </c:scatterChart>
      <c:valAx>
        <c:axId val="1349060623"/>
        <c:scaling>
          <c:orientation val="minMax"/>
          <c:max val="1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fr-FR" sz="1600" b="1">
                    <a:solidFill>
                      <a:sysClr val="windowText" lastClr="000000"/>
                    </a:solidFill>
                  </a:rPr>
                  <a:t>Die area A</a:t>
                </a:r>
                <a:r>
                  <a:rPr lang="fr-FR" sz="1600" b="1" baseline="-25000">
                    <a:solidFill>
                      <a:sysClr val="windowText" lastClr="000000"/>
                    </a:solidFill>
                  </a:rPr>
                  <a:t>D</a:t>
                </a:r>
                <a:r>
                  <a:rPr lang="fr-FR" sz="1600" b="1">
                    <a:solidFill>
                      <a:sysClr val="windowText" lastClr="000000"/>
                    </a:solidFill>
                  </a:rPr>
                  <a:t> (cm²)</a:t>
                </a:r>
              </a:p>
            </c:rich>
          </c:tx>
          <c:layout>
            <c:manualLayout>
              <c:xMode val="edge"/>
              <c:yMode val="edge"/>
              <c:x val="0.46756391925292745"/>
              <c:y val="0.93979037874117544"/>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fr-FR"/>
          </a:p>
        </c:txPr>
        <c:crossAx val="1349064367"/>
        <c:crosses val="autoZero"/>
        <c:crossBetween val="midCat"/>
      </c:valAx>
      <c:valAx>
        <c:axId val="1349064367"/>
        <c:scaling>
          <c:orientation val="minMax"/>
          <c:max val="1"/>
          <c:min val="0.3000000000000000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fr-FR" sz="1600" b="1">
                    <a:solidFill>
                      <a:sysClr val="windowText" lastClr="000000"/>
                    </a:solidFill>
                  </a:rPr>
                  <a:t>Front-end yield</a:t>
                </a:r>
                <a:r>
                  <a:rPr lang="fr-FR" sz="1600" b="1" baseline="0">
                    <a:solidFill>
                      <a:sysClr val="windowText" lastClr="000000"/>
                    </a:solidFill>
                  </a:rPr>
                  <a:t> (</a:t>
                </a:r>
                <a:r>
                  <a:rPr lang="el-GR" sz="16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η</a:t>
                </a:r>
                <a:r>
                  <a:rPr lang="fr-FR" sz="16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1</a:t>
                </a:r>
                <a:r>
                  <a:rPr lang="fr-FR" sz="1600" b="1" baseline="0">
                    <a:solidFill>
                      <a:sysClr val="windowText" lastClr="000000"/>
                    </a:solidFill>
                  </a:rPr>
                  <a:t>, %)</a:t>
                </a:r>
                <a:endParaRPr lang="fr-FR" sz="1600" b="1">
                  <a:solidFill>
                    <a:sysClr val="windowText" lastClr="000000"/>
                  </a:solidFill>
                </a:endParaRPr>
              </a:p>
            </c:rich>
          </c:tx>
          <c:layout>
            <c:manualLayout>
              <c:xMode val="edge"/>
              <c:yMode val="edge"/>
              <c:x val="1.9488348814504623E-2"/>
              <c:y val="0.37131920412037911"/>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fr-FR"/>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fr-FR"/>
          </a:p>
        </c:txPr>
        <c:crossAx val="1349060623"/>
        <c:crosses val="autoZero"/>
        <c:crossBetween val="midCat"/>
      </c:valAx>
      <c:spPr>
        <a:noFill/>
        <a:ln>
          <a:noFill/>
        </a:ln>
        <a:effectLst/>
      </c:spPr>
    </c:plotArea>
    <c:legend>
      <c:legendPos val="r"/>
      <c:layout>
        <c:manualLayout>
          <c:xMode val="edge"/>
          <c:yMode val="edge"/>
          <c:x val="0.65532752007008976"/>
          <c:y val="0.1646364144208903"/>
          <c:w val="0.2670816572107198"/>
          <c:h val="0.21886525833011991"/>
        </c:manualLayout>
      </c:layout>
      <c:overlay val="0"/>
      <c:spPr>
        <a:solidFill>
          <a:schemeClr val="bg1"/>
        </a:solidFill>
        <a:ln>
          <a:solidFill>
            <a:sysClr val="windowText" lastClr="000000"/>
          </a:solid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fr-FR" sz="1400" b="1">
                <a:solidFill>
                  <a:sysClr val="windowText" lastClr="000000"/>
                </a:solidFill>
              </a:rPr>
              <a:t>Die count per wafer (</a:t>
            </a:r>
            <a:r>
              <a:rPr lang="fr-FR" sz="1400" b="1" i="1">
                <a:solidFill>
                  <a:sysClr val="windowText" lastClr="000000"/>
                </a:solidFill>
              </a:rPr>
              <a:t>D</a:t>
            </a:r>
            <a:r>
              <a:rPr lang="fr-FR" sz="1400" b="1" i="1" baseline="-25000">
                <a:solidFill>
                  <a:sysClr val="windowText" lastClr="000000"/>
                </a:solidFill>
              </a:rPr>
              <a:t>pw</a:t>
            </a:r>
            <a:r>
              <a:rPr lang="fr-FR" sz="1400" b="1">
                <a:solidFill>
                  <a:sysClr val="windowText" lastClr="000000"/>
                </a:solidFill>
              </a:rPr>
              <a:t>) vs die area (</a:t>
            </a:r>
            <a:r>
              <a:rPr lang="fr-FR" sz="1400" b="1" i="1">
                <a:solidFill>
                  <a:sysClr val="windowText" lastClr="000000"/>
                </a:solidFill>
              </a:rPr>
              <a:t>A</a:t>
            </a:r>
            <a:r>
              <a:rPr lang="fr-FR" sz="1400" b="1" i="1" baseline="-25000">
                <a:solidFill>
                  <a:sysClr val="windowText" lastClr="000000"/>
                </a:solidFill>
              </a:rPr>
              <a:t>D</a:t>
            </a:r>
            <a:r>
              <a:rPr lang="fr-FR" sz="1400" b="1">
                <a:solidFill>
                  <a:sysClr val="windowText" lastClr="000000"/>
                </a:solidFill>
              </a:rPr>
              <a:t>)</a:t>
            </a:r>
          </a:p>
        </c:rich>
      </c:tx>
      <c:layout>
        <c:manualLayout>
          <c:xMode val="edge"/>
          <c:yMode val="edge"/>
          <c:x val="0.36166731558884896"/>
          <c:y val="2.6663229007478487E-2"/>
        </c:manualLayout>
      </c:layout>
      <c:overlay val="0"/>
      <c:spPr>
        <a:solidFill>
          <a:srgbClr val="FFFF00"/>
        </a:solid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0.12373636679549214"/>
          <c:y val="0.1056176729874751"/>
          <c:w val="0.84830840315080125"/>
          <c:h val="0.76808484574227687"/>
        </c:manualLayout>
      </c:layout>
      <c:scatterChart>
        <c:scatterStyle val="smoothMarker"/>
        <c:varyColors val="0"/>
        <c:ser>
          <c:idx val="0"/>
          <c:order val="0"/>
          <c:tx>
            <c:v>300 mm wf</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'28. DIE COUNT MODEL'!$L$58:$L$73</c:f>
              <c:numCache>
                <c:formatCode>General</c:formatCode>
                <c:ptCount val="16"/>
                <c:pt idx="0">
                  <c:v>20.25</c:v>
                </c:pt>
                <c:pt idx="1">
                  <c:v>25</c:v>
                </c:pt>
                <c:pt idx="2">
                  <c:v>30.25</c:v>
                </c:pt>
                <c:pt idx="3">
                  <c:v>36</c:v>
                </c:pt>
                <c:pt idx="4">
                  <c:v>42.25</c:v>
                </c:pt>
                <c:pt idx="5">
                  <c:v>49</c:v>
                </c:pt>
                <c:pt idx="6">
                  <c:v>56.25</c:v>
                </c:pt>
                <c:pt idx="7">
                  <c:v>64</c:v>
                </c:pt>
                <c:pt idx="8">
                  <c:v>72.25</c:v>
                </c:pt>
                <c:pt idx="9">
                  <c:v>81</c:v>
                </c:pt>
                <c:pt idx="10">
                  <c:v>90.25</c:v>
                </c:pt>
                <c:pt idx="11">
                  <c:v>100</c:v>
                </c:pt>
                <c:pt idx="12">
                  <c:v>110.25</c:v>
                </c:pt>
                <c:pt idx="13">
                  <c:v>121</c:v>
                </c:pt>
                <c:pt idx="14">
                  <c:v>132.25</c:v>
                </c:pt>
                <c:pt idx="15">
                  <c:v>144</c:v>
                </c:pt>
              </c:numCache>
            </c:numRef>
          </c:xVal>
          <c:yVal>
            <c:numRef>
              <c:f>'28. DIE COUNT MODEL'!$N$58:$N$73</c:f>
              <c:numCache>
                <c:formatCode>0</c:formatCode>
                <c:ptCount val="16"/>
                <c:pt idx="0">
                  <c:v>3247.7505600130962</c:v>
                </c:pt>
                <c:pt idx="1">
                  <c:v>2621.2569455610228</c:v>
                </c:pt>
                <c:pt idx="2">
                  <c:v>2158.5420971168905</c:v>
                </c:pt>
                <c:pt idx="3">
                  <c:v>1807.2325899040645</c:v>
                </c:pt>
                <c:pt idx="4">
                  <c:v>1534.3159298297442</c:v>
                </c:pt>
                <c:pt idx="5">
                  <c:v>1318.1494455932057</c:v>
                </c:pt>
                <c:pt idx="6">
                  <c:v>1144.0675134724879</c:v>
                </c:pt>
                <c:pt idx="7">
                  <c:v>1001.8480067435596</c:v>
                </c:pt>
                <c:pt idx="8">
                  <c:v>884.190273084404</c:v>
                </c:pt>
                <c:pt idx="9">
                  <c:v>785.76817319887107</c:v>
                </c:pt>
                <c:pt idx="10">
                  <c:v>702.62267953317382</c:v>
                </c:pt>
                <c:pt idx="11">
                  <c:v>631.76171626629309</c:v>
                </c:pt>
                <c:pt idx="12">
                  <c:v>570.89021701033732</c:v>
                </c:pt>
                <c:pt idx="13">
                  <c:v>518.22414234834753</c:v>
                </c:pt>
                <c:pt idx="14">
                  <c:v>472.35989431312237</c:v>
                </c:pt>
                <c:pt idx="15">
                  <c:v>432.18104737271386</c:v>
                </c:pt>
              </c:numCache>
            </c:numRef>
          </c:yVal>
          <c:smooth val="1"/>
          <c:extLst>
            <c:ext xmlns:c16="http://schemas.microsoft.com/office/drawing/2014/chart" uri="{C3380CC4-5D6E-409C-BE32-E72D297353CC}">
              <c16:uniqueId val="{00000000-FF15-40E0-B143-11D392CE60AC}"/>
            </c:ext>
          </c:extLst>
        </c:ser>
        <c:ser>
          <c:idx val="1"/>
          <c:order val="1"/>
          <c:tx>
            <c:v>200 mm wf</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'28. DIE COUNT MODEL'!$L$35:$L$50</c:f>
              <c:numCache>
                <c:formatCode>General</c:formatCode>
                <c:ptCount val="16"/>
                <c:pt idx="0">
                  <c:v>20.25</c:v>
                </c:pt>
                <c:pt idx="1">
                  <c:v>25</c:v>
                </c:pt>
                <c:pt idx="2">
                  <c:v>30.25</c:v>
                </c:pt>
                <c:pt idx="3">
                  <c:v>36</c:v>
                </c:pt>
                <c:pt idx="4">
                  <c:v>42.25</c:v>
                </c:pt>
                <c:pt idx="5">
                  <c:v>49</c:v>
                </c:pt>
                <c:pt idx="6">
                  <c:v>56.25</c:v>
                </c:pt>
                <c:pt idx="7">
                  <c:v>64</c:v>
                </c:pt>
                <c:pt idx="8">
                  <c:v>72.25</c:v>
                </c:pt>
                <c:pt idx="9">
                  <c:v>81</c:v>
                </c:pt>
                <c:pt idx="10">
                  <c:v>90.25</c:v>
                </c:pt>
                <c:pt idx="11">
                  <c:v>100</c:v>
                </c:pt>
                <c:pt idx="12">
                  <c:v>110.25</c:v>
                </c:pt>
                <c:pt idx="13">
                  <c:v>121</c:v>
                </c:pt>
                <c:pt idx="14">
                  <c:v>132.25</c:v>
                </c:pt>
                <c:pt idx="15">
                  <c:v>144</c:v>
                </c:pt>
              </c:numCache>
            </c:numRef>
          </c:xVal>
          <c:yVal>
            <c:numRef>
              <c:f>'28. DIE COUNT MODEL'!$N$35:$N$50</c:f>
              <c:numCache>
                <c:formatCode>0</c:formatCode>
                <c:ptCount val="16"/>
                <c:pt idx="0">
                  <c:v>1303.8835121383488</c:v>
                </c:pt>
                <c:pt idx="1">
                  <c:v>1050.1213267595388</c:v>
                </c:pt>
                <c:pt idx="2">
                  <c:v>862.89008982397922</c:v>
                </c:pt>
                <c:pt idx="3">
                  <c:v>720.88381292673</c:v>
                </c:pt>
                <c:pt idx="4">
                  <c:v>610.67951037986222</c:v>
                </c:pt>
                <c:pt idx="5">
                  <c:v>523.48166044359368</c:v>
                </c:pt>
                <c:pt idx="6">
                  <c:v>453.33321617640883</c:v>
                </c:pt>
                <c:pt idx="7">
                  <c:v>396.08414778296719</c:v>
                </c:pt>
                <c:pt idx="8">
                  <c:v>348.77200700756822</c:v>
                </c:pt>
                <c:pt idx="9">
                  <c:v>309.23666116646558</c:v>
                </c:pt>
                <c:pt idx="10">
                  <c:v>275.87325875535305</c:v>
                </c:pt>
                <c:pt idx="11">
                  <c:v>247.4695365085752</c:v>
                </c:pt>
                <c:pt idx="12">
                  <c:v>223.09610611378164</c:v>
                </c:pt>
                <c:pt idx="13">
                  <c:v>202.03089047298621</c:v>
                </c:pt>
                <c:pt idx="14">
                  <c:v>183.70608540958969</c:v>
                </c:pt>
                <c:pt idx="15">
                  <c:v>167.67029058059126</c:v>
                </c:pt>
              </c:numCache>
            </c:numRef>
          </c:yVal>
          <c:smooth val="1"/>
          <c:extLst>
            <c:ext xmlns:c16="http://schemas.microsoft.com/office/drawing/2014/chart" uri="{C3380CC4-5D6E-409C-BE32-E72D297353CC}">
              <c16:uniqueId val="{00000001-FF15-40E0-B143-11D392CE60AC}"/>
            </c:ext>
          </c:extLst>
        </c:ser>
        <c:ser>
          <c:idx val="2"/>
          <c:order val="2"/>
          <c:tx>
            <c:v>150 mm wf</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'28. DIE COUNT MODEL'!$L$12:$L$27</c:f>
              <c:numCache>
                <c:formatCode>General</c:formatCode>
                <c:ptCount val="16"/>
                <c:pt idx="0">
                  <c:v>20.25</c:v>
                </c:pt>
                <c:pt idx="1">
                  <c:v>25</c:v>
                </c:pt>
                <c:pt idx="2">
                  <c:v>30.25</c:v>
                </c:pt>
                <c:pt idx="3">
                  <c:v>36</c:v>
                </c:pt>
                <c:pt idx="4">
                  <c:v>42.25</c:v>
                </c:pt>
                <c:pt idx="5">
                  <c:v>49</c:v>
                </c:pt>
                <c:pt idx="6">
                  <c:v>56.25</c:v>
                </c:pt>
                <c:pt idx="7">
                  <c:v>64</c:v>
                </c:pt>
                <c:pt idx="8">
                  <c:v>72.25</c:v>
                </c:pt>
                <c:pt idx="9">
                  <c:v>81</c:v>
                </c:pt>
                <c:pt idx="10">
                  <c:v>90.25</c:v>
                </c:pt>
                <c:pt idx="11">
                  <c:v>100</c:v>
                </c:pt>
                <c:pt idx="12">
                  <c:v>110.25</c:v>
                </c:pt>
                <c:pt idx="13">
                  <c:v>121</c:v>
                </c:pt>
                <c:pt idx="14">
                  <c:v>132.25</c:v>
                </c:pt>
                <c:pt idx="15">
                  <c:v>144</c:v>
                </c:pt>
              </c:numCache>
            </c:numRef>
          </c:xVal>
          <c:yVal>
            <c:numRef>
              <c:f>'28. DIE COUNT MODEL'!$N$12:$N$27</c:f>
              <c:numCache>
                <c:formatCode>0</c:formatCode>
                <c:ptCount val="16"/>
                <c:pt idx="0">
                  <c:v>689.48883034185587</c:v>
                </c:pt>
                <c:pt idx="1">
                  <c:v>554.06384675771028</c:v>
                </c:pt>
                <c:pt idx="2">
                  <c:v>454.24937267646055</c:v>
                </c:pt>
                <c:pt idx="3">
                  <c:v>378.62474661064186</c:v>
                </c:pt>
                <c:pt idx="4">
                  <c:v>319.99853804741497</c:v>
                </c:pt>
                <c:pt idx="5">
                  <c:v>273.66093034741749</c:v>
                </c:pt>
                <c:pt idx="6">
                  <c:v>236.42369673855347</c:v>
                </c:pt>
                <c:pt idx="7">
                  <c:v>206.06687962599699</c:v>
                </c:pt>
                <c:pt idx="8">
                  <c:v>181.00661108074718</c:v>
                </c:pt>
                <c:pt idx="9">
                  <c:v>160.08858030992786</c:v>
                </c:pt>
                <c:pt idx="10">
                  <c:v>142.45564941412005</c:v>
                </c:pt>
                <c:pt idx="11">
                  <c:v>127.4606971414451</c:v>
                </c:pt>
                <c:pt idx="12">
                  <c:v>114.60786456838716</c:v>
                </c:pt>
                <c:pt idx="13">
                  <c:v>103.51210267094925</c:v>
                </c:pt>
                <c:pt idx="14">
                  <c:v>93.87078848926302</c:v>
                </c:pt>
                <c:pt idx="15">
                  <c:v>85.443466196008387</c:v>
                </c:pt>
              </c:numCache>
            </c:numRef>
          </c:yVal>
          <c:smooth val="1"/>
          <c:extLst>
            <c:ext xmlns:c16="http://schemas.microsoft.com/office/drawing/2014/chart" uri="{C3380CC4-5D6E-409C-BE32-E72D297353CC}">
              <c16:uniqueId val="{00000002-FF15-40E0-B143-11D392CE60AC}"/>
            </c:ext>
          </c:extLst>
        </c:ser>
        <c:dLbls>
          <c:showLegendKey val="0"/>
          <c:showVal val="0"/>
          <c:showCatName val="0"/>
          <c:showSerName val="0"/>
          <c:showPercent val="0"/>
          <c:showBubbleSize val="0"/>
        </c:dLbls>
        <c:axId val="1615105439"/>
        <c:axId val="1615103775"/>
      </c:scatterChart>
      <c:valAx>
        <c:axId val="16151054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fr-FR" sz="1200" b="1">
                    <a:solidFill>
                      <a:sysClr val="windowText" lastClr="000000"/>
                    </a:solidFill>
                  </a:rPr>
                  <a:t>Die area </a:t>
                </a:r>
                <a:r>
                  <a:rPr lang="fr-FR" sz="1200" b="1" i="1">
                    <a:solidFill>
                      <a:sysClr val="windowText" lastClr="000000"/>
                    </a:solidFill>
                  </a:rPr>
                  <a:t>A</a:t>
                </a:r>
                <a:r>
                  <a:rPr lang="fr-FR" sz="1200" b="1" i="1" baseline="-25000">
                    <a:solidFill>
                      <a:sysClr val="windowText" lastClr="000000"/>
                    </a:solidFill>
                  </a:rPr>
                  <a:t>D</a:t>
                </a:r>
                <a:r>
                  <a:rPr lang="fr-FR" sz="1200" b="1">
                    <a:solidFill>
                      <a:sysClr val="windowText" lastClr="000000"/>
                    </a:solidFill>
                  </a:rPr>
                  <a:t> (mm²)</a:t>
                </a:r>
              </a:p>
            </c:rich>
          </c:tx>
          <c:layout>
            <c:manualLayout>
              <c:xMode val="edge"/>
              <c:yMode val="edge"/>
              <c:x val="0.43254336195037901"/>
              <c:y val="0.94075068140020568"/>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fr-FR"/>
          </a:p>
        </c:txPr>
        <c:crossAx val="1615103775"/>
        <c:crosses val="autoZero"/>
        <c:crossBetween val="midCat"/>
      </c:valAx>
      <c:valAx>
        <c:axId val="16151037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fr-FR" sz="1200" b="1">
                    <a:solidFill>
                      <a:sysClr val="windowText" lastClr="000000"/>
                    </a:solidFill>
                  </a:rPr>
                  <a:t>Die count per wafer</a:t>
                </a:r>
                <a:r>
                  <a:rPr lang="fr-FR" sz="1200" b="1" baseline="0">
                    <a:solidFill>
                      <a:sysClr val="windowText" lastClr="000000"/>
                    </a:solidFill>
                  </a:rPr>
                  <a:t> Dpw</a:t>
                </a:r>
                <a:endParaRPr lang="fr-FR" sz="1200" b="1">
                  <a:solidFill>
                    <a:sysClr val="windowText" lastClr="000000"/>
                  </a:solidFill>
                </a:endParaRPr>
              </a:p>
            </c:rich>
          </c:tx>
          <c:layout>
            <c:manualLayout>
              <c:xMode val="edge"/>
              <c:yMode val="edge"/>
              <c:x val="1.442746327949858E-2"/>
              <c:y val="0.33221931608072924"/>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fr-FR"/>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fr-FR"/>
          </a:p>
        </c:txPr>
        <c:crossAx val="1615105439"/>
        <c:crosses val="autoZero"/>
        <c:crossBetween val="midCat"/>
      </c:valAx>
      <c:spPr>
        <a:noFill/>
        <a:ln>
          <a:noFill/>
        </a:ln>
        <a:effectLst/>
      </c:spPr>
    </c:plotArea>
    <c:legend>
      <c:legendPos val="r"/>
      <c:layout>
        <c:manualLayout>
          <c:xMode val="edge"/>
          <c:yMode val="edge"/>
          <c:x val="0.72543999599358444"/>
          <c:y val="0.19343322928956641"/>
          <c:w val="0.18153872772611418"/>
          <c:h val="0.17885677842544032"/>
        </c:manualLayout>
      </c:layout>
      <c:overlay val="0"/>
      <c:spPr>
        <a:solidFill>
          <a:schemeClr val="bg1"/>
        </a:solidFill>
        <a:ln w="12700">
          <a:solidFill>
            <a:sysClr val="windowText" lastClr="000000"/>
          </a:solid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5.xml.rels><?xml version="1.0" encoding="UTF-8" standalone="yes"?>
<Relationships xmlns="http://schemas.openxmlformats.org/package/2006/relationships"><Relationship Id="rId2" Type="http://schemas.openxmlformats.org/officeDocument/2006/relationships/image" Target="../media/image7.sv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10</xdr:col>
      <xdr:colOff>242719</xdr:colOff>
      <xdr:row>0</xdr:row>
      <xdr:rowOff>158788</xdr:rowOff>
    </xdr:from>
    <xdr:to>
      <xdr:col>20</xdr:col>
      <xdr:colOff>300430</xdr:colOff>
      <xdr:row>32</xdr:row>
      <xdr:rowOff>55441</xdr:rowOff>
    </xdr:to>
    <xdr:graphicFrame macro="">
      <xdr:nvGraphicFramePr>
        <xdr:cNvPr id="2" name="Graphique 1">
          <a:extLst>
            <a:ext uri="{FF2B5EF4-FFF2-40B4-BE49-F238E27FC236}">
              <a16:creationId xmlns:a16="http://schemas.microsoft.com/office/drawing/2014/main" id="{B8132050-1F1F-44BD-9EC0-F7678E0A74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20</xdr:row>
      <xdr:rowOff>154193</xdr:rowOff>
    </xdr:from>
    <xdr:to>
      <xdr:col>1</xdr:col>
      <xdr:colOff>764209</xdr:colOff>
      <xdr:row>24</xdr:row>
      <xdr:rowOff>56869</xdr:rowOff>
    </xdr:to>
    <xdr:pic>
      <xdr:nvPicPr>
        <xdr:cNvPr id="5" name="Image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a:stretch>
          <a:fillRect/>
        </a:stretch>
      </xdr:blipFill>
      <xdr:spPr>
        <a:xfrm>
          <a:off x="0" y="5992458"/>
          <a:ext cx="3754050" cy="635092"/>
        </a:xfrm>
        <a:prstGeom prst="rect">
          <a:avLst/>
        </a:prstGeom>
      </xdr:spPr>
    </xdr:pic>
    <xdr:clientData/>
  </xdr:twoCellAnchor>
  <xdr:twoCellAnchor editAs="oneCell">
    <xdr:from>
      <xdr:col>1</xdr:col>
      <xdr:colOff>1100864</xdr:colOff>
      <xdr:row>21</xdr:row>
      <xdr:rowOff>118987</xdr:rowOff>
    </xdr:from>
    <xdr:to>
      <xdr:col>1</xdr:col>
      <xdr:colOff>2073313</xdr:colOff>
      <xdr:row>23</xdr:row>
      <xdr:rowOff>55132</xdr:rowOff>
    </xdr:to>
    <xdr:pic>
      <xdr:nvPicPr>
        <xdr:cNvPr id="6" name="Image 5">
          <a:extLst>
            <a:ext uri="{FF2B5EF4-FFF2-40B4-BE49-F238E27FC236}">
              <a16:creationId xmlns:a16="http://schemas.microsoft.com/office/drawing/2014/main" id="{00000000-0008-0000-0500-000006000000}"/>
            </a:ext>
          </a:extLst>
        </xdr:cNvPr>
        <xdr:cNvPicPr>
          <a:picLocks noChangeAspect="1"/>
        </xdr:cNvPicPr>
      </xdr:nvPicPr>
      <xdr:blipFill rotWithShape="1">
        <a:blip xmlns:r="http://schemas.openxmlformats.org/officeDocument/2006/relationships" r:embed="rId2"/>
        <a:srcRect l="37709" r="37856" b="-462"/>
        <a:stretch/>
      </xdr:blipFill>
      <xdr:spPr>
        <a:xfrm>
          <a:off x="3857511" y="6136546"/>
          <a:ext cx="962924" cy="302353"/>
        </a:xfrm>
        <a:prstGeom prst="rect">
          <a:avLst/>
        </a:prstGeom>
      </xdr:spPr>
    </xdr:pic>
    <xdr:clientData/>
  </xdr:twoCellAnchor>
  <xdr:twoCellAnchor editAs="oneCell">
    <xdr:from>
      <xdr:col>1</xdr:col>
      <xdr:colOff>1968426</xdr:colOff>
      <xdr:row>21</xdr:row>
      <xdr:rowOff>123265</xdr:rowOff>
    </xdr:from>
    <xdr:to>
      <xdr:col>2</xdr:col>
      <xdr:colOff>1658471</xdr:colOff>
      <xdr:row>23</xdr:row>
      <xdr:rowOff>57837</xdr:rowOff>
    </xdr:to>
    <xdr:pic>
      <xdr:nvPicPr>
        <xdr:cNvPr id="7" name="Image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3"/>
        <a:stretch>
          <a:fillRect/>
        </a:stretch>
      </xdr:blipFill>
      <xdr:spPr>
        <a:xfrm>
          <a:off x="4725073" y="6140824"/>
          <a:ext cx="1908810" cy="281730"/>
        </a:xfrm>
        <a:prstGeom prst="rect">
          <a:avLst/>
        </a:prstGeom>
      </xdr:spPr>
    </xdr:pic>
    <xdr:clientData/>
  </xdr:twoCellAnchor>
  <xdr:twoCellAnchor editAs="oneCell">
    <xdr:from>
      <xdr:col>2</xdr:col>
      <xdr:colOff>1523103</xdr:colOff>
      <xdr:row>21</xdr:row>
      <xdr:rowOff>105672</xdr:rowOff>
    </xdr:from>
    <xdr:to>
      <xdr:col>3</xdr:col>
      <xdr:colOff>1121155</xdr:colOff>
      <xdr:row>23</xdr:row>
      <xdr:rowOff>55403</xdr:rowOff>
    </xdr:to>
    <xdr:pic>
      <xdr:nvPicPr>
        <xdr:cNvPr id="8" name="Image 7">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4"/>
        <a:stretch>
          <a:fillRect/>
        </a:stretch>
      </xdr:blipFill>
      <xdr:spPr>
        <a:xfrm>
          <a:off x="6498515" y="6123231"/>
          <a:ext cx="1934367" cy="31593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146349</xdr:colOff>
      <xdr:row>0</xdr:row>
      <xdr:rowOff>173243</xdr:rowOff>
    </xdr:from>
    <xdr:to>
      <xdr:col>16</xdr:col>
      <xdr:colOff>716616</xdr:colOff>
      <xdr:row>34</xdr:row>
      <xdr:rowOff>177614</xdr:rowOff>
    </xdr:to>
    <xdr:graphicFrame macro="">
      <xdr:nvGraphicFramePr>
        <xdr:cNvPr id="3" name="Graphique 2">
          <a:extLst>
            <a:ext uri="{FF2B5EF4-FFF2-40B4-BE49-F238E27FC236}">
              <a16:creationId xmlns:a16="http://schemas.microsoft.com/office/drawing/2014/main" id="{E68FE90E-AD95-44AC-858B-CF386EFAF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289559</xdr:colOff>
      <xdr:row>0</xdr:row>
      <xdr:rowOff>132342</xdr:rowOff>
    </xdr:from>
    <xdr:to>
      <xdr:col>9</xdr:col>
      <xdr:colOff>631471</xdr:colOff>
      <xdr:row>17</xdr:row>
      <xdr:rowOff>38211</xdr:rowOff>
    </xdr:to>
    <xdr:graphicFrame macro="">
      <xdr:nvGraphicFramePr>
        <xdr:cNvPr id="2" name="Graphique 1">
          <a:extLst>
            <a:ext uri="{FF2B5EF4-FFF2-40B4-BE49-F238E27FC236}">
              <a16:creationId xmlns:a16="http://schemas.microsoft.com/office/drawing/2014/main" id="{DDE8C350-BC5A-E0FF-D2C1-4BA313BDC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703617</xdr:colOff>
      <xdr:row>0</xdr:row>
      <xdr:rowOff>132566</xdr:rowOff>
    </xdr:from>
    <xdr:to>
      <xdr:col>15</xdr:col>
      <xdr:colOff>249911</xdr:colOff>
      <xdr:row>17</xdr:row>
      <xdr:rowOff>38435</xdr:rowOff>
    </xdr:to>
    <xdr:graphicFrame macro="">
      <xdr:nvGraphicFramePr>
        <xdr:cNvPr id="3" name="Graphique 2">
          <a:extLst>
            <a:ext uri="{FF2B5EF4-FFF2-40B4-BE49-F238E27FC236}">
              <a16:creationId xmlns:a16="http://schemas.microsoft.com/office/drawing/2014/main" id="{89B642BE-D12D-437C-8FBE-0FF6626CD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312309</xdr:colOff>
      <xdr:row>17</xdr:row>
      <xdr:rowOff>41715</xdr:rowOff>
    </xdr:from>
    <xdr:to>
      <xdr:col>14</xdr:col>
      <xdr:colOff>360495</xdr:colOff>
      <xdr:row>49</xdr:row>
      <xdr:rowOff>84044</xdr:rowOff>
    </xdr:to>
    <xdr:graphicFrame macro="">
      <xdr:nvGraphicFramePr>
        <xdr:cNvPr id="5" name="Graphique 4">
          <a:extLst>
            <a:ext uri="{FF2B5EF4-FFF2-40B4-BE49-F238E27FC236}">
              <a16:creationId xmlns:a16="http://schemas.microsoft.com/office/drawing/2014/main" id="{F5F7AE07-D332-4D12-8B63-89EE66BF2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306256</xdr:colOff>
      <xdr:row>50</xdr:row>
      <xdr:rowOff>42455</xdr:rowOff>
    </xdr:from>
    <xdr:to>
      <xdr:col>14</xdr:col>
      <xdr:colOff>362062</xdr:colOff>
      <xdr:row>83</xdr:row>
      <xdr:rowOff>124118</xdr:rowOff>
    </xdr:to>
    <xdr:graphicFrame macro="">
      <xdr:nvGraphicFramePr>
        <xdr:cNvPr id="7" name="Graphique 6">
          <a:extLst>
            <a:ext uri="{FF2B5EF4-FFF2-40B4-BE49-F238E27FC236}">
              <a16:creationId xmlns:a16="http://schemas.microsoft.com/office/drawing/2014/main" id="{4D5C39C6-5994-4B0F-B3C6-329EC515A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46728</xdr:colOff>
      <xdr:row>2</xdr:row>
      <xdr:rowOff>97042</xdr:rowOff>
    </xdr:from>
    <xdr:to>
      <xdr:col>16</xdr:col>
      <xdr:colOff>733602</xdr:colOff>
      <xdr:row>31</xdr:row>
      <xdr:rowOff>44823</xdr:rowOff>
    </xdr:to>
    <xdr:pic>
      <xdr:nvPicPr>
        <xdr:cNvPr id="3" name="Graphique 2">
          <a:extLst>
            <a:ext uri="{FF2B5EF4-FFF2-40B4-BE49-F238E27FC236}">
              <a16:creationId xmlns:a16="http://schemas.microsoft.com/office/drawing/2014/main" id="{5ED194AD-5B01-77C9-92B6-D3135113B8A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728" y="657336"/>
          <a:ext cx="12520286" cy="54722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2</xdr:col>
      <xdr:colOff>203598</xdr:colOff>
      <xdr:row>11</xdr:row>
      <xdr:rowOff>150292</xdr:rowOff>
    </xdr:from>
    <xdr:ext cx="2312236" cy="1544839"/>
    <xdr:pic>
      <xdr:nvPicPr>
        <xdr:cNvPr id="9" name="Image 8">
          <a:extLst>
            <a:ext uri="{FF2B5EF4-FFF2-40B4-BE49-F238E27FC236}">
              <a16:creationId xmlns:a16="http://schemas.microsoft.com/office/drawing/2014/main" id="{04A61DD8-7E93-49B2-844E-90E4C2309016}"/>
            </a:ext>
          </a:extLst>
        </xdr:cNvPr>
        <xdr:cNvPicPr>
          <a:picLocks noChangeAspect="1"/>
        </xdr:cNvPicPr>
      </xdr:nvPicPr>
      <xdr:blipFill>
        <a:blip xmlns:r="http://schemas.openxmlformats.org/officeDocument/2006/relationships" r:embed="rId1"/>
        <a:stretch>
          <a:fillRect/>
        </a:stretch>
      </xdr:blipFill>
      <xdr:spPr>
        <a:xfrm>
          <a:off x="3061098" y="2178557"/>
          <a:ext cx="2312236" cy="1544839"/>
        </a:xfrm>
        <a:prstGeom prst="rect">
          <a:avLst/>
        </a:prstGeom>
        <a:ln w="12700">
          <a:solidFill>
            <a:schemeClr val="accent1"/>
          </a:solidFill>
        </a:ln>
      </xdr:spPr>
    </xdr:pic>
    <xdr:clientData/>
  </xdr:oneCellAnchor>
  <xdr:twoCellAnchor>
    <xdr:from>
      <xdr:col>6</xdr:col>
      <xdr:colOff>82250</xdr:colOff>
      <xdr:row>4</xdr:row>
      <xdr:rowOff>56031</xdr:rowOff>
    </xdr:from>
    <xdr:to>
      <xdr:col>6</xdr:col>
      <xdr:colOff>8090648</xdr:colOff>
      <xdr:row>51</xdr:row>
      <xdr:rowOff>22412</xdr:rowOff>
    </xdr:to>
    <xdr:graphicFrame macro="">
      <xdr:nvGraphicFramePr>
        <xdr:cNvPr id="10" name="Graphique 9">
          <a:extLst>
            <a:ext uri="{FF2B5EF4-FFF2-40B4-BE49-F238E27FC236}">
              <a16:creationId xmlns:a16="http://schemas.microsoft.com/office/drawing/2014/main" id="{84C6CB47-A072-449B-B09B-B61A5FBE8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216497</xdr:colOff>
      <xdr:row>5</xdr:row>
      <xdr:rowOff>74855</xdr:rowOff>
    </xdr:from>
    <xdr:to>
      <xdr:col>2</xdr:col>
      <xdr:colOff>2539925</xdr:colOff>
      <xdr:row>10</xdr:row>
      <xdr:rowOff>29807</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A49F8F89-41A8-6F8C-FE2B-1C04A287B093}"/>
                </a:ext>
              </a:extLst>
            </xdr:cNvPr>
            <xdr:cNvSpPr txBox="1"/>
          </xdr:nvSpPr>
          <xdr:spPr>
            <a:xfrm>
              <a:off x="3073997" y="1027355"/>
              <a:ext cx="2323428" cy="8514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fr-FR" sz="1800" b="1" i="1">
                            <a:latin typeface="Cambria Math" panose="02040503050406030204" pitchFamily="18" charset="0"/>
                          </a:rPr>
                        </m:ctrlPr>
                      </m:sSubPr>
                      <m:e>
                        <m:r>
                          <a:rPr lang="fr-FR" sz="1800" b="1" i="1">
                            <a:latin typeface="Cambria Math" panose="02040503050406030204" pitchFamily="18" charset="0"/>
                          </a:rPr>
                          <m:t>𝒀</m:t>
                        </m:r>
                      </m:e>
                      <m:sub>
                        <m:r>
                          <a:rPr lang="fr-FR" sz="1800" b="1" i="1">
                            <a:latin typeface="Cambria Math" panose="02040503050406030204" pitchFamily="18" charset="0"/>
                          </a:rPr>
                          <m:t>𝑭𝑬</m:t>
                        </m:r>
                      </m:sub>
                    </m:sSub>
                    <m:r>
                      <a:rPr lang="fr-FR" sz="1800" b="1" i="1">
                        <a:latin typeface="Cambria Math" panose="02040503050406030204" pitchFamily="18" charset="0"/>
                      </a:rPr>
                      <m:t>=</m:t>
                    </m:r>
                    <m:sSup>
                      <m:sSupPr>
                        <m:ctrlPr>
                          <a:rPr lang="fr-FR" sz="1800" b="1" i="1">
                            <a:latin typeface="Cambria Math" panose="02040503050406030204" pitchFamily="18" charset="0"/>
                          </a:rPr>
                        </m:ctrlPr>
                      </m:sSupPr>
                      <m:e>
                        <m:d>
                          <m:dPr>
                            <m:ctrlPr>
                              <a:rPr lang="fr-FR" sz="1800" b="1" i="1">
                                <a:solidFill>
                                  <a:schemeClr val="dk1"/>
                                </a:solidFill>
                                <a:effectLst/>
                                <a:latin typeface="Cambria Math" panose="02040503050406030204" pitchFamily="18" charset="0"/>
                                <a:ea typeface="+mn-ea"/>
                                <a:cs typeface="+mn-cs"/>
                              </a:rPr>
                            </m:ctrlPr>
                          </m:dPr>
                          <m:e>
                            <m:f>
                              <m:fPr>
                                <m:ctrlPr>
                                  <a:rPr lang="fr-FR" sz="1800" b="1" i="1">
                                    <a:solidFill>
                                      <a:schemeClr val="dk1"/>
                                    </a:solidFill>
                                    <a:effectLst/>
                                    <a:latin typeface="Cambria Math" panose="02040503050406030204" pitchFamily="18" charset="0"/>
                                    <a:ea typeface="+mn-ea"/>
                                    <a:cs typeface="+mn-cs"/>
                                  </a:rPr>
                                </m:ctrlPr>
                              </m:fPr>
                              <m:num>
                                <m:r>
                                  <a:rPr lang="fr-FR" sz="1800" b="1" i="1">
                                    <a:solidFill>
                                      <a:schemeClr val="dk1"/>
                                    </a:solidFill>
                                    <a:effectLst/>
                                    <a:latin typeface="Cambria Math" panose="02040503050406030204" pitchFamily="18" charset="0"/>
                                    <a:ea typeface="+mn-ea"/>
                                    <a:cs typeface="+mn-cs"/>
                                  </a:rPr>
                                  <m:t>𝟏</m:t>
                                </m:r>
                                <m:r>
                                  <a:rPr lang="fr-FR" sz="1800" b="1" i="1">
                                    <a:solidFill>
                                      <a:schemeClr val="dk1"/>
                                    </a:solidFill>
                                    <a:effectLst/>
                                    <a:latin typeface="Cambria Math" panose="02040503050406030204" pitchFamily="18" charset="0"/>
                                    <a:ea typeface="+mn-ea"/>
                                    <a:cs typeface="+mn-cs"/>
                                  </a:rPr>
                                  <m:t>−</m:t>
                                </m:r>
                                <m:sSup>
                                  <m:sSupPr>
                                    <m:ctrlPr>
                                      <a:rPr lang="fr-FR" sz="1800" b="1" i="1">
                                        <a:solidFill>
                                          <a:schemeClr val="dk1"/>
                                        </a:solidFill>
                                        <a:effectLst/>
                                        <a:latin typeface="Cambria Math" panose="02040503050406030204" pitchFamily="18" charset="0"/>
                                        <a:ea typeface="+mn-ea"/>
                                        <a:cs typeface="+mn-cs"/>
                                      </a:rPr>
                                    </m:ctrlPr>
                                  </m:sSupPr>
                                  <m:e>
                                    <m:r>
                                      <a:rPr lang="fr-FR" sz="1800" b="1" i="1">
                                        <a:solidFill>
                                          <a:schemeClr val="dk1"/>
                                        </a:solidFill>
                                        <a:effectLst/>
                                        <a:latin typeface="Cambria Math" panose="02040503050406030204" pitchFamily="18" charset="0"/>
                                        <a:ea typeface="+mn-ea"/>
                                        <a:cs typeface="+mn-cs"/>
                                      </a:rPr>
                                      <m:t>𝒆</m:t>
                                    </m:r>
                                  </m:e>
                                  <m:sup>
                                    <m:r>
                                      <a:rPr lang="fr-FR" sz="1800" b="1" i="1">
                                        <a:solidFill>
                                          <a:schemeClr val="dk1"/>
                                        </a:solidFill>
                                        <a:effectLst/>
                                        <a:latin typeface="Cambria Math" panose="02040503050406030204" pitchFamily="18" charset="0"/>
                                        <a:ea typeface="+mn-ea"/>
                                        <a:cs typeface="+mn-cs"/>
                                      </a:rPr>
                                      <m:t>−</m:t>
                                    </m:r>
                                    <m:sSubSup>
                                      <m:sSubSupPr>
                                        <m:ctrlPr>
                                          <a:rPr lang="fr-FR" sz="1800" b="1" i="1">
                                            <a:solidFill>
                                              <a:schemeClr val="dk1"/>
                                            </a:solidFill>
                                            <a:effectLst/>
                                            <a:latin typeface="Cambria Math" panose="02040503050406030204" pitchFamily="18" charset="0"/>
                                            <a:ea typeface="+mn-ea"/>
                                            <a:cs typeface="+mn-cs"/>
                                          </a:rPr>
                                        </m:ctrlPr>
                                      </m:sSubSupPr>
                                      <m:e>
                                        <m:r>
                                          <a:rPr lang="fr-FR" sz="1800" b="1" i="1">
                                            <a:solidFill>
                                              <a:schemeClr val="dk1"/>
                                            </a:solidFill>
                                            <a:effectLst/>
                                            <a:latin typeface="Cambria Math" panose="02040503050406030204" pitchFamily="18" charset="0"/>
                                            <a:ea typeface="+mn-ea"/>
                                            <a:cs typeface="+mn-cs"/>
                                          </a:rPr>
                                          <m:t>𝑨𝑫</m:t>
                                        </m:r>
                                      </m:e>
                                      <m:sub>
                                        <m:r>
                                          <a:rPr lang="fr-FR" sz="1800" b="1" i="1">
                                            <a:solidFill>
                                              <a:schemeClr val="dk1"/>
                                            </a:solidFill>
                                            <a:effectLst/>
                                            <a:latin typeface="Cambria Math" panose="02040503050406030204" pitchFamily="18" charset="0"/>
                                            <a:ea typeface="+mn-ea"/>
                                            <a:cs typeface="+mn-cs"/>
                                          </a:rPr>
                                          <m:t>𝟎</m:t>
                                        </m:r>
                                      </m:sub>
                                      <m:sup/>
                                    </m:sSubSup>
                                  </m:sup>
                                </m:sSup>
                              </m:num>
                              <m:den>
                                <m:r>
                                  <a:rPr lang="fr-FR" sz="1800" b="1" i="1">
                                    <a:solidFill>
                                      <a:schemeClr val="dk1"/>
                                    </a:solidFill>
                                    <a:effectLst/>
                                    <a:latin typeface="Cambria Math" panose="02040503050406030204" pitchFamily="18" charset="0"/>
                                    <a:ea typeface="+mn-ea"/>
                                    <a:cs typeface="+mn-cs"/>
                                  </a:rPr>
                                  <m:t>𝑨</m:t>
                                </m:r>
                                <m:sSub>
                                  <m:sSubPr>
                                    <m:ctrlPr>
                                      <a:rPr lang="fr-FR" sz="1800" b="1" i="1">
                                        <a:solidFill>
                                          <a:schemeClr val="dk1"/>
                                        </a:solidFill>
                                        <a:effectLst/>
                                        <a:latin typeface="Cambria Math" panose="02040503050406030204" pitchFamily="18" charset="0"/>
                                        <a:ea typeface="+mn-ea"/>
                                        <a:cs typeface="+mn-cs"/>
                                      </a:rPr>
                                    </m:ctrlPr>
                                  </m:sSubPr>
                                  <m:e>
                                    <m:r>
                                      <a:rPr lang="fr-FR" sz="1800" b="1" i="1">
                                        <a:solidFill>
                                          <a:schemeClr val="dk1"/>
                                        </a:solidFill>
                                        <a:effectLst/>
                                        <a:latin typeface="Cambria Math" panose="02040503050406030204" pitchFamily="18" charset="0"/>
                                        <a:ea typeface="+mn-ea"/>
                                        <a:cs typeface="+mn-cs"/>
                                      </a:rPr>
                                      <m:t>𝑫</m:t>
                                    </m:r>
                                  </m:e>
                                  <m:sub>
                                    <m:r>
                                      <a:rPr lang="fr-FR" sz="1800" b="1" i="1">
                                        <a:solidFill>
                                          <a:schemeClr val="dk1"/>
                                        </a:solidFill>
                                        <a:effectLst/>
                                        <a:latin typeface="Cambria Math" panose="02040503050406030204" pitchFamily="18" charset="0"/>
                                        <a:ea typeface="+mn-ea"/>
                                        <a:cs typeface="+mn-cs"/>
                                      </a:rPr>
                                      <m:t>𝟎</m:t>
                                    </m:r>
                                  </m:sub>
                                </m:sSub>
                              </m:den>
                            </m:f>
                          </m:e>
                        </m:d>
                      </m:e>
                      <m:sup>
                        <m:r>
                          <a:rPr lang="fr-FR" sz="1800" b="1" i="1">
                            <a:latin typeface="Cambria Math" panose="02040503050406030204" pitchFamily="18" charset="0"/>
                          </a:rPr>
                          <m:t>𝟐</m:t>
                        </m:r>
                      </m:sup>
                    </m:sSup>
                  </m:oMath>
                </m:oMathPara>
              </a14:m>
              <a:endParaRPr lang="fr-FR" sz="1800" b="1"/>
            </a:p>
          </xdr:txBody>
        </xdr:sp>
      </mc:Choice>
      <mc:Fallback xmlns="">
        <xdr:sp macro="" textlink="">
          <xdr:nvSpPr>
            <xdr:cNvPr id="3" name="ZoneTexte 2">
              <a:extLst>
                <a:ext uri="{FF2B5EF4-FFF2-40B4-BE49-F238E27FC236}">
                  <a16:creationId xmlns:a16="http://schemas.microsoft.com/office/drawing/2014/main" id="{A49F8F89-41A8-6F8C-FE2B-1C04A287B093}"/>
                </a:ext>
              </a:extLst>
            </xdr:cNvPr>
            <xdr:cNvSpPr txBox="1"/>
          </xdr:nvSpPr>
          <xdr:spPr>
            <a:xfrm>
              <a:off x="3073997" y="1027355"/>
              <a:ext cx="2323428" cy="8514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fr-FR" sz="1800" b="1" i="0">
                  <a:latin typeface="Cambria Math" panose="02040503050406030204" pitchFamily="18" charset="0"/>
                </a:rPr>
                <a:t>𝒀_𝑭𝑬=</a:t>
              </a:r>
              <a:r>
                <a:rPr lang="fr-FR" sz="1800" b="1" i="0">
                  <a:solidFill>
                    <a:schemeClr val="dk1"/>
                  </a:solidFill>
                  <a:effectLst/>
                  <a:latin typeface="Cambria Math" panose="02040503050406030204" pitchFamily="18" charset="0"/>
                  <a:ea typeface="+mn-ea"/>
                  <a:cs typeface="+mn-cs"/>
                </a:rPr>
                <a:t>((𝟏−𝒆^(−〖𝑨𝑫〗_𝟎^  ))/(𝑨𝑫_𝟎 ))^</a:t>
              </a:r>
              <a:r>
                <a:rPr lang="fr-FR" sz="1800" b="1" i="0">
                  <a:latin typeface="Cambria Math" panose="02040503050406030204" pitchFamily="18" charset="0"/>
                </a:rPr>
                <a:t>𝟐</a:t>
              </a:r>
              <a:endParaRPr lang="fr-FR" sz="1800" b="1"/>
            </a:p>
          </xdr:txBody>
        </xdr:sp>
      </mc:Fallback>
    </mc:AlternateContent>
    <xdr:clientData/>
  </xdr:twoCellAnchor>
  <xdr:twoCellAnchor>
    <xdr:from>
      <xdr:col>2</xdr:col>
      <xdr:colOff>182879</xdr:colOff>
      <xdr:row>26</xdr:row>
      <xdr:rowOff>119679</xdr:rowOff>
    </xdr:from>
    <xdr:to>
      <xdr:col>2</xdr:col>
      <xdr:colOff>2506307</xdr:colOff>
      <xdr:row>31</xdr:row>
      <xdr:rowOff>80346</xdr:rowOff>
    </xdr:to>
    <mc:AlternateContent xmlns:mc="http://schemas.openxmlformats.org/markup-compatibility/2006" xmlns:a14="http://schemas.microsoft.com/office/drawing/2010/main">
      <mc:Choice Requires="a14">
        <xdr:sp macro="" textlink="">
          <xdr:nvSpPr>
            <xdr:cNvPr id="7" name="ZoneTexte 6">
              <a:extLst>
                <a:ext uri="{FF2B5EF4-FFF2-40B4-BE49-F238E27FC236}">
                  <a16:creationId xmlns:a16="http://schemas.microsoft.com/office/drawing/2014/main" id="{27F5760A-B7E6-4986-A642-B02FB43851B9}"/>
                </a:ext>
              </a:extLst>
            </xdr:cNvPr>
            <xdr:cNvSpPr txBox="1"/>
          </xdr:nvSpPr>
          <xdr:spPr>
            <a:xfrm>
              <a:off x="3040379" y="4848561"/>
              <a:ext cx="2323428" cy="8571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fr-FR" sz="1800" b="1" i="1">
                            <a:latin typeface="Cambria Math" panose="02040503050406030204" pitchFamily="18" charset="0"/>
                          </a:rPr>
                        </m:ctrlPr>
                      </m:sSubPr>
                      <m:e>
                        <m:r>
                          <a:rPr lang="fr-FR" sz="1800" b="1" i="1">
                            <a:latin typeface="Cambria Math" panose="02040503050406030204" pitchFamily="18" charset="0"/>
                          </a:rPr>
                          <m:t>𝒀</m:t>
                        </m:r>
                      </m:e>
                      <m:sub>
                        <m:r>
                          <a:rPr lang="fr-FR" sz="1800" b="1" i="1">
                            <a:latin typeface="Cambria Math" panose="02040503050406030204" pitchFamily="18" charset="0"/>
                          </a:rPr>
                          <m:t>𝑭𝑬</m:t>
                        </m:r>
                      </m:sub>
                    </m:sSub>
                    <m:r>
                      <a:rPr lang="fr-FR" sz="1800" b="1" i="1">
                        <a:latin typeface="Cambria Math" panose="02040503050406030204" pitchFamily="18" charset="0"/>
                      </a:rPr>
                      <m:t>=</m:t>
                    </m:r>
                    <m:d>
                      <m:dPr>
                        <m:ctrlPr>
                          <a:rPr lang="fr-FR" sz="1800" b="1" i="1">
                            <a:solidFill>
                              <a:schemeClr val="dk1"/>
                            </a:solidFill>
                            <a:effectLst/>
                            <a:latin typeface="Cambria Math" panose="02040503050406030204" pitchFamily="18" charset="0"/>
                            <a:ea typeface="+mn-ea"/>
                            <a:cs typeface="+mn-cs"/>
                          </a:rPr>
                        </m:ctrlPr>
                      </m:dPr>
                      <m:e>
                        <m:f>
                          <m:fPr>
                            <m:ctrlPr>
                              <a:rPr lang="fr-FR" sz="1800" b="1" i="1">
                                <a:solidFill>
                                  <a:schemeClr val="dk1"/>
                                </a:solidFill>
                                <a:effectLst/>
                                <a:latin typeface="Cambria Math" panose="02040503050406030204" pitchFamily="18" charset="0"/>
                                <a:ea typeface="+mn-ea"/>
                                <a:cs typeface="+mn-cs"/>
                              </a:rPr>
                            </m:ctrlPr>
                          </m:fPr>
                          <m:num>
                            <m:r>
                              <a:rPr lang="fr-FR" sz="1800" b="1" i="1">
                                <a:solidFill>
                                  <a:schemeClr val="dk1"/>
                                </a:solidFill>
                                <a:effectLst/>
                                <a:latin typeface="Cambria Math" panose="02040503050406030204" pitchFamily="18" charset="0"/>
                                <a:ea typeface="+mn-ea"/>
                                <a:cs typeface="+mn-cs"/>
                              </a:rPr>
                              <m:t>𝟏</m:t>
                            </m:r>
                            <m:r>
                              <a:rPr lang="fr-FR" sz="1800" b="1" i="1">
                                <a:solidFill>
                                  <a:schemeClr val="dk1"/>
                                </a:solidFill>
                                <a:effectLst/>
                                <a:latin typeface="Cambria Math" panose="02040503050406030204" pitchFamily="18" charset="0"/>
                                <a:ea typeface="+mn-ea"/>
                                <a:cs typeface="+mn-cs"/>
                              </a:rPr>
                              <m:t>−</m:t>
                            </m:r>
                            <m:sSup>
                              <m:sSupPr>
                                <m:ctrlPr>
                                  <a:rPr lang="fr-FR" sz="1800" b="1" i="1">
                                    <a:solidFill>
                                      <a:schemeClr val="dk1"/>
                                    </a:solidFill>
                                    <a:effectLst/>
                                    <a:latin typeface="Cambria Math" panose="02040503050406030204" pitchFamily="18" charset="0"/>
                                    <a:ea typeface="+mn-ea"/>
                                    <a:cs typeface="+mn-cs"/>
                                  </a:rPr>
                                </m:ctrlPr>
                              </m:sSupPr>
                              <m:e>
                                <m:r>
                                  <a:rPr lang="fr-FR" sz="1800" b="1" i="1">
                                    <a:solidFill>
                                      <a:schemeClr val="dk1"/>
                                    </a:solidFill>
                                    <a:effectLst/>
                                    <a:latin typeface="Cambria Math" panose="02040503050406030204" pitchFamily="18" charset="0"/>
                                    <a:ea typeface="+mn-ea"/>
                                    <a:cs typeface="+mn-cs"/>
                                  </a:rPr>
                                  <m:t>𝒆</m:t>
                                </m:r>
                              </m:e>
                              <m:sup>
                                <m:r>
                                  <a:rPr lang="fr-FR" sz="1800" b="1" i="1">
                                    <a:solidFill>
                                      <a:schemeClr val="dk1"/>
                                    </a:solidFill>
                                    <a:effectLst/>
                                    <a:latin typeface="Cambria Math" panose="02040503050406030204" pitchFamily="18" charset="0"/>
                                    <a:ea typeface="+mn-ea"/>
                                    <a:cs typeface="+mn-cs"/>
                                  </a:rPr>
                                  <m:t>−</m:t>
                                </m:r>
                                <m:sSubSup>
                                  <m:sSubSupPr>
                                    <m:ctrlPr>
                                      <a:rPr lang="fr-FR" sz="1800" b="1" i="1">
                                        <a:solidFill>
                                          <a:schemeClr val="dk1"/>
                                        </a:solidFill>
                                        <a:effectLst/>
                                        <a:latin typeface="Cambria Math" panose="02040503050406030204" pitchFamily="18" charset="0"/>
                                        <a:ea typeface="+mn-ea"/>
                                        <a:cs typeface="+mn-cs"/>
                                      </a:rPr>
                                    </m:ctrlPr>
                                  </m:sSubSupPr>
                                  <m:e>
                                    <m:r>
                                      <a:rPr lang="fr-FR" sz="1800" b="1" i="1">
                                        <a:solidFill>
                                          <a:schemeClr val="dk1"/>
                                        </a:solidFill>
                                        <a:effectLst/>
                                        <a:latin typeface="Cambria Math" panose="02040503050406030204" pitchFamily="18" charset="0"/>
                                        <a:ea typeface="+mn-ea"/>
                                        <a:cs typeface="+mn-cs"/>
                                      </a:rPr>
                                      <m:t>𝟐</m:t>
                                    </m:r>
                                    <m:r>
                                      <a:rPr lang="fr-FR" sz="1800" b="1" i="1">
                                        <a:solidFill>
                                          <a:schemeClr val="dk1"/>
                                        </a:solidFill>
                                        <a:effectLst/>
                                        <a:latin typeface="Cambria Math" panose="02040503050406030204" pitchFamily="18" charset="0"/>
                                        <a:ea typeface="+mn-ea"/>
                                        <a:cs typeface="+mn-cs"/>
                                      </a:rPr>
                                      <m:t>𝑨𝑫</m:t>
                                    </m:r>
                                  </m:e>
                                  <m:sub>
                                    <m:r>
                                      <a:rPr lang="fr-FR" sz="1800" b="1" i="1">
                                        <a:solidFill>
                                          <a:schemeClr val="dk1"/>
                                        </a:solidFill>
                                        <a:effectLst/>
                                        <a:latin typeface="Cambria Math" panose="02040503050406030204" pitchFamily="18" charset="0"/>
                                        <a:ea typeface="+mn-ea"/>
                                        <a:cs typeface="+mn-cs"/>
                                      </a:rPr>
                                      <m:t>𝟎</m:t>
                                    </m:r>
                                  </m:sub>
                                  <m:sup/>
                                </m:sSubSup>
                              </m:sup>
                            </m:sSup>
                          </m:num>
                          <m:den>
                            <m:r>
                              <a:rPr lang="fr-FR" sz="1800" b="1" i="1">
                                <a:solidFill>
                                  <a:schemeClr val="dk1"/>
                                </a:solidFill>
                                <a:effectLst/>
                                <a:latin typeface="Cambria Math" panose="02040503050406030204" pitchFamily="18" charset="0"/>
                                <a:ea typeface="+mn-ea"/>
                                <a:cs typeface="+mn-cs"/>
                              </a:rPr>
                              <m:t>𝟐</m:t>
                            </m:r>
                            <m:r>
                              <a:rPr lang="fr-FR" sz="1800" b="1" i="1">
                                <a:solidFill>
                                  <a:schemeClr val="dk1"/>
                                </a:solidFill>
                                <a:effectLst/>
                                <a:latin typeface="Cambria Math" panose="02040503050406030204" pitchFamily="18" charset="0"/>
                                <a:ea typeface="+mn-ea"/>
                                <a:cs typeface="+mn-cs"/>
                              </a:rPr>
                              <m:t>𝑨</m:t>
                            </m:r>
                            <m:sSub>
                              <m:sSubPr>
                                <m:ctrlPr>
                                  <a:rPr lang="fr-FR" sz="1800" b="1" i="1">
                                    <a:solidFill>
                                      <a:schemeClr val="dk1"/>
                                    </a:solidFill>
                                    <a:effectLst/>
                                    <a:latin typeface="Cambria Math" panose="02040503050406030204" pitchFamily="18" charset="0"/>
                                    <a:ea typeface="+mn-ea"/>
                                    <a:cs typeface="+mn-cs"/>
                                  </a:rPr>
                                </m:ctrlPr>
                              </m:sSubPr>
                              <m:e>
                                <m:r>
                                  <a:rPr lang="fr-FR" sz="1800" b="1" i="1">
                                    <a:solidFill>
                                      <a:schemeClr val="dk1"/>
                                    </a:solidFill>
                                    <a:effectLst/>
                                    <a:latin typeface="Cambria Math" panose="02040503050406030204" pitchFamily="18" charset="0"/>
                                    <a:ea typeface="+mn-ea"/>
                                    <a:cs typeface="+mn-cs"/>
                                  </a:rPr>
                                  <m:t>𝑫</m:t>
                                </m:r>
                              </m:e>
                              <m:sub>
                                <m:r>
                                  <a:rPr lang="fr-FR" sz="1800" b="1" i="1">
                                    <a:solidFill>
                                      <a:schemeClr val="dk1"/>
                                    </a:solidFill>
                                    <a:effectLst/>
                                    <a:latin typeface="Cambria Math" panose="02040503050406030204" pitchFamily="18" charset="0"/>
                                    <a:ea typeface="+mn-ea"/>
                                    <a:cs typeface="+mn-cs"/>
                                  </a:rPr>
                                  <m:t>𝟎</m:t>
                                </m:r>
                              </m:sub>
                            </m:sSub>
                          </m:den>
                        </m:f>
                      </m:e>
                    </m:d>
                  </m:oMath>
                </m:oMathPara>
              </a14:m>
              <a:endParaRPr lang="fr-FR" sz="1800" b="1"/>
            </a:p>
          </xdr:txBody>
        </xdr:sp>
      </mc:Choice>
      <mc:Fallback xmlns="">
        <xdr:sp macro="" textlink="">
          <xdr:nvSpPr>
            <xdr:cNvPr id="7" name="ZoneTexte 6">
              <a:extLst>
                <a:ext uri="{FF2B5EF4-FFF2-40B4-BE49-F238E27FC236}">
                  <a16:creationId xmlns:a16="http://schemas.microsoft.com/office/drawing/2014/main" id="{27F5760A-B7E6-4986-A642-B02FB43851B9}"/>
                </a:ext>
              </a:extLst>
            </xdr:cNvPr>
            <xdr:cNvSpPr txBox="1"/>
          </xdr:nvSpPr>
          <xdr:spPr>
            <a:xfrm>
              <a:off x="3040379" y="4848561"/>
              <a:ext cx="2323428" cy="8571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fr-FR" sz="1800" b="1" i="0">
                  <a:latin typeface="Cambria Math" panose="02040503050406030204" pitchFamily="18" charset="0"/>
                </a:rPr>
                <a:t>𝒀_𝑭𝑬=</a:t>
              </a:r>
              <a:r>
                <a:rPr lang="fr-FR" sz="1800" b="1" i="0">
                  <a:solidFill>
                    <a:schemeClr val="dk1"/>
                  </a:solidFill>
                  <a:effectLst/>
                  <a:latin typeface="Cambria Math" panose="02040503050406030204" pitchFamily="18" charset="0"/>
                  <a:ea typeface="+mn-ea"/>
                  <a:cs typeface="+mn-cs"/>
                </a:rPr>
                <a:t>((𝟏−𝒆^(−〖𝟐𝑨𝑫〗_𝟎^  ))/(𝟐𝑨𝑫_𝟎 ))</a:t>
              </a:r>
              <a:endParaRPr lang="fr-FR" sz="1800" b="1"/>
            </a:p>
          </xdr:txBody>
        </xdr:sp>
      </mc:Fallback>
    </mc:AlternateContent>
    <xdr:clientData/>
  </xdr:twoCellAnchor>
  <xdr:twoCellAnchor>
    <xdr:from>
      <xdr:col>2</xdr:col>
      <xdr:colOff>192179</xdr:colOff>
      <xdr:row>47</xdr:row>
      <xdr:rowOff>121583</xdr:rowOff>
    </xdr:from>
    <xdr:to>
      <xdr:col>2</xdr:col>
      <xdr:colOff>2511797</xdr:colOff>
      <xdr:row>52</xdr:row>
      <xdr:rowOff>86061</xdr:rowOff>
    </xdr:to>
    <mc:AlternateContent xmlns:mc="http://schemas.openxmlformats.org/markup-compatibility/2006" xmlns:a14="http://schemas.microsoft.com/office/drawing/2010/main">
      <mc:Choice Requires="a14">
        <xdr:sp macro="" textlink="">
          <xdr:nvSpPr>
            <xdr:cNvPr id="11" name="ZoneTexte 10">
              <a:extLst>
                <a:ext uri="{FF2B5EF4-FFF2-40B4-BE49-F238E27FC236}">
                  <a16:creationId xmlns:a16="http://schemas.microsoft.com/office/drawing/2014/main" id="{C6473681-DB20-441A-8F01-96DD9645A640}"/>
                </a:ext>
              </a:extLst>
            </xdr:cNvPr>
            <xdr:cNvSpPr txBox="1"/>
          </xdr:nvSpPr>
          <xdr:spPr>
            <a:xfrm>
              <a:off x="3049679" y="8626848"/>
              <a:ext cx="2319618" cy="8609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fr-FR" sz="1800" b="1" i="1">
                            <a:latin typeface="Cambria Math" panose="02040503050406030204" pitchFamily="18" charset="0"/>
                          </a:rPr>
                        </m:ctrlPr>
                      </m:sSubPr>
                      <m:e>
                        <m:r>
                          <a:rPr lang="fr-FR" sz="1800" b="1" i="1">
                            <a:latin typeface="Cambria Math" panose="02040503050406030204" pitchFamily="18" charset="0"/>
                          </a:rPr>
                          <m:t>𝒀</m:t>
                        </m:r>
                      </m:e>
                      <m:sub>
                        <m:r>
                          <a:rPr lang="fr-FR" sz="1800" b="1" i="1">
                            <a:latin typeface="Cambria Math" panose="02040503050406030204" pitchFamily="18" charset="0"/>
                          </a:rPr>
                          <m:t>𝑭𝑬</m:t>
                        </m:r>
                      </m:sub>
                    </m:sSub>
                    <m:r>
                      <a:rPr lang="fr-FR" sz="1800" b="1" i="1">
                        <a:latin typeface="Cambria Math" panose="02040503050406030204" pitchFamily="18" charset="0"/>
                      </a:rPr>
                      <m:t>=</m:t>
                    </m:r>
                    <m:f>
                      <m:fPr>
                        <m:ctrlPr>
                          <a:rPr lang="fr-FR" sz="1800" b="1" i="1">
                            <a:latin typeface="Cambria Math" panose="02040503050406030204" pitchFamily="18" charset="0"/>
                          </a:rPr>
                        </m:ctrlPr>
                      </m:fPr>
                      <m:num>
                        <m:r>
                          <a:rPr lang="fr-FR" sz="1800" b="1" i="1">
                            <a:latin typeface="Cambria Math" panose="02040503050406030204" pitchFamily="18" charset="0"/>
                          </a:rPr>
                          <m:t>𝟏</m:t>
                        </m:r>
                      </m:num>
                      <m:den>
                        <m:r>
                          <a:rPr lang="fr-FR" sz="1800" b="1" i="1">
                            <a:latin typeface="Cambria Math" panose="02040503050406030204" pitchFamily="18" charset="0"/>
                          </a:rPr>
                          <m:t>𝟏</m:t>
                        </m:r>
                        <m:r>
                          <a:rPr lang="fr-FR" sz="1800" b="1" i="1">
                            <a:latin typeface="Cambria Math" panose="02040503050406030204" pitchFamily="18" charset="0"/>
                          </a:rPr>
                          <m:t>+</m:t>
                        </m:r>
                        <m:r>
                          <a:rPr lang="fr-FR" sz="1800" b="1" i="1">
                            <a:latin typeface="Cambria Math" panose="02040503050406030204" pitchFamily="18" charset="0"/>
                          </a:rPr>
                          <m:t>𝑨</m:t>
                        </m:r>
                        <m:sSub>
                          <m:sSubPr>
                            <m:ctrlPr>
                              <a:rPr lang="fr-FR" sz="1800" b="1" i="1">
                                <a:latin typeface="Cambria Math" panose="02040503050406030204" pitchFamily="18" charset="0"/>
                              </a:rPr>
                            </m:ctrlPr>
                          </m:sSubPr>
                          <m:e>
                            <m:r>
                              <a:rPr lang="fr-FR" sz="1800" b="1" i="1">
                                <a:latin typeface="Cambria Math" panose="02040503050406030204" pitchFamily="18" charset="0"/>
                              </a:rPr>
                              <m:t>𝑫</m:t>
                            </m:r>
                          </m:e>
                          <m:sub>
                            <m:r>
                              <a:rPr lang="fr-FR" sz="1800" b="1" i="1">
                                <a:latin typeface="Cambria Math" panose="02040503050406030204" pitchFamily="18" charset="0"/>
                              </a:rPr>
                              <m:t>𝟎</m:t>
                            </m:r>
                          </m:sub>
                        </m:sSub>
                      </m:den>
                    </m:f>
                  </m:oMath>
                </m:oMathPara>
              </a14:m>
              <a:endParaRPr lang="fr-FR" sz="1800" b="1"/>
            </a:p>
          </xdr:txBody>
        </xdr:sp>
      </mc:Choice>
      <mc:Fallback xmlns="">
        <xdr:sp macro="" textlink="">
          <xdr:nvSpPr>
            <xdr:cNvPr id="11" name="ZoneTexte 10">
              <a:extLst>
                <a:ext uri="{FF2B5EF4-FFF2-40B4-BE49-F238E27FC236}">
                  <a16:creationId xmlns:a16="http://schemas.microsoft.com/office/drawing/2014/main" id="{C6473681-DB20-441A-8F01-96DD9645A640}"/>
                </a:ext>
              </a:extLst>
            </xdr:cNvPr>
            <xdr:cNvSpPr txBox="1"/>
          </xdr:nvSpPr>
          <xdr:spPr>
            <a:xfrm>
              <a:off x="3049679" y="8626848"/>
              <a:ext cx="2319618" cy="8609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fr-FR" sz="1800" b="1" i="0">
                  <a:latin typeface="Cambria Math" panose="02040503050406030204" pitchFamily="18" charset="0"/>
                </a:rPr>
                <a:t>𝒀_𝑭𝑬=𝟏/(𝟏+𝑨𝑫_𝟎 )</a:t>
              </a:r>
              <a:endParaRPr lang="fr-FR" sz="1800" b="1"/>
            </a:p>
          </xdr:txBody>
        </xdr:sp>
      </mc:Fallback>
    </mc:AlternateContent>
    <xdr:clientData/>
  </xdr:twoCellAnchor>
  <xdr:twoCellAnchor>
    <xdr:from>
      <xdr:col>2</xdr:col>
      <xdr:colOff>192179</xdr:colOff>
      <xdr:row>68</xdr:row>
      <xdr:rowOff>129203</xdr:rowOff>
    </xdr:from>
    <xdr:to>
      <xdr:col>2</xdr:col>
      <xdr:colOff>2511797</xdr:colOff>
      <xdr:row>71</xdr:row>
      <xdr:rowOff>15016</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id="{9AACCDE0-4533-4A11-9AE6-21D0AD1AA8F3}"/>
                </a:ext>
              </a:extLst>
            </xdr:cNvPr>
            <xdr:cNvSpPr txBox="1"/>
          </xdr:nvSpPr>
          <xdr:spPr>
            <a:xfrm>
              <a:off x="3049679" y="12410850"/>
              <a:ext cx="2319618" cy="423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fr-FR" sz="1800" b="1" i="1">
                            <a:latin typeface="Cambria Math" panose="02040503050406030204" pitchFamily="18" charset="0"/>
                          </a:rPr>
                        </m:ctrlPr>
                      </m:sSubPr>
                      <m:e>
                        <m:r>
                          <a:rPr lang="fr-FR" sz="1800" b="1" i="1">
                            <a:latin typeface="Cambria Math" panose="02040503050406030204" pitchFamily="18" charset="0"/>
                          </a:rPr>
                          <m:t>𝒀</m:t>
                        </m:r>
                      </m:e>
                      <m:sub>
                        <m:r>
                          <a:rPr lang="fr-FR" sz="1800" b="1" i="1">
                            <a:latin typeface="Cambria Math" panose="02040503050406030204" pitchFamily="18" charset="0"/>
                          </a:rPr>
                          <m:t>𝑭𝑬</m:t>
                        </m:r>
                      </m:sub>
                    </m:sSub>
                    <m:r>
                      <a:rPr lang="fr-FR" sz="1800" b="1" i="1">
                        <a:latin typeface="Cambria Math" panose="02040503050406030204" pitchFamily="18" charset="0"/>
                      </a:rPr>
                      <m:t>=</m:t>
                    </m:r>
                    <m:sSup>
                      <m:sSupPr>
                        <m:ctrlPr>
                          <a:rPr lang="fr-FR" sz="1800" b="1" i="1">
                            <a:latin typeface="Cambria Math" panose="02040503050406030204" pitchFamily="18" charset="0"/>
                          </a:rPr>
                        </m:ctrlPr>
                      </m:sSupPr>
                      <m:e>
                        <m:r>
                          <a:rPr lang="fr-FR" sz="1800" b="1" i="1">
                            <a:latin typeface="Cambria Math" panose="02040503050406030204" pitchFamily="18" charset="0"/>
                          </a:rPr>
                          <m:t>𝒆</m:t>
                        </m:r>
                      </m:e>
                      <m:sup>
                        <m:r>
                          <a:rPr lang="fr-FR" sz="1800" b="1" i="1">
                            <a:latin typeface="Cambria Math" panose="02040503050406030204" pitchFamily="18" charset="0"/>
                          </a:rPr>
                          <m:t>−</m:t>
                        </m:r>
                        <m:sSub>
                          <m:sSubPr>
                            <m:ctrlPr>
                              <a:rPr lang="fr-FR" sz="1800" b="1" i="1">
                                <a:latin typeface="Cambria Math" panose="02040503050406030204" pitchFamily="18" charset="0"/>
                              </a:rPr>
                            </m:ctrlPr>
                          </m:sSubPr>
                          <m:e>
                            <m:r>
                              <a:rPr lang="fr-FR" sz="1800" b="1" i="1">
                                <a:latin typeface="Cambria Math" panose="02040503050406030204" pitchFamily="18" charset="0"/>
                              </a:rPr>
                              <m:t>𝑫</m:t>
                            </m:r>
                          </m:e>
                          <m:sub>
                            <m:r>
                              <a:rPr lang="fr-FR" sz="1800" b="1" i="1">
                                <a:latin typeface="Cambria Math" panose="02040503050406030204" pitchFamily="18" charset="0"/>
                              </a:rPr>
                              <m:t>𝟎</m:t>
                            </m:r>
                          </m:sub>
                        </m:sSub>
                        <m:r>
                          <a:rPr lang="fr-FR" sz="1800" b="1" i="1">
                            <a:latin typeface="Cambria Math" panose="02040503050406030204" pitchFamily="18" charset="0"/>
                          </a:rPr>
                          <m:t>𝑨</m:t>
                        </m:r>
                      </m:sup>
                    </m:sSup>
                  </m:oMath>
                </m:oMathPara>
              </a14:m>
              <a:endParaRPr lang="fr-FR" sz="1800" b="1"/>
            </a:p>
          </xdr:txBody>
        </xdr:sp>
      </mc:Choice>
      <mc:Fallback xmlns="">
        <xdr:sp macro="" textlink="">
          <xdr:nvSpPr>
            <xdr:cNvPr id="2" name="ZoneTexte 1">
              <a:extLst>
                <a:ext uri="{FF2B5EF4-FFF2-40B4-BE49-F238E27FC236}">
                  <a16:creationId xmlns:a16="http://schemas.microsoft.com/office/drawing/2014/main" id="{9AACCDE0-4533-4A11-9AE6-21D0AD1AA8F3}"/>
                </a:ext>
              </a:extLst>
            </xdr:cNvPr>
            <xdr:cNvSpPr txBox="1"/>
          </xdr:nvSpPr>
          <xdr:spPr>
            <a:xfrm>
              <a:off x="3049679" y="12410850"/>
              <a:ext cx="2319618" cy="423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fr-FR" sz="1800" b="1" i="0">
                  <a:latin typeface="Cambria Math" panose="02040503050406030204" pitchFamily="18" charset="0"/>
                </a:rPr>
                <a:t>𝒀_𝑭𝑬=𝒆^(−𝑫_𝟎 𝑨)</a:t>
              </a:r>
              <a:endParaRPr lang="fr-FR" sz="1800" b="1"/>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oneCellAnchor>
    <xdr:from>
      <xdr:col>0</xdr:col>
      <xdr:colOff>1511562</xdr:colOff>
      <xdr:row>5</xdr:row>
      <xdr:rowOff>43816</xdr:rowOff>
    </xdr:from>
    <xdr:ext cx="2721194" cy="608180"/>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0DC939D5-FCC2-C8AC-8A00-7CA9FA7DC51A}"/>
                </a:ext>
              </a:extLst>
            </xdr:cNvPr>
            <xdr:cNvSpPr txBox="1"/>
          </xdr:nvSpPr>
          <xdr:spPr>
            <a:xfrm>
              <a:off x="1511562" y="973904"/>
              <a:ext cx="2721194" cy="608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fr-FR" sz="1800" b="1" i="1">
                            <a:solidFill>
                              <a:sysClr val="windowText" lastClr="000000"/>
                            </a:solidFill>
                            <a:latin typeface="Cambria Math" panose="02040503050406030204" pitchFamily="18" charset="0"/>
                          </a:rPr>
                        </m:ctrlPr>
                      </m:sSubPr>
                      <m:e>
                        <m:r>
                          <a:rPr lang="fr-FR" sz="1800" b="1" i="1">
                            <a:solidFill>
                              <a:sysClr val="windowText" lastClr="000000"/>
                            </a:solidFill>
                            <a:latin typeface="Cambria Math" panose="02040503050406030204" pitchFamily="18" charset="0"/>
                          </a:rPr>
                          <m:t>𝑫</m:t>
                        </m:r>
                      </m:e>
                      <m:sub>
                        <m:r>
                          <a:rPr lang="fr-FR" sz="1800" b="1" i="1">
                            <a:solidFill>
                              <a:sysClr val="windowText" lastClr="000000"/>
                            </a:solidFill>
                            <a:latin typeface="Cambria Math" panose="02040503050406030204" pitchFamily="18" charset="0"/>
                          </a:rPr>
                          <m:t>𝒑𝒘</m:t>
                        </m:r>
                      </m:sub>
                    </m:sSub>
                    <m:r>
                      <a:rPr lang="fr-FR" sz="1800" b="1" i="1">
                        <a:solidFill>
                          <a:sysClr val="windowText" lastClr="000000"/>
                        </a:solidFill>
                        <a:latin typeface="Cambria Math" panose="02040503050406030204" pitchFamily="18" charset="0"/>
                      </a:rPr>
                      <m:t>=</m:t>
                    </m:r>
                    <m:f>
                      <m:fPr>
                        <m:ctrlPr>
                          <a:rPr lang="fr-FR" sz="1800" b="1" i="1">
                            <a:solidFill>
                              <a:sysClr val="windowText" lastClr="000000"/>
                            </a:solidFill>
                            <a:latin typeface="Cambria Math" panose="02040503050406030204" pitchFamily="18" charset="0"/>
                          </a:rPr>
                        </m:ctrlPr>
                      </m:fPr>
                      <m:num>
                        <m:r>
                          <a:rPr lang="fr-FR" sz="1800" b="1" i="1">
                            <a:solidFill>
                              <a:sysClr val="windowText" lastClr="000000"/>
                            </a:solidFill>
                            <a:latin typeface="Cambria Math" panose="02040503050406030204" pitchFamily="18" charset="0"/>
                            <a:ea typeface="Cambria Math" panose="02040503050406030204" pitchFamily="18" charset="0"/>
                          </a:rPr>
                          <m:t>𝝅</m:t>
                        </m:r>
                        <m:sSup>
                          <m:sSupPr>
                            <m:ctrlPr>
                              <a:rPr lang="fr-FR" sz="1800" b="1" i="1">
                                <a:solidFill>
                                  <a:sysClr val="windowText" lastClr="000000"/>
                                </a:solidFill>
                                <a:latin typeface="Cambria Math" panose="02040503050406030204" pitchFamily="18" charset="0"/>
                                <a:ea typeface="Cambria Math" panose="02040503050406030204" pitchFamily="18" charset="0"/>
                              </a:rPr>
                            </m:ctrlPr>
                          </m:sSupPr>
                          <m:e>
                            <m:r>
                              <a:rPr lang="fr-FR" sz="1800" b="1" i="1">
                                <a:solidFill>
                                  <a:sysClr val="windowText" lastClr="000000"/>
                                </a:solidFill>
                                <a:latin typeface="Cambria Math" panose="02040503050406030204" pitchFamily="18" charset="0"/>
                                <a:ea typeface="Cambria Math" panose="02040503050406030204" pitchFamily="18" charset="0"/>
                              </a:rPr>
                              <m:t>𝑹</m:t>
                            </m:r>
                          </m:e>
                          <m:sup>
                            <m:r>
                              <a:rPr lang="fr-FR" sz="1800" b="1" i="1">
                                <a:solidFill>
                                  <a:sysClr val="windowText" lastClr="000000"/>
                                </a:solidFill>
                                <a:latin typeface="Cambria Math" panose="02040503050406030204" pitchFamily="18" charset="0"/>
                                <a:ea typeface="Cambria Math" panose="02040503050406030204" pitchFamily="18" charset="0"/>
                              </a:rPr>
                              <m:t>𝟐</m:t>
                            </m:r>
                          </m:sup>
                        </m:sSup>
                      </m:num>
                      <m:den>
                        <m:sSub>
                          <m:sSubPr>
                            <m:ctrlPr>
                              <a:rPr lang="fr-FR" sz="1800" b="1" i="1">
                                <a:solidFill>
                                  <a:sysClr val="windowText" lastClr="000000"/>
                                </a:solidFill>
                                <a:latin typeface="Cambria Math" panose="02040503050406030204" pitchFamily="18" charset="0"/>
                              </a:rPr>
                            </m:ctrlPr>
                          </m:sSubPr>
                          <m:e>
                            <m:r>
                              <a:rPr lang="fr-FR" sz="1800" b="1" i="1">
                                <a:solidFill>
                                  <a:sysClr val="windowText" lastClr="000000"/>
                                </a:solidFill>
                                <a:latin typeface="Cambria Math" panose="02040503050406030204" pitchFamily="18" charset="0"/>
                              </a:rPr>
                              <m:t>𝑨</m:t>
                            </m:r>
                          </m:e>
                          <m:sub>
                            <m:r>
                              <a:rPr lang="fr-FR" sz="1800" b="1" i="1">
                                <a:solidFill>
                                  <a:sysClr val="windowText" lastClr="000000"/>
                                </a:solidFill>
                                <a:latin typeface="Cambria Math" panose="02040503050406030204" pitchFamily="18" charset="0"/>
                              </a:rPr>
                              <m:t>𝑫</m:t>
                            </m:r>
                          </m:sub>
                        </m:sSub>
                      </m:den>
                    </m:f>
                    <m:r>
                      <a:rPr lang="fr-FR" sz="1800" b="1" i="1">
                        <a:solidFill>
                          <a:sysClr val="windowText" lastClr="000000"/>
                        </a:solidFill>
                        <a:latin typeface="Cambria Math" panose="02040503050406030204" pitchFamily="18" charset="0"/>
                      </a:rPr>
                      <m:t>−</m:t>
                    </m:r>
                    <m:f>
                      <m:fPr>
                        <m:ctrlPr>
                          <a:rPr lang="fr-FR" sz="1800" b="1" i="1">
                            <a:solidFill>
                              <a:sysClr val="windowText" lastClr="000000"/>
                            </a:solidFill>
                            <a:latin typeface="Cambria Math" panose="02040503050406030204" pitchFamily="18" charset="0"/>
                          </a:rPr>
                        </m:ctrlPr>
                      </m:fPr>
                      <m:num>
                        <m:sSub>
                          <m:sSubPr>
                            <m:ctrlPr>
                              <a:rPr lang="fr-FR" sz="1800" b="1" i="1">
                                <a:solidFill>
                                  <a:sysClr val="windowText" lastClr="000000"/>
                                </a:solidFill>
                                <a:latin typeface="Cambria Math" panose="02040503050406030204" pitchFamily="18" charset="0"/>
                              </a:rPr>
                            </m:ctrlPr>
                          </m:sSubPr>
                          <m:e>
                            <m:r>
                              <a:rPr lang="fr-FR" sz="1800" b="1" i="1">
                                <a:solidFill>
                                  <a:sysClr val="windowText" lastClr="000000"/>
                                </a:solidFill>
                                <a:latin typeface="Cambria Math" panose="02040503050406030204" pitchFamily="18" charset="0"/>
                              </a:rPr>
                              <m:t>𝑭</m:t>
                            </m:r>
                          </m:e>
                          <m:sub>
                            <m:r>
                              <a:rPr lang="fr-FR" sz="1800" b="1" i="1">
                                <a:solidFill>
                                  <a:sysClr val="windowText" lastClr="000000"/>
                                </a:solidFill>
                                <a:latin typeface="Cambria Math" panose="02040503050406030204" pitchFamily="18" charset="0"/>
                              </a:rPr>
                              <m:t>𝒄𝒐𝒓𝒓</m:t>
                            </m:r>
                          </m:sub>
                        </m:sSub>
                        <m:r>
                          <a:rPr lang="fr-FR" sz="1800" b="1" i="1">
                            <a:solidFill>
                              <a:sysClr val="windowText" lastClr="000000"/>
                            </a:solidFill>
                            <a:latin typeface="Cambria Math" panose="02040503050406030204" pitchFamily="18" charset="0"/>
                          </a:rPr>
                          <m:t>𝟐</m:t>
                        </m:r>
                        <m:r>
                          <a:rPr lang="fr-FR" sz="1800" b="1" i="1">
                            <a:solidFill>
                              <a:sysClr val="windowText" lastClr="000000"/>
                            </a:solidFill>
                            <a:latin typeface="Cambria Math" panose="02040503050406030204" pitchFamily="18" charset="0"/>
                            <a:ea typeface="Cambria Math" panose="02040503050406030204" pitchFamily="18" charset="0"/>
                          </a:rPr>
                          <m:t>𝝅</m:t>
                        </m:r>
                        <m:r>
                          <a:rPr lang="fr-FR" sz="1800" b="1" i="1">
                            <a:solidFill>
                              <a:sysClr val="windowText" lastClr="000000"/>
                            </a:solidFill>
                            <a:latin typeface="Cambria Math" panose="02040503050406030204" pitchFamily="18" charset="0"/>
                            <a:ea typeface="Cambria Math" panose="02040503050406030204" pitchFamily="18" charset="0"/>
                          </a:rPr>
                          <m:t>𝑹</m:t>
                        </m:r>
                        <m:sSub>
                          <m:sSubPr>
                            <m:ctrlPr>
                              <a:rPr lang="fr-FR" sz="1800" b="1" i="1">
                                <a:solidFill>
                                  <a:sysClr val="windowText" lastClr="000000"/>
                                </a:solidFill>
                                <a:latin typeface="Cambria Math" panose="02040503050406030204" pitchFamily="18" charset="0"/>
                                <a:ea typeface="Cambria Math" panose="02040503050406030204" pitchFamily="18" charset="0"/>
                              </a:rPr>
                            </m:ctrlPr>
                          </m:sSubPr>
                          <m:e>
                            <m:r>
                              <a:rPr lang="fr-FR" sz="1800" b="1" i="1">
                                <a:solidFill>
                                  <a:sysClr val="windowText" lastClr="000000"/>
                                </a:solidFill>
                                <a:latin typeface="Cambria Math" panose="02040503050406030204" pitchFamily="18" charset="0"/>
                                <a:ea typeface="Cambria Math" panose="02040503050406030204" pitchFamily="18" charset="0"/>
                              </a:rPr>
                              <m:t>𝑳</m:t>
                            </m:r>
                          </m:e>
                          <m:sub>
                            <m:r>
                              <a:rPr lang="fr-FR" sz="1800" b="1" i="1">
                                <a:solidFill>
                                  <a:sysClr val="windowText" lastClr="000000"/>
                                </a:solidFill>
                                <a:latin typeface="Cambria Math" panose="02040503050406030204" pitchFamily="18" charset="0"/>
                                <a:ea typeface="Cambria Math" panose="02040503050406030204" pitchFamily="18" charset="0"/>
                              </a:rPr>
                              <m:t>𝑫</m:t>
                            </m:r>
                          </m:sub>
                        </m:sSub>
                      </m:num>
                      <m:den>
                        <m:sSub>
                          <m:sSubPr>
                            <m:ctrlPr>
                              <a:rPr lang="fr-FR" sz="1800" b="1" i="1">
                                <a:solidFill>
                                  <a:sysClr val="windowText" lastClr="000000"/>
                                </a:solidFill>
                                <a:latin typeface="Cambria Math" panose="02040503050406030204" pitchFamily="18" charset="0"/>
                              </a:rPr>
                            </m:ctrlPr>
                          </m:sSubPr>
                          <m:e>
                            <m:r>
                              <a:rPr lang="fr-FR" sz="1800" b="1" i="1">
                                <a:solidFill>
                                  <a:sysClr val="windowText" lastClr="000000"/>
                                </a:solidFill>
                                <a:latin typeface="Cambria Math" panose="02040503050406030204" pitchFamily="18" charset="0"/>
                              </a:rPr>
                              <m:t>𝑨</m:t>
                            </m:r>
                          </m:e>
                          <m:sub>
                            <m:r>
                              <a:rPr lang="fr-FR" sz="1800" b="1" i="1">
                                <a:solidFill>
                                  <a:sysClr val="windowText" lastClr="000000"/>
                                </a:solidFill>
                                <a:latin typeface="Cambria Math" panose="02040503050406030204" pitchFamily="18" charset="0"/>
                              </a:rPr>
                              <m:t>𝑫</m:t>
                            </m:r>
                          </m:sub>
                        </m:sSub>
                      </m:den>
                    </m:f>
                  </m:oMath>
                </m:oMathPara>
              </a14:m>
              <a:endParaRPr lang="fr-FR" sz="1800" b="1">
                <a:solidFill>
                  <a:sysClr val="windowText" lastClr="000000"/>
                </a:solidFill>
              </a:endParaRPr>
            </a:p>
          </xdr:txBody>
        </xdr:sp>
      </mc:Choice>
      <mc:Fallback xmlns="">
        <xdr:sp macro="" textlink="">
          <xdr:nvSpPr>
            <xdr:cNvPr id="3" name="ZoneTexte 2">
              <a:extLst>
                <a:ext uri="{FF2B5EF4-FFF2-40B4-BE49-F238E27FC236}">
                  <a16:creationId xmlns:a16="http://schemas.microsoft.com/office/drawing/2014/main" id="{0DC939D5-FCC2-C8AC-8A00-7CA9FA7DC51A}"/>
                </a:ext>
              </a:extLst>
            </xdr:cNvPr>
            <xdr:cNvSpPr txBox="1"/>
          </xdr:nvSpPr>
          <xdr:spPr>
            <a:xfrm>
              <a:off x="1511562" y="973904"/>
              <a:ext cx="2721194" cy="608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fr-FR" sz="1800" b="1" i="0">
                  <a:solidFill>
                    <a:sysClr val="windowText" lastClr="000000"/>
                  </a:solidFill>
                  <a:latin typeface="Cambria Math" panose="02040503050406030204" pitchFamily="18" charset="0"/>
                </a:rPr>
                <a:t>𝑫_𝒑𝒘=(</a:t>
              </a:r>
              <a:r>
                <a:rPr lang="fr-FR" sz="1800" b="1" i="0">
                  <a:solidFill>
                    <a:sysClr val="windowText" lastClr="000000"/>
                  </a:solidFill>
                  <a:latin typeface="Cambria Math" panose="02040503050406030204" pitchFamily="18" charset="0"/>
                  <a:ea typeface="Cambria Math" panose="02040503050406030204" pitchFamily="18" charset="0"/>
                </a:rPr>
                <a:t>𝝅𝑹^𝟐)/</a:t>
              </a:r>
              <a:r>
                <a:rPr lang="fr-FR" sz="1800" b="1" i="0">
                  <a:solidFill>
                    <a:sysClr val="windowText" lastClr="000000"/>
                  </a:solidFill>
                  <a:latin typeface="Cambria Math" panose="02040503050406030204" pitchFamily="18" charset="0"/>
                </a:rPr>
                <a:t>𝑨_𝑫 −(𝑭_𝒄𝒐𝒓𝒓 𝟐</a:t>
              </a:r>
              <a:r>
                <a:rPr lang="fr-FR" sz="1800" b="1" i="0">
                  <a:solidFill>
                    <a:sysClr val="windowText" lastClr="000000"/>
                  </a:solidFill>
                  <a:latin typeface="Cambria Math" panose="02040503050406030204" pitchFamily="18" charset="0"/>
                  <a:ea typeface="Cambria Math" panose="02040503050406030204" pitchFamily="18" charset="0"/>
                </a:rPr>
                <a:t>𝝅𝑹𝑳_𝑫)/</a:t>
              </a:r>
              <a:r>
                <a:rPr lang="fr-FR" sz="1800" b="1" i="0">
                  <a:solidFill>
                    <a:sysClr val="windowText" lastClr="000000"/>
                  </a:solidFill>
                  <a:latin typeface="Cambria Math" panose="02040503050406030204" pitchFamily="18" charset="0"/>
                </a:rPr>
                <a:t>𝑨_𝑫 </a:t>
              </a:r>
              <a:endParaRPr lang="fr-FR" sz="1800" b="1">
                <a:solidFill>
                  <a:sysClr val="windowText" lastClr="000000"/>
                </a:solidFill>
              </a:endParaRPr>
            </a:p>
          </xdr:txBody>
        </xdr:sp>
      </mc:Fallback>
    </mc:AlternateContent>
    <xdr:clientData/>
  </xdr:oneCellAnchor>
  <xdr:twoCellAnchor>
    <xdr:from>
      <xdr:col>0</xdr:col>
      <xdr:colOff>74854</xdr:colOff>
      <xdr:row>10</xdr:row>
      <xdr:rowOff>55333</xdr:rowOff>
    </xdr:from>
    <xdr:to>
      <xdr:col>2</xdr:col>
      <xdr:colOff>3025588</xdr:colOff>
      <xdr:row>38</xdr:row>
      <xdr:rowOff>93233</xdr:rowOff>
    </xdr:to>
    <xdr:graphicFrame macro="">
      <xdr:nvGraphicFramePr>
        <xdr:cNvPr id="2" name="Graphique 1">
          <a:extLst>
            <a:ext uri="{FF2B5EF4-FFF2-40B4-BE49-F238E27FC236}">
              <a16:creationId xmlns:a16="http://schemas.microsoft.com/office/drawing/2014/main" id="{76DC06CE-0B20-4170-8F95-B075F9EEC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0</xdr:col>
      <xdr:colOff>36869</xdr:colOff>
      <xdr:row>9</xdr:row>
      <xdr:rowOff>156883</xdr:rowOff>
    </xdr:from>
    <xdr:ext cx="3752626" cy="681653"/>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id="{AF920446-BAF0-BDF3-AAB9-74A6D716E811}"/>
                </a:ext>
              </a:extLst>
            </xdr:cNvPr>
            <xdr:cNvSpPr txBox="1"/>
          </xdr:nvSpPr>
          <xdr:spPr>
            <a:xfrm>
              <a:off x="36869" y="2353236"/>
              <a:ext cx="3752626" cy="6816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fr-FR" sz="1400" b="1" i="1">
                            <a:latin typeface="Cambria Math" panose="02040503050406030204" pitchFamily="18" charset="0"/>
                          </a:rPr>
                        </m:ctrlPr>
                      </m:sSubPr>
                      <m:e>
                        <m:r>
                          <a:rPr lang="fr-FR" sz="1400" b="1" i="1">
                            <a:latin typeface="Cambria Math" panose="02040503050406030204" pitchFamily="18" charset="0"/>
                          </a:rPr>
                          <m:t>𝑨</m:t>
                        </m:r>
                      </m:e>
                      <m:sub>
                        <m:r>
                          <a:rPr lang="fr-FR" sz="1400" b="1" i="1">
                            <a:latin typeface="Cambria Math" panose="02040503050406030204" pitchFamily="18" charset="0"/>
                          </a:rPr>
                          <m:t>𝒇𝒂𝒃</m:t>
                        </m:r>
                      </m:sub>
                    </m:sSub>
                    <m:r>
                      <a:rPr lang="fr-FR" sz="1400" b="1" i="1">
                        <a:latin typeface="Cambria Math" panose="02040503050406030204" pitchFamily="18" charset="0"/>
                      </a:rPr>
                      <m:t>=</m:t>
                    </m:r>
                    <m:nary>
                      <m:naryPr>
                        <m:chr m:val="∑"/>
                        <m:ctrlPr>
                          <a:rPr lang="fr-FR" sz="1400" b="1" i="1">
                            <a:latin typeface="Cambria Math" panose="02040503050406030204" pitchFamily="18" charset="0"/>
                          </a:rPr>
                        </m:ctrlPr>
                      </m:naryPr>
                      <m:sub>
                        <m:r>
                          <m:rPr>
                            <m:brk m:alnAt="23"/>
                          </m:rPr>
                          <a:rPr lang="fr-FR" sz="1400" b="1" i="1">
                            <a:latin typeface="Cambria Math" panose="02040503050406030204" pitchFamily="18" charset="0"/>
                          </a:rPr>
                          <m:t>𝒊</m:t>
                        </m:r>
                        <m:r>
                          <a:rPr lang="fr-FR" sz="1400" b="1" i="1">
                            <a:latin typeface="Cambria Math" panose="02040503050406030204" pitchFamily="18" charset="0"/>
                          </a:rPr>
                          <m:t>=</m:t>
                        </m:r>
                        <m:r>
                          <a:rPr lang="fr-FR" sz="1400" b="1" i="1">
                            <a:latin typeface="Cambria Math" panose="02040503050406030204" pitchFamily="18" charset="0"/>
                          </a:rPr>
                          <m:t>𝟏</m:t>
                        </m:r>
                      </m:sub>
                      <m:sup>
                        <m:r>
                          <a:rPr lang="fr-FR" sz="1400" b="1" i="1">
                            <a:latin typeface="Cambria Math" panose="02040503050406030204" pitchFamily="18" charset="0"/>
                          </a:rPr>
                          <m:t>𝒏</m:t>
                        </m:r>
                      </m:sup>
                      <m:e>
                        <m:r>
                          <a:rPr lang="fr-FR" sz="1400" b="1" i="1">
                            <a:latin typeface="Cambria Math" panose="02040503050406030204" pitchFamily="18" charset="0"/>
                          </a:rPr>
                          <m:t>[</m:t>
                        </m:r>
                        <m:sSub>
                          <m:sSubPr>
                            <m:ctrlPr>
                              <a:rPr lang="fr-FR" sz="1400" b="1" i="1">
                                <a:latin typeface="Cambria Math" panose="02040503050406030204" pitchFamily="18" charset="0"/>
                              </a:rPr>
                            </m:ctrlPr>
                          </m:sSubPr>
                          <m:e>
                            <m:r>
                              <a:rPr lang="fr-FR" sz="1400" b="1" i="1">
                                <a:latin typeface="Cambria Math" panose="02040503050406030204" pitchFamily="18" charset="0"/>
                              </a:rPr>
                              <m:t>𝑻𝒐𝒐𝒍</m:t>
                            </m:r>
                            <m:r>
                              <a:rPr lang="fr-FR" sz="1400" b="1" i="1">
                                <a:latin typeface="Cambria Math" panose="02040503050406030204" pitchFamily="18" charset="0"/>
                              </a:rPr>
                              <m:t> </m:t>
                            </m:r>
                            <m:r>
                              <a:rPr lang="fr-FR" sz="1400" b="1" i="1">
                                <a:latin typeface="Cambria Math" panose="02040503050406030204" pitchFamily="18" charset="0"/>
                              </a:rPr>
                              <m:t>𝑸𝒖𝒂𝒏𝒕𝒊𝒕𝒚</m:t>
                            </m:r>
                          </m:e>
                          <m:sub>
                            <m:r>
                              <a:rPr lang="fr-FR" sz="1400" b="1" i="1">
                                <a:latin typeface="Cambria Math" panose="02040503050406030204" pitchFamily="18" charset="0"/>
                              </a:rPr>
                              <m:t>𝒊</m:t>
                            </m:r>
                          </m:sub>
                        </m:sSub>
                      </m:e>
                    </m:nary>
                    <m:r>
                      <a:rPr lang="fr-FR" sz="1400" b="1" i="1">
                        <a:latin typeface="Cambria Math" panose="02040503050406030204" pitchFamily="18" charset="0"/>
                      </a:rPr>
                      <m:t>.</m:t>
                    </m:r>
                    <m:r>
                      <a:rPr lang="fr-FR" sz="1400" b="1" i="1">
                        <a:latin typeface="Cambria Math" panose="02040503050406030204" pitchFamily="18" charset="0"/>
                        <a:ea typeface="Cambria Math" panose="02040503050406030204" pitchFamily="18" charset="0"/>
                      </a:rPr>
                      <m:t> </m:t>
                    </m:r>
                    <m:sSub>
                      <m:sSubPr>
                        <m:ctrlPr>
                          <a:rPr lang="fr-FR" sz="1400" b="1" i="1">
                            <a:latin typeface="Cambria Math" panose="02040503050406030204" pitchFamily="18" charset="0"/>
                            <a:ea typeface="Cambria Math" panose="02040503050406030204" pitchFamily="18" charset="0"/>
                          </a:rPr>
                        </m:ctrlPr>
                      </m:sSubPr>
                      <m:e>
                        <m:r>
                          <a:rPr lang="fr-FR" sz="1400" b="1" i="1">
                            <a:latin typeface="Cambria Math" panose="02040503050406030204" pitchFamily="18" charset="0"/>
                            <a:ea typeface="Cambria Math" panose="02040503050406030204" pitchFamily="18" charset="0"/>
                          </a:rPr>
                          <m:t>𝑻𝒐𝒐𝒍</m:t>
                        </m:r>
                        <m:r>
                          <a:rPr lang="fr-FR" sz="1400" b="1" i="1">
                            <a:latin typeface="Cambria Math" panose="02040503050406030204" pitchFamily="18" charset="0"/>
                            <a:ea typeface="Cambria Math" panose="02040503050406030204" pitchFamily="18" charset="0"/>
                          </a:rPr>
                          <m:t> </m:t>
                        </m:r>
                        <m:r>
                          <a:rPr lang="fr-FR" sz="1400" b="1" i="1">
                            <a:latin typeface="Cambria Math" panose="02040503050406030204" pitchFamily="18" charset="0"/>
                            <a:ea typeface="Cambria Math" panose="02040503050406030204" pitchFamily="18" charset="0"/>
                          </a:rPr>
                          <m:t>𝑭𝒐𝒐𝒕𝒑𝒓𝒊𝒏𝒕</m:t>
                        </m:r>
                      </m:e>
                      <m:sub>
                        <m:r>
                          <a:rPr lang="fr-FR" sz="1400" b="1" i="1">
                            <a:latin typeface="Cambria Math" panose="02040503050406030204" pitchFamily="18" charset="0"/>
                            <a:ea typeface="Cambria Math" panose="02040503050406030204" pitchFamily="18" charset="0"/>
                          </a:rPr>
                          <m:t>𝒊</m:t>
                        </m:r>
                      </m:sub>
                    </m:sSub>
                    <m:r>
                      <a:rPr lang="fr-FR" sz="1400" b="1" i="1">
                        <a:latin typeface="Cambria Math" panose="02040503050406030204" pitchFamily="18" charset="0"/>
                        <a:ea typeface="Cambria Math" panose="02040503050406030204" pitchFamily="18" charset="0"/>
                      </a:rPr>
                      <m:t>]</m:t>
                    </m:r>
                  </m:oMath>
                </m:oMathPara>
              </a14:m>
              <a:endParaRPr lang="fr-FR" sz="1400" b="1"/>
            </a:p>
            <a:p>
              <a:endParaRPr lang="fr-FR" sz="1400" b="1"/>
            </a:p>
          </xdr:txBody>
        </xdr:sp>
      </mc:Choice>
      <mc:Fallback xmlns="">
        <xdr:sp macro="" textlink="">
          <xdr:nvSpPr>
            <xdr:cNvPr id="2" name="ZoneTexte 1">
              <a:extLst>
                <a:ext uri="{FF2B5EF4-FFF2-40B4-BE49-F238E27FC236}">
                  <a16:creationId xmlns:a16="http://schemas.microsoft.com/office/drawing/2014/main" id="{AF920446-BAF0-BDF3-AAB9-74A6D716E811}"/>
                </a:ext>
              </a:extLst>
            </xdr:cNvPr>
            <xdr:cNvSpPr txBox="1"/>
          </xdr:nvSpPr>
          <xdr:spPr>
            <a:xfrm>
              <a:off x="36869" y="2353236"/>
              <a:ext cx="3752626" cy="6816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fr-FR" sz="1400" b="1" i="0">
                  <a:latin typeface="Cambria Math" panose="02040503050406030204" pitchFamily="18" charset="0"/>
                </a:rPr>
                <a:t>𝑨_𝒇𝒂𝒃=∑_(𝒊=𝟏)^𝒏▒〖[〖𝑻𝒐𝒐𝒍 𝑸𝒖𝒂𝒏𝒕𝒊𝒕𝒚〗_𝒊 〗.</a:t>
              </a:r>
              <a:r>
                <a:rPr lang="fr-FR" sz="1400" b="1" i="0">
                  <a:latin typeface="Cambria Math" panose="02040503050406030204" pitchFamily="18" charset="0"/>
                  <a:ea typeface="Cambria Math" panose="02040503050406030204" pitchFamily="18" charset="0"/>
                </a:rPr>
                <a:t> 〖𝑻𝒐𝒐𝒍 𝑭𝒐𝒐𝒕𝒑𝒓𝒊𝒏𝒕〗_𝒊]</a:t>
              </a:r>
              <a:endParaRPr lang="fr-FR" sz="1400" b="1"/>
            </a:p>
            <a:p>
              <a:endParaRPr lang="fr-FR" sz="1400" b="1"/>
            </a:p>
          </xdr:txBody>
        </xdr:sp>
      </mc:Fallback>
    </mc:AlternateContent>
    <xdr:clientData/>
  </xdr:oneCellAnchor>
  <xdr:oneCellAnchor>
    <xdr:from>
      <xdr:col>0</xdr:col>
      <xdr:colOff>105111</xdr:colOff>
      <xdr:row>14</xdr:row>
      <xdr:rowOff>2352</xdr:rowOff>
    </xdr:from>
    <xdr:ext cx="3529406" cy="522420"/>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A57FC2BF-06C8-4D72-8A6E-EA7E96E3E493}"/>
                </a:ext>
              </a:extLst>
            </xdr:cNvPr>
            <xdr:cNvSpPr txBox="1"/>
          </xdr:nvSpPr>
          <xdr:spPr>
            <a:xfrm>
              <a:off x="105111" y="2927087"/>
              <a:ext cx="3529406" cy="522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indent="0"/>
              <a14:m>
                <m:oMath xmlns:m="http://schemas.openxmlformats.org/officeDocument/2006/math">
                  <m:sSub>
                    <m:sSubPr>
                      <m:ctrlPr>
                        <a:rPr lang="fr-FR" sz="1800" b="1" i="1">
                          <a:solidFill>
                            <a:schemeClr val="tx1"/>
                          </a:solidFill>
                          <a:latin typeface="Cambria Math" panose="02040503050406030204" pitchFamily="18" charset="0"/>
                          <a:ea typeface="+mn-ea"/>
                          <a:cs typeface="+mn-cs"/>
                        </a:rPr>
                      </m:ctrlPr>
                    </m:sSubPr>
                    <m:e>
                      <m:r>
                        <a:rPr lang="fr-FR" sz="1800" b="1" i="1">
                          <a:solidFill>
                            <a:schemeClr val="tx1"/>
                          </a:solidFill>
                          <a:latin typeface="Cambria Math" panose="02040503050406030204" pitchFamily="18" charset="0"/>
                          <a:ea typeface="+mn-ea"/>
                          <a:cs typeface="+mn-cs"/>
                        </a:rPr>
                        <m:t>𝑨</m:t>
                      </m:r>
                    </m:e>
                    <m:sub>
                      <m:r>
                        <a:rPr lang="fr-FR" sz="1800" b="1" i="1">
                          <a:solidFill>
                            <a:schemeClr val="tx1"/>
                          </a:solidFill>
                          <a:latin typeface="Cambria Math" panose="02040503050406030204" pitchFamily="18" charset="0"/>
                          <a:ea typeface="+mn-ea"/>
                          <a:cs typeface="+mn-cs"/>
                        </a:rPr>
                        <m:t>𝒇𝒂𝒃</m:t>
                      </m:r>
                    </m:sub>
                  </m:sSub>
                  <m:r>
                    <a:rPr lang="fr-FR" sz="1800" b="1" i="1">
                      <a:solidFill>
                        <a:schemeClr val="tx1"/>
                      </a:solidFill>
                      <a:latin typeface="Cambria Math" panose="02040503050406030204" pitchFamily="18" charset="0"/>
                      <a:ea typeface="+mn-ea"/>
                      <a:cs typeface="+mn-cs"/>
                    </a:rPr>
                    <m:t>=</m:t>
                  </m:r>
                  <m:nary>
                    <m:naryPr>
                      <m:chr m:val="∑"/>
                      <m:ctrlPr>
                        <a:rPr lang="fr-FR" sz="1800" b="1" i="1">
                          <a:solidFill>
                            <a:schemeClr val="tx1"/>
                          </a:solidFill>
                          <a:latin typeface="Cambria Math" panose="02040503050406030204" pitchFamily="18" charset="0"/>
                          <a:ea typeface="+mn-ea"/>
                          <a:cs typeface="+mn-cs"/>
                        </a:rPr>
                      </m:ctrlPr>
                    </m:naryPr>
                    <m:sub>
                      <m:r>
                        <m:rPr>
                          <m:brk m:alnAt="23"/>
                        </m:rPr>
                        <a:rPr lang="fr-FR" sz="1800" b="1" i="1">
                          <a:solidFill>
                            <a:schemeClr val="tx1"/>
                          </a:solidFill>
                          <a:latin typeface="Cambria Math" panose="02040503050406030204" pitchFamily="18" charset="0"/>
                          <a:ea typeface="+mn-ea"/>
                          <a:cs typeface="+mn-cs"/>
                        </a:rPr>
                        <m:t>𝒊</m:t>
                      </m:r>
                      <m:r>
                        <a:rPr lang="fr-FR" sz="1800" b="1" i="1">
                          <a:solidFill>
                            <a:schemeClr val="tx1"/>
                          </a:solidFill>
                          <a:latin typeface="Cambria Math" panose="02040503050406030204" pitchFamily="18" charset="0"/>
                          <a:ea typeface="+mn-ea"/>
                          <a:cs typeface="+mn-cs"/>
                        </a:rPr>
                        <m:t>=</m:t>
                      </m:r>
                      <m:r>
                        <a:rPr lang="fr-FR" sz="1800" b="1" i="1">
                          <a:solidFill>
                            <a:schemeClr val="tx1"/>
                          </a:solidFill>
                          <a:latin typeface="Cambria Math" panose="02040503050406030204" pitchFamily="18" charset="0"/>
                          <a:ea typeface="+mn-ea"/>
                          <a:cs typeface="+mn-cs"/>
                        </a:rPr>
                        <m:t>𝟏</m:t>
                      </m:r>
                    </m:sub>
                    <m:sup>
                      <m:r>
                        <a:rPr lang="fr-FR" sz="1800" b="1" i="1">
                          <a:solidFill>
                            <a:schemeClr val="tx1"/>
                          </a:solidFill>
                          <a:latin typeface="Cambria Math" panose="02040503050406030204" pitchFamily="18" charset="0"/>
                          <a:ea typeface="+mn-ea"/>
                          <a:cs typeface="+mn-cs"/>
                        </a:rPr>
                        <m:t>𝒏</m:t>
                      </m:r>
                    </m:sup>
                    <m:e>
                      <m:r>
                        <a:rPr lang="fr-FR" sz="1800" b="1" i="1">
                          <a:solidFill>
                            <a:schemeClr val="tx1"/>
                          </a:solidFill>
                          <a:latin typeface="Cambria Math" panose="02040503050406030204" pitchFamily="18" charset="0"/>
                          <a:ea typeface="+mn-ea"/>
                          <a:cs typeface="+mn-cs"/>
                        </a:rPr>
                        <m:t>[</m:t>
                      </m:r>
                      <m:f>
                        <m:fPr>
                          <m:ctrlPr>
                            <a:rPr lang="fr-FR" sz="1800" b="1" i="1">
                              <a:solidFill>
                                <a:schemeClr val="tx1"/>
                              </a:solidFill>
                              <a:latin typeface="Cambria Math" panose="02040503050406030204" pitchFamily="18" charset="0"/>
                              <a:ea typeface="+mn-ea"/>
                              <a:cs typeface="+mn-cs"/>
                            </a:rPr>
                          </m:ctrlPr>
                        </m:fPr>
                        <m:num>
                          <m:sSub>
                            <m:sSubPr>
                              <m:ctrlPr>
                                <a:rPr lang="fr-FR" sz="1800" b="1" i="1">
                                  <a:solidFill>
                                    <a:schemeClr val="tx1"/>
                                  </a:solidFill>
                                  <a:latin typeface="Cambria Math" panose="02040503050406030204" pitchFamily="18" charset="0"/>
                                  <a:ea typeface="+mn-ea"/>
                                  <a:cs typeface="+mn-cs"/>
                                </a:rPr>
                              </m:ctrlPr>
                            </m:sSubPr>
                            <m:e>
                              <m:r>
                                <a:rPr lang="fr-FR" sz="1800" b="1" i="1">
                                  <a:solidFill>
                                    <a:schemeClr val="tx1"/>
                                  </a:solidFill>
                                  <a:latin typeface="Cambria Math" panose="02040503050406030204" pitchFamily="18" charset="0"/>
                                  <a:ea typeface="+mn-ea"/>
                                  <a:cs typeface="+mn-cs"/>
                                </a:rPr>
                                <m:t>𝑻𝑯𝑷</m:t>
                              </m:r>
                            </m:e>
                            <m:sub>
                              <m:r>
                                <a:rPr lang="fr-FR" sz="1800" b="1" i="1">
                                  <a:solidFill>
                                    <a:schemeClr val="tx1"/>
                                  </a:solidFill>
                                  <a:latin typeface="Cambria Math" panose="02040503050406030204" pitchFamily="18" charset="0"/>
                                  <a:ea typeface="+mn-ea"/>
                                  <a:cs typeface="+mn-cs"/>
                                </a:rPr>
                                <m:t>𝒉</m:t>
                              </m:r>
                            </m:sub>
                          </m:sSub>
                          <m:r>
                            <a:rPr lang="fr-FR" sz="1800" b="1" i="1">
                              <a:solidFill>
                                <a:schemeClr val="tx1"/>
                              </a:solidFill>
                              <a:latin typeface="Cambria Math" panose="02040503050406030204" pitchFamily="18" charset="0"/>
                              <a:ea typeface="+mn-ea"/>
                              <a:cs typeface="+mn-cs"/>
                            </a:rPr>
                            <m:t>.</m:t>
                          </m:r>
                          <m:sSub>
                            <m:sSubPr>
                              <m:ctrlPr>
                                <a:rPr lang="fr-FR" sz="1800" b="1" i="1">
                                  <a:solidFill>
                                    <a:schemeClr val="tx1"/>
                                  </a:solidFill>
                                  <a:latin typeface="Cambria Math" panose="02040503050406030204" pitchFamily="18" charset="0"/>
                                  <a:ea typeface="+mn-ea"/>
                                  <a:cs typeface="+mn-cs"/>
                                </a:rPr>
                              </m:ctrlPr>
                            </m:sSubPr>
                            <m:e>
                              <m:r>
                                <a:rPr lang="fr-FR" sz="1800" b="1" i="1">
                                  <a:solidFill>
                                    <a:schemeClr val="tx1"/>
                                  </a:solidFill>
                                  <a:latin typeface="Cambria Math" panose="02040503050406030204" pitchFamily="18" charset="0"/>
                                  <a:ea typeface="+mn-ea"/>
                                  <a:cs typeface="+mn-cs"/>
                                </a:rPr>
                                <m:t>𝒕</m:t>
                              </m:r>
                            </m:e>
                            <m:sub>
                              <m:r>
                                <a:rPr lang="fr-FR" sz="1800" b="1" i="1">
                                  <a:solidFill>
                                    <a:schemeClr val="tx1"/>
                                  </a:solidFill>
                                  <a:latin typeface="Cambria Math" panose="02040503050406030204" pitchFamily="18" charset="0"/>
                                  <a:ea typeface="+mn-ea"/>
                                  <a:cs typeface="+mn-cs"/>
                                </a:rPr>
                                <m:t>𝒕𝒐𝒐𝒍</m:t>
                              </m:r>
                              <m:r>
                                <a:rPr lang="fr-FR" sz="1800" b="1" i="1">
                                  <a:solidFill>
                                    <a:schemeClr val="tx1"/>
                                  </a:solidFill>
                                  <a:latin typeface="Cambria Math" panose="02040503050406030204" pitchFamily="18" charset="0"/>
                                  <a:ea typeface="+mn-ea"/>
                                  <a:cs typeface="+mn-cs"/>
                                </a:rPr>
                                <m:t>, </m:t>
                              </m:r>
                              <m:r>
                                <a:rPr lang="fr-FR" sz="1800" b="1" i="1">
                                  <a:solidFill>
                                    <a:schemeClr val="tx1"/>
                                  </a:solidFill>
                                  <a:latin typeface="Cambria Math" panose="02040503050406030204" pitchFamily="18" charset="0"/>
                                  <a:ea typeface="+mn-ea"/>
                                  <a:cs typeface="+mn-cs"/>
                                </a:rPr>
                                <m:t>𝒊</m:t>
                              </m:r>
                            </m:sub>
                          </m:sSub>
                        </m:num>
                        <m:den>
                          <m:sSub>
                            <m:sSubPr>
                              <m:ctrlPr>
                                <a:rPr lang="fr-FR" sz="1800" b="1" i="1">
                                  <a:solidFill>
                                    <a:schemeClr val="tx1"/>
                                  </a:solidFill>
                                  <a:latin typeface="Cambria Math" panose="02040503050406030204" pitchFamily="18" charset="0"/>
                                  <a:ea typeface="+mn-ea"/>
                                  <a:cs typeface="+mn-cs"/>
                                </a:rPr>
                              </m:ctrlPr>
                            </m:sSubPr>
                            <m:e>
                              <m:r>
                                <a:rPr lang="fr-FR" sz="1800" b="1" i="1">
                                  <a:solidFill>
                                    <a:schemeClr val="tx1"/>
                                  </a:solidFill>
                                  <a:latin typeface="Cambria Math" panose="02040503050406030204" pitchFamily="18" charset="0"/>
                                  <a:ea typeface="+mn-ea"/>
                                  <a:cs typeface="+mn-cs"/>
                                </a:rPr>
                                <m:t>𝑼</m:t>
                              </m:r>
                            </m:e>
                            <m:sub>
                              <m:r>
                                <a:rPr lang="fr-FR" sz="1800" b="1" i="1">
                                  <a:solidFill>
                                    <a:schemeClr val="tx1"/>
                                  </a:solidFill>
                                  <a:latin typeface="Cambria Math" panose="02040503050406030204" pitchFamily="18" charset="0"/>
                                  <a:ea typeface="+mn-ea"/>
                                  <a:cs typeface="+mn-cs"/>
                                </a:rPr>
                                <m:t>𝒊</m:t>
                              </m:r>
                            </m:sub>
                          </m:sSub>
                        </m:den>
                      </m:f>
                    </m:e>
                  </m:nary>
                  <m:r>
                    <a:rPr lang="fr-FR" sz="1800" b="1" i="1">
                      <a:solidFill>
                        <a:schemeClr val="tx1"/>
                      </a:solidFill>
                      <a:latin typeface="Cambria Math" panose="02040503050406030204" pitchFamily="18" charset="0"/>
                      <a:ea typeface="+mn-ea"/>
                      <a:cs typeface="+mn-cs"/>
                    </a:rPr>
                    <m:t>. </m:t>
                  </m:r>
                  <m:sSub>
                    <m:sSubPr>
                      <m:ctrlPr>
                        <a:rPr lang="fr-FR" sz="1800" b="1" i="1">
                          <a:solidFill>
                            <a:schemeClr val="tx1"/>
                          </a:solidFill>
                          <a:latin typeface="Cambria Math" panose="02040503050406030204" pitchFamily="18" charset="0"/>
                          <a:ea typeface="+mn-ea"/>
                          <a:cs typeface="+mn-cs"/>
                        </a:rPr>
                      </m:ctrlPr>
                    </m:sSubPr>
                    <m:e>
                      <m:r>
                        <a:rPr lang="fr-FR" sz="1800" b="1" i="1">
                          <a:solidFill>
                            <a:schemeClr val="tx1"/>
                          </a:solidFill>
                          <a:latin typeface="Cambria Math" panose="02040503050406030204" pitchFamily="18" charset="0"/>
                          <a:ea typeface="+mn-ea"/>
                          <a:cs typeface="+mn-cs"/>
                        </a:rPr>
                        <m:t>𝑨</m:t>
                      </m:r>
                    </m:e>
                    <m:sub>
                      <m:r>
                        <a:rPr lang="fr-FR" sz="1800" b="1" i="1">
                          <a:solidFill>
                            <a:schemeClr val="tx1"/>
                          </a:solidFill>
                          <a:latin typeface="Cambria Math" panose="02040503050406030204" pitchFamily="18" charset="0"/>
                          <a:ea typeface="+mn-ea"/>
                          <a:cs typeface="+mn-cs"/>
                        </a:rPr>
                        <m:t>𝒕𝒐𝒐𝒍</m:t>
                      </m:r>
                      <m:r>
                        <a:rPr lang="fr-FR" sz="1800" b="1" i="1">
                          <a:solidFill>
                            <a:schemeClr val="tx1"/>
                          </a:solidFill>
                          <a:latin typeface="Cambria Math" panose="02040503050406030204" pitchFamily="18" charset="0"/>
                          <a:ea typeface="+mn-ea"/>
                          <a:cs typeface="+mn-cs"/>
                        </a:rPr>
                        <m:t>, </m:t>
                      </m:r>
                      <m:r>
                        <a:rPr lang="fr-FR" sz="1800" b="1" i="1">
                          <a:solidFill>
                            <a:schemeClr val="tx1"/>
                          </a:solidFill>
                          <a:latin typeface="Cambria Math" panose="02040503050406030204" pitchFamily="18" charset="0"/>
                          <a:ea typeface="+mn-ea"/>
                          <a:cs typeface="+mn-cs"/>
                        </a:rPr>
                        <m:t>𝒊</m:t>
                      </m:r>
                    </m:sub>
                  </m:sSub>
                  <m:r>
                    <a:rPr lang="fr-FR" sz="1800" b="1" i="1">
                      <a:solidFill>
                        <a:schemeClr val="tx1"/>
                      </a:solidFill>
                      <a:latin typeface="Cambria Math" panose="02040503050406030204" pitchFamily="18" charset="0"/>
                      <a:ea typeface="+mn-ea"/>
                      <a:cs typeface="+mn-cs"/>
                    </a:rPr>
                    <m:t>]</m:t>
                  </m:r>
                </m:oMath>
              </a14:m>
              <a:r>
                <a:rPr lang="fr-FR" sz="1800" b="1" i="1">
                  <a:solidFill>
                    <a:schemeClr val="tx1"/>
                  </a:solidFill>
                  <a:latin typeface="Cambria Math" panose="02040503050406030204" pitchFamily="18" charset="0"/>
                  <a:ea typeface="+mn-ea"/>
                  <a:cs typeface="+mn-cs"/>
                </a:rPr>
                <a:t>	</a:t>
              </a:r>
            </a:p>
            <a:p>
              <a:pPr marL="0" indent="0"/>
              <a:endParaRPr lang="fr-FR" sz="1800" b="1" i="1">
                <a:solidFill>
                  <a:schemeClr val="tx1"/>
                </a:solidFill>
                <a:latin typeface="Cambria Math" panose="02040503050406030204" pitchFamily="18" charset="0"/>
                <a:ea typeface="+mn-ea"/>
                <a:cs typeface="+mn-cs"/>
              </a:endParaRPr>
            </a:p>
            <a:p>
              <a:pPr marL="0" indent="0"/>
              <a:endParaRPr lang="fr-FR" sz="1800" b="1" i="1">
                <a:solidFill>
                  <a:schemeClr val="tx1"/>
                </a:solidFill>
                <a:latin typeface="Cambria Math" panose="02040503050406030204" pitchFamily="18" charset="0"/>
                <a:ea typeface="+mn-ea"/>
                <a:cs typeface="+mn-cs"/>
              </a:endParaRPr>
            </a:p>
          </xdr:txBody>
        </xdr:sp>
      </mc:Choice>
      <mc:Fallback xmlns="">
        <xdr:sp macro="" textlink="">
          <xdr:nvSpPr>
            <xdr:cNvPr id="3" name="ZoneTexte 2">
              <a:extLst>
                <a:ext uri="{FF2B5EF4-FFF2-40B4-BE49-F238E27FC236}">
                  <a16:creationId xmlns:a16="http://schemas.microsoft.com/office/drawing/2014/main" id="{A57FC2BF-06C8-4D72-8A6E-EA7E96E3E493}"/>
                </a:ext>
              </a:extLst>
            </xdr:cNvPr>
            <xdr:cNvSpPr txBox="1"/>
          </xdr:nvSpPr>
          <xdr:spPr>
            <a:xfrm>
              <a:off x="105111" y="2927087"/>
              <a:ext cx="3529406" cy="522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indent="0"/>
              <a:r>
                <a:rPr lang="fr-FR" sz="1800" b="1" i="0">
                  <a:solidFill>
                    <a:schemeClr val="tx1"/>
                  </a:solidFill>
                  <a:latin typeface="Cambria Math" panose="02040503050406030204" pitchFamily="18" charset="0"/>
                  <a:ea typeface="+mn-ea"/>
                  <a:cs typeface="+mn-cs"/>
                </a:rPr>
                <a:t>𝑨_𝒇𝒂𝒃=∑_(𝒊=𝟏)^𝒏▒〖[(〖𝑻𝑯𝑷〗_𝒉.𝒕_(𝒕𝒐𝒐𝒍, 𝒊))/𝑼_𝒊 〗. 𝑨_(𝒕𝒐𝒐𝒍, 𝒊)]</a:t>
              </a:r>
              <a:r>
                <a:rPr lang="fr-FR" sz="1800" b="1" i="1">
                  <a:solidFill>
                    <a:schemeClr val="tx1"/>
                  </a:solidFill>
                  <a:latin typeface="Cambria Math" panose="02040503050406030204" pitchFamily="18" charset="0"/>
                  <a:ea typeface="+mn-ea"/>
                  <a:cs typeface="+mn-cs"/>
                </a:rPr>
                <a:t>	</a:t>
              </a:r>
            </a:p>
            <a:p>
              <a:pPr marL="0" indent="0"/>
              <a:endParaRPr lang="fr-FR" sz="1800" b="1" i="1">
                <a:solidFill>
                  <a:schemeClr val="tx1"/>
                </a:solidFill>
                <a:latin typeface="Cambria Math" panose="02040503050406030204" pitchFamily="18" charset="0"/>
                <a:ea typeface="+mn-ea"/>
                <a:cs typeface="+mn-cs"/>
              </a:endParaRPr>
            </a:p>
            <a:p>
              <a:pPr marL="0" indent="0"/>
              <a:endParaRPr lang="fr-FR" sz="1800" b="1" i="1">
                <a:solidFill>
                  <a:schemeClr val="tx1"/>
                </a:solidFill>
                <a:latin typeface="Cambria Math" panose="02040503050406030204" pitchFamily="18" charset="0"/>
                <a:ea typeface="+mn-ea"/>
                <a:cs typeface="+mn-cs"/>
              </a:endParaRPr>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87365-81D7-4FC6-BEF1-17CFDB673530}">
  <dimension ref="A1:I40"/>
  <sheetViews>
    <sheetView zoomScale="90" zoomScaleNormal="90" workbookViewId="0">
      <selection activeCell="B34" sqref="B34:I34"/>
    </sheetView>
  </sheetViews>
  <sheetFormatPr baseColWidth="10" defaultRowHeight="13.8" x14ac:dyDescent="0.25"/>
  <cols>
    <col min="1" max="1" width="48.6640625" style="948" customWidth="1"/>
    <col min="2" max="16384" width="11.5546875" style="948"/>
  </cols>
  <sheetData>
    <row r="1" spans="1:9" ht="14.4" thickBot="1" x14ac:dyDescent="0.3">
      <c r="A1" s="948" t="s">
        <v>135</v>
      </c>
    </row>
    <row r="2" spans="1:9" ht="15" customHeight="1" x14ac:dyDescent="0.25">
      <c r="A2" s="949" t="e" vm="1">
        <v>#VALUE!</v>
      </c>
      <c r="B2" s="961" t="s">
        <v>2555</v>
      </c>
      <c r="C2" s="962"/>
      <c r="D2" s="962"/>
      <c r="E2" s="962"/>
      <c r="F2" s="962"/>
      <c r="G2" s="962"/>
      <c r="H2" s="962"/>
      <c r="I2" s="963"/>
    </row>
    <row r="3" spans="1:9" ht="14.4" customHeight="1" x14ac:dyDescent="0.25">
      <c r="A3" s="950"/>
      <c r="B3" s="964"/>
      <c r="C3" s="965"/>
      <c r="D3" s="965"/>
      <c r="E3" s="965"/>
      <c r="F3" s="965"/>
      <c r="G3" s="965"/>
      <c r="H3" s="965"/>
      <c r="I3" s="966"/>
    </row>
    <row r="4" spans="1:9" ht="14.4" customHeight="1" x14ac:dyDescent="0.25">
      <c r="A4" s="950"/>
      <c r="B4" s="964"/>
      <c r="C4" s="965"/>
      <c r="D4" s="965"/>
      <c r="E4" s="965"/>
      <c r="F4" s="965"/>
      <c r="G4" s="965"/>
      <c r="H4" s="965"/>
      <c r="I4" s="966"/>
    </row>
    <row r="5" spans="1:9" ht="46.8" customHeight="1" x14ac:dyDescent="0.25">
      <c r="A5" s="950"/>
      <c r="B5" s="967" t="s">
        <v>2631</v>
      </c>
      <c r="C5" s="968"/>
      <c r="D5" s="968"/>
      <c r="E5" s="968"/>
      <c r="F5" s="968"/>
      <c r="G5" s="968"/>
      <c r="H5" s="968"/>
      <c r="I5" s="969"/>
    </row>
    <row r="6" spans="1:9" ht="18" customHeight="1" x14ac:dyDescent="0.25">
      <c r="A6" s="950"/>
      <c r="B6" s="967" t="s">
        <v>2441</v>
      </c>
      <c r="C6" s="968"/>
      <c r="D6" s="968"/>
      <c r="E6" s="968"/>
      <c r="F6" s="968"/>
      <c r="G6" s="968"/>
      <c r="H6" s="968"/>
      <c r="I6" s="969"/>
    </row>
    <row r="7" spans="1:9" ht="18" customHeight="1" x14ac:dyDescent="0.25">
      <c r="A7" s="950"/>
      <c r="B7" s="967" t="s">
        <v>2440</v>
      </c>
      <c r="C7" s="968"/>
      <c r="D7" s="968"/>
      <c r="E7" s="968"/>
      <c r="F7" s="968"/>
      <c r="G7" s="968"/>
      <c r="H7" s="968"/>
      <c r="I7" s="969"/>
    </row>
    <row r="8" spans="1:9" ht="18" customHeight="1" thickBot="1" x14ac:dyDescent="0.3">
      <c r="A8" s="951"/>
      <c r="B8" s="970" t="s">
        <v>2442</v>
      </c>
      <c r="C8" s="971"/>
      <c r="D8" s="971"/>
      <c r="E8" s="971"/>
      <c r="F8" s="971"/>
      <c r="G8" s="971"/>
      <c r="H8" s="971"/>
      <c r="I8" s="972"/>
    </row>
    <row r="9" spans="1:9" x14ac:dyDescent="0.25">
      <c r="A9" s="926" t="s">
        <v>1992</v>
      </c>
      <c r="B9" s="952" t="s">
        <v>1993</v>
      </c>
      <c r="C9" s="953"/>
      <c r="D9" s="953"/>
      <c r="E9" s="953"/>
      <c r="F9" s="953"/>
      <c r="G9" s="953"/>
      <c r="H9" s="953"/>
      <c r="I9" s="954"/>
    </row>
    <row r="10" spans="1:9" x14ac:dyDescent="0.25">
      <c r="A10" s="920">
        <v>0</v>
      </c>
      <c r="B10" s="955" t="s">
        <v>1994</v>
      </c>
      <c r="C10" s="956"/>
      <c r="D10" s="956"/>
      <c r="E10" s="956"/>
      <c r="F10" s="956"/>
      <c r="G10" s="956"/>
      <c r="H10" s="956"/>
      <c r="I10" s="957"/>
    </row>
    <row r="11" spans="1:9" x14ac:dyDescent="0.25">
      <c r="A11" s="920">
        <v>1</v>
      </c>
      <c r="B11" s="955" t="s">
        <v>2001</v>
      </c>
      <c r="C11" s="956"/>
      <c r="D11" s="956"/>
      <c r="E11" s="956"/>
      <c r="F11" s="956"/>
      <c r="G11" s="956"/>
      <c r="H11" s="956"/>
      <c r="I11" s="957"/>
    </row>
    <row r="12" spans="1:9" x14ac:dyDescent="0.25">
      <c r="A12" s="920">
        <v>2</v>
      </c>
      <c r="B12" s="958" t="s">
        <v>2005</v>
      </c>
      <c r="C12" s="959"/>
      <c r="D12" s="959"/>
      <c r="E12" s="959"/>
      <c r="F12" s="959"/>
      <c r="G12" s="959"/>
      <c r="H12" s="959"/>
      <c r="I12" s="960"/>
    </row>
    <row r="13" spans="1:9" x14ac:dyDescent="0.25">
      <c r="A13" s="920">
        <v>3</v>
      </c>
      <c r="B13" s="955" t="s">
        <v>2004</v>
      </c>
      <c r="C13" s="956"/>
      <c r="D13" s="956"/>
      <c r="E13" s="956"/>
      <c r="F13" s="956"/>
      <c r="G13" s="956"/>
      <c r="H13" s="956"/>
      <c r="I13" s="957"/>
    </row>
    <row r="14" spans="1:9" x14ac:dyDescent="0.25">
      <c r="A14" s="920">
        <v>4</v>
      </c>
      <c r="B14" s="955" t="s">
        <v>2000</v>
      </c>
      <c r="C14" s="956"/>
      <c r="D14" s="956"/>
      <c r="E14" s="956"/>
      <c r="F14" s="956"/>
      <c r="G14" s="956"/>
      <c r="H14" s="956"/>
      <c r="I14" s="957"/>
    </row>
    <row r="15" spans="1:9" x14ac:dyDescent="0.25">
      <c r="A15" s="920">
        <v>5</v>
      </c>
      <c r="B15" s="955" t="s">
        <v>2002</v>
      </c>
      <c r="C15" s="956"/>
      <c r="D15" s="956"/>
      <c r="E15" s="956"/>
      <c r="F15" s="956"/>
      <c r="G15" s="956"/>
      <c r="H15" s="956"/>
      <c r="I15" s="957"/>
    </row>
    <row r="16" spans="1:9" x14ac:dyDescent="0.25">
      <c r="A16" s="920">
        <v>6</v>
      </c>
      <c r="B16" s="955" t="s">
        <v>2003</v>
      </c>
      <c r="C16" s="956"/>
      <c r="D16" s="956"/>
      <c r="E16" s="956"/>
      <c r="F16" s="956"/>
      <c r="G16" s="956"/>
      <c r="H16" s="956"/>
      <c r="I16" s="957"/>
    </row>
    <row r="17" spans="1:9" x14ac:dyDescent="0.25">
      <c r="A17" s="920">
        <v>7</v>
      </c>
      <c r="B17" s="955" t="s">
        <v>1995</v>
      </c>
      <c r="C17" s="956"/>
      <c r="D17" s="956"/>
      <c r="E17" s="956"/>
      <c r="F17" s="956"/>
      <c r="G17" s="956"/>
      <c r="H17" s="956"/>
      <c r="I17" s="957"/>
    </row>
    <row r="18" spans="1:9" x14ac:dyDescent="0.25">
      <c r="A18" s="920">
        <v>8</v>
      </c>
      <c r="B18" s="955" t="s">
        <v>1996</v>
      </c>
      <c r="C18" s="956"/>
      <c r="D18" s="956"/>
      <c r="E18" s="956"/>
      <c r="F18" s="956"/>
      <c r="G18" s="956"/>
      <c r="H18" s="956"/>
      <c r="I18" s="957"/>
    </row>
    <row r="19" spans="1:9" x14ac:dyDescent="0.25">
      <c r="A19" s="920">
        <v>9</v>
      </c>
      <c r="B19" s="955" t="s">
        <v>2626</v>
      </c>
      <c r="C19" s="956"/>
      <c r="D19" s="956"/>
      <c r="E19" s="956"/>
      <c r="F19" s="956"/>
      <c r="G19" s="956"/>
      <c r="H19" s="956"/>
      <c r="I19" s="957"/>
    </row>
    <row r="20" spans="1:9" x14ac:dyDescent="0.25">
      <c r="A20" s="920">
        <v>10</v>
      </c>
      <c r="B20" s="958" t="s">
        <v>2114</v>
      </c>
      <c r="C20" s="959"/>
      <c r="D20" s="959"/>
      <c r="E20" s="959"/>
      <c r="F20" s="959"/>
      <c r="G20" s="959"/>
      <c r="H20" s="959"/>
      <c r="I20" s="960"/>
    </row>
    <row r="21" spans="1:9" x14ac:dyDescent="0.25">
      <c r="A21" s="920">
        <v>11</v>
      </c>
      <c r="B21" s="958" t="s">
        <v>2006</v>
      </c>
      <c r="C21" s="959"/>
      <c r="D21" s="959"/>
      <c r="E21" s="959"/>
      <c r="F21" s="959"/>
      <c r="G21" s="959"/>
      <c r="H21" s="959"/>
      <c r="I21" s="960"/>
    </row>
    <row r="22" spans="1:9" x14ac:dyDescent="0.25">
      <c r="A22" s="920">
        <v>12</v>
      </c>
      <c r="B22" s="958" t="s">
        <v>2007</v>
      </c>
      <c r="C22" s="959"/>
      <c r="D22" s="959"/>
      <c r="E22" s="959"/>
      <c r="F22" s="959"/>
      <c r="G22" s="959"/>
      <c r="H22" s="959"/>
      <c r="I22" s="960"/>
    </row>
    <row r="23" spans="1:9" x14ac:dyDescent="0.25">
      <c r="A23" s="920">
        <v>13</v>
      </c>
      <c r="B23" s="958" t="s">
        <v>2008</v>
      </c>
      <c r="C23" s="959"/>
      <c r="D23" s="959"/>
      <c r="E23" s="959"/>
      <c r="F23" s="959"/>
      <c r="G23" s="959"/>
      <c r="H23" s="959"/>
      <c r="I23" s="960"/>
    </row>
    <row r="24" spans="1:9" x14ac:dyDescent="0.25">
      <c r="A24" s="920">
        <v>14</v>
      </c>
      <c r="B24" s="958" t="s">
        <v>2009</v>
      </c>
      <c r="C24" s="959"/>
      <c r="D24" s="959"/>
      <c r="E24" s="959"/>
      <c r="F24" s="959"/>
      <c r="G24" s="959"/>
      <c r="H24" s="959"/>
      <c r="I24" s="960"/>
    </row>
    <row r="25" spans="1:9" x14ac:dyDescent="0.25">
      <c r="A25" s="920">
        <v>15</v>
      </c>
      <c r="B25" s="958" t="s">
        <v>2010</v>
      </c>
      <c r="C25" s="959"/>
      <c r="D25" s="959"/>
      <c r="E25" s="959"/>
      <c r="F25" s="959"/>
      <c r="G25" s="959"/>
      <c r="H25" s="959"/>
      <c r="I25" s="960"/>
    </row>
    <row r="26" spans="1:9" x14ac:dyDescent="0.25">
      <c r="A26" s="920">
        <v>16</v>
      </c>
      <c r="B26" s="958" t="s">
        <v>2011</v>
      </c>
      <c r="C26" s="959"/>
      <c r="D26" s="959"/>
      <c r="E26" s="959"/>
      <c r="F26" s="959"/>
      <c r="G26" s="959"/>
      <c r="H26" s="959"/>
      <c r="I26" s="960"/>
    </row>
    <row r="27" spans="1:9" x14ac:dyDescent="0.25">
      <c r="A27" s="920">
        <v>17</v>
      </c>
      <c r="B27" s="958" t="s">
        <v>2012</v>
      </c>
      <c r="C27" s="959"/>
      <c r="D27" s="959"/>
      <c r="E27" s="959"/>
      <c r="F27" s="959"/>
      <c r="G27" s="959"/>
      <c r="H27" s="959"/>
      <c r="I27" s="960"/>
    </row>
    <row r="28" spans="1:9" x14ac:dyDescent="0.25">
      <c r="A28" s="920">
        <v>18</v>
      </c>
      <c r="B28" s="958" t="s">
        <v>1501</v>
      </c>
      <c r="C28" s="959"/>
      <c r="D28" s="959"/>
      <c r="E28" s="959"/>
      <c r="F28" s="959"/>
      <c r="G28" s="959"/>
      <c r="H28" s="959"/>
      <c r="I28" s="960"/>
    </row>
    <row r="29" spans="1:9" x14ac:dyDescent="0.25">
      <c r="A29" s="920">
        <v>19</v>
      </c>
      <c r="B29" s="958" t="s">
        <v>1500</v>
      </c>
      <c r="C29" s="959"/>
      <c r="D29" s="959"/>
      <c r="E29" s="959"/>
      <c r="F29" s="959"/>
      <c r="G29" s="959"/>
      <c r="H29" s="959"/>
      <c r="I29" s="960"/>
    </row>
    <row r="30" spans="1:9" x14ac:dyDescent="0.25">
      <c r="A30" s="920">
        <v>20</v>
      </c>
      <c r="B30" s="958" t="s">
        <v>177</v>
      </c>
      <c r="C30" s="959"/>
      <c r="D30" s="959"/>
      <c r="E30" s="959"/>
      <c r="F30" s="959"/>
      <c r="G30" s="959"/>
      <c r="H30" s="959"/>
      <c r="I30" s="960"/>
    </row>
    <row r="31" spans="1:9" x14ac:dyDescent="0.25">
      <c r="A31" s="920">
        <v>21</v>
      </c>
      <c r="B31" s="958" t="s">
        <v>2013</v>
      </c>
      <c r="C31" s="959"/>
      <c r="D31" s="959"/>
      <c r="E31" s="959"/>
      <c r="F31" s="959"/>
      <c r="G31" s="959"/>
      <c r="H31" s="959"/>
      <c r="I31" s="960"/>
    </row>
    <row r="32" spans="1:9" x14ac:dyDescent="0.25">
      <c r="A32" s="920">
        <v>22</v>
      </c>
      <c r="B32" s="958" t="s">
        <v>2014</v>
      </c>
      <c r="C32" s="959"/>
      <c r="D32" s="959"/>
      <c r="E32" s="959"/>
      <c r="F32" s="959"/>
      <c r="G32" s="959"/>
      <c r="H32" s="959"/>
      <c r="I32" s="960"/>
    </row>
    <row r="33" spans="1:9" x14ac:dyDescent="0.25">
      <c r="A33" s="920">
        <v>23</v>
      </c>
      <c r="B33" s="958" t="s">
        <v>2015</v>
      </c>
      <c r="C33" s="959"/>
      <c r="D33" s="959"/>
      <c r="E33" s="959"/>
      <c r="F33" s="959"/>
      <c r="G33" s="959"/>
      <c r="H33" s="959"/>
      <c r="I33" s="960"/>
    </row>
    <row r="34" spans="1:9" x14ac:dyDescent="0.25">
      <c r="A34" s="920">
        <v>24</v>
      </c>
      <c r="B34" s="958" t="s">
        <v>2016</v>
      </c>
      <c r="C34" s="959"/>
      <c r="D34" s="959"/>
      <c r="E34" s="959"/>
      <c r="F34" s="959"/>
      <c r="G34" s="959"/>
      <c r="H34" s="959"/>
      <c r="I34" s="960"/>
    </row>
    <row r="35" spans="1:9" x14ac:dyDescent="0.25">
      <c r="A35" s="920">
        <v>25</v>
      </c>
      <c r="B35" s="958" t="s">
        <v>2017</v>
      </c>
      <c r="C35" s="959"/>
      <c r="D35" s="959"/>
      <c r="E35" s="959"/>
      <c r="F35" s="959"/>
      <c r="G35" s="959"/>
      <c r="H35" s="959"/>
      <c r="I35" s="960"/>
    </row>
    <row r="36" spans="1:9" x14ac:dyDescent="0.25">
      <c r="A36" s="920">
        <v>26</v>
      </c>
      <c r="B36" s="958" t="s">
        <v>1437</v>
      </c>
      <c r="C36" s="959"/>
      <c r="D36" s="959"/>
      <c r="E36" s="959"/>
      <c r="F36" s="959"/>
      <c r="G36" s="959"/>
      <c r="H36" s="959"/>
      <c r="I36" s="960"/>
    </row>
    <row r="37" spans="1:9" x14ac:dyDescent="0.25">
      <c r="A37" s="920">
        <v>27</v>
      </c>
      <c r="B37" s="958" t="s">
        <v>2018</v>
      </c>
      <c r="C37" s="959"/>
      <c r="D37" s="959"/>
      <c r="E37" s="959"/>
      <c r="F37" s="959"/>
      <c r="G37" s="959"/>
      <c r="H37" s="959"/>
      <c r="I37" s="960"/>
    </row>
    <row r="38" spans="1:9" x14ac:dyDescent="0.25">
      <c r="A38" s="920">
        <v>28</v>
      </c>
      <c r="B38" s="958" t="s">
        <v>2019</v>
      </c>
      <c r="C38" s="959"/>
      <c r="D38" s="959"/>
      <c r="E38" s="959"/>
      <c r="F38" s="959"/>
      <c r="G38" s="959"/>
      <c r="H38" s="959"/>
      <c r="I38" s="960"/>
    </row>
    <row r="39" spans="1:9" x14ac:dyDescent="0.25">
      <c r="A39" s="920">
        <v>29</v>
      </c>
      <c r="B39" s="958" t="s">
        <v>1867</v>
      </c>
      <c r="C39" s="959"/>
      <c r="D39" s="959"/>
      <c r="E39" s="959"/>
      <c r="F39" s="959"/>
      <c r="G39" s="959"/>
      <c r="H39" s="959"/>
      <c r="I39" s="960"/>
    </row>
    <row r="40" spans="1:9" ht="14.4" thickBot="1" x14ac:dyDescent="0.3">
      <c r="A40" s="921">
        <v>30</v>
      </c>
      <c r="B40" s="973" t="s">
        <v>2020</v>
      </c>
      <c r="C40" s="974"/>
      <c r="D40" s="974"/>
      <c r="E40" s="974"/>
      <c r="F40" s="974"/>
      <c r="G40" s="974"/>
      <c r="H40" s="974"/>
      <c r="I40" s="975"/>
    </row>
  </sheetData>
  <sheetProtection algorithmName="SHA-512" hashValue="8iva/YLzFKJR7H+dfIThnXxZClnxu7kyBawuY918LE3ePyp/jGqTX5M4XneYrM6qCf9jUeVA3aXkJMs8F7OoMA==" saltValue="mIQSW2qdcDHHyf6J0tE/Yg==" spinCount="100000" sheet="1" objects="1" scenarios="1"/>
  <mergeCells count="38">
    <mergeCell ref="B39:I39"/>
    <mergeCell ref="B40:I40"/>
    <mergeCell ref="B33:I33"/>
    <mergeCell ref="B34:I34"/>
    <mergeCell ref="B35:I35"/>
    <mergeCell ref="B36:I36"/>
    <mergeCell ref="B24:I24"/>
    <mergeCell ref="B25:I25"/>
    <mergeCell ref="B26:I26"/>
    <mergeCell ref="B37:I37"/>
    <mergeCell ref="B38:I38"/>
    <mergeCell ref="B27:I27"/>
    <mergeCell ref="B28:I28"/>
    <mergeCell ref="B29:I29"/>
    <mergeCell ref="B30:I30"/>
    <mergeCell ref="B31:I31"/>
    <mergeCell ref="B32:I32"/>
    <mergeCell ref="B15:I15"/>
    <mergeCell ref="B14:I14"/>
    <mergeCell ref="B21:I21"/>
    <mergeCell ref="B22:I22"/>
    <mergeCell ref="B23:I23"/>
    <mergeCell ref="A2:A8"/>
    <mergeCell ref="B9:I9"/>
    <mergeCell ref="B19:I19"/>
    <mergeCell ref="B20:I20"/>
    <mergeCell ref="B2:I4"/>
    <mergeCell ref="B7:I7"/>
    <mergeCell ref="B6:I6"/>
    <mergeCell ref="B8:I8"/>
    <mergeCell ref="B5:I5"/>
    <mergeCell ref="B12:I12"/>
    <mergeCell ref="B10:I10"/>
    <mergeCell ref="B11:I11"/>
    <mergeCell ref="B17:I17"/>
    <mergeCell ref="B18:I18"/>
    <mergeCell ref="B16:I16"/>
    <mergeCell ref="B13:I13"/>
  </mergeCells>
  <hyperlinks>
    <hyperlink ref="B11:I11" location="'1. USER INPUTS'!A1" display="User Inputs" xr:uid="{A78C2528-20A5-484A-8219-6D4CF771C44D}"/>
    <hyperlink ref="B10:I10" location="'0. CONTENTS'!A1" display="Contents" xr:uid="{E0292271-CFC1-41E0-9533-96DE00EB32C8}"/>
    <hyperlink ref="B14:I14" location="'4. INPUTS LIST'!A1" display="Inputs list" xr:uid="{38C0878D-484B-4D4E-98F6-88FA31E7FFC6}"/>
    <hyperlink ref="B15:I15" location="'5. IMPACTS CATEGORIES'!A1" display="Impact categories" xr:uid="{87757382-DDE0-4440-A034-063EEDF31A5D}"/>
    <hyperlink ref="B16:I16" location="'6. PEDIGREE MATRIX'!A1" display="Pedigree matrix" xr:uid="{A6CDE56E-7291-4300-A2BA-06B1F1D91A8D}"/>
    <hyperlink ref="B13:I13" location="'3. SUMMARY LCI'!A1" display="Summary LCI" xr:uid="{10EFA5AE-3367-4C48-BF01-4E5BB06FA064}"/>
    <hyperlink ref="B17:I17" location="'7. BoM'!A1" display="Bill of Materials (BoM)" xr:uid="{3E374C6E-DF87-4C5B-A18B-CE21EED7DE90}"/>
    <hyperlink ref="B18:I18" location="'8. BoE'!A1" display="Bill of Energy (BoE)" xr:uid="{0BA29788-C026-4CAD-932D-50ED978B6C44}"/>
    <hyperlink ref="B19:I19" location="'9. REF. DEVICE'!A1" display="Reference device" xr:uid="{DBBB56E3-0C9A-4D02-8970-DBA144D5474C}"/>
    <hyperlink ref="B20:I20" location="'10. IGBT PROCESS FLOW'!A1" display="IGBT process flow" xr:uid="{A13B3BCF-A07F-46FC-B068-6B0043F1FAE2}"/>
    <hyperlink ref="B12:I12" location="'2. PROCESS RECAP '!A1" display="Process recap" xr:uid="{F847964E-D6D9-4E6E-9F77-CA07A8E7E243}"/>
    <hyperlink ref="B21:I21" location="'11. RAW WF PROD.'!A1" display="Raw wafer production" xr:uid="{B4569A3A-52A1-4C70-A695-A3FD6714AC6D}"/>
    <hyperlink ref="B22:I22" location="'12. WET ETCH'!A1" display="Wet etch" xr:uid="{C2FA1A4C-297B-4882-9D03-A0693EDEFD2A}"/>
    <hyperlink ref="B23:I23" location="'13. WET CLEAN'!A1" display="Wet clean" xr:uid="{6C086B1E-BB79-4FE5-8E94-82397A02B893}"/>
    <hyperlink ref="B24:I24" location="'14. PHOTOLITHO.'!A1" display="Photolithography" xr:uid="{1DAB70DE-9760-4D41-8929-654CACF63389}"/>
    <hyperlink ref="B25:I25" location="'15. DRY ETCH'!A1" display="Dry etch" xr:uid="{55750481-0A54-4A19-9F49-CCFE7CDED898}"/>
    <hyperlink ref="B26:I26" location="'16. THERMAL PROC.'!A1" display="Thermal processes" xr:uid="{0E2AF08D-B7D0-4F9E-9E15-BF29A60188D6}"/>
    <hyperlink ref="B27:I27" location="'17. IMPLANT'!A1" display="Implant" xr:uid="{D9CBA631-1BF3-4046-88F3-A4631538F247}"/>
    <hyperlink ref="B28:I28" location="'18. CVD'!A1" display="CVD" xr:uid="{895C4F2C-AC36-4BB4-BC29-ACBB3E85D171}"/>
    <hyperlink ref="B29:I29" location="'19. PVD'!A1" display="PVD" xr:uid="{8DAC611B-8AC5-4938-932A-583D3F8C265A}"/>
    <hyperlink ref="B30:I30" location="'20. CMP'!A1" display="CMP" xr:uid="{90EFEECA-E009-4E2B-B170-ABD12E2E6C7C}"/>
    <hyperlink ref="B31:I31" location="'21. THINNING'!A1" display="Thinning" xr:uid="{DB3138CC-6B36-4DCD-A385-B85F4B8363CB}"/>
    <hyperlink ref="B32:I32" location="'22. DICING'!A1" display="Dicing" xr:uid="{D34687E9-C5AE-4E2B-BF06-52A2E54EA5E4}"/>
    <hyperlink ref="B33:I33" location="'23. PROBING'!A1" display="Probing" xr:uid="{76F7BED3-569F-4312-8FB8-3E6F0589DF5A}"/>
    <hyperlink ref="B34:I34" location="'24. WAFER FAB'!A1" display="Cleanroom facilities &amp; infrastructures (wafer fab)" xr:uid="{5AA5CFB4-62FF-4FF0-859E-98C1E0632C57}"/>
    <hyperlink ref="B35:I35" location="'25. CHEM. &amp; MAT.'!A1" display="Chemicals &amp; materials" xr:uid="{900F89E2-F887-4DD8-BABA-74B8F81F6BE5}"/>
    <hyperlink ref="B36:I36" location="'26. CHEM. SOL._MODEL'!A1" display="Chemical solution models" xr:uid="{D538593B-2492-4DD3-8FEA-DDCB9CFFD7E0}"/>
    <hyperlink ref="B37:I37" location="'27. FRONT-END YIELD MODELS'!A1" display="Front-end yield models" xr:uid="{80D1F5E2-821D-4EE0-8A85-F167C6364850}"/>
    <hyperlink ref="B38:I38" location="'28. DIE COUNT MODEL'!A1" display="Die count model" xr:uid="{EF592F91-7821-4B57-A38C-A4DABAA1DA3E}"/>
    <hyperlink ref="B39:I39" location="'29. FAB SIZE MODEL'!A1" display="Fab size model" xr:uid="{FEB67626-FD11-47B0-87BA-9C9F954D1805}"/>
    <hyperlink ref="B40:I40" location="'30. REFERENCES'!A1" display="References" xr:uid="{91A28E7E-5299-49B0-BE2D-D2A4A7F5CC3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0D739-04D6-432C-8589-30BC5996930E}">
  <sheetPr>
    <tabColor rgb="FFCCFF33"/>
  </sheetPr>
  <dimension ref="A1:K31"/>
  <sheetViews>
    <sheetView tabSelected="1" zoomScaleNormal="100" workbookViewId="0">
      <selection activeCell="I22" sqref="I22"/>
    </sheetView>
  </sheetViews>
  <sheetFormatPr baseColWidth="10" defaultRowHeight="14.4" x14ac:dyDescent="0.3"/>
  <cols>
    <col min="1" max="1" width="20.6640625" bestFit="1" customWidth="1"/>
    <col min="2" max="2" width="24" bestFit="1" customWidth="1"/>
    <col min="3" max="3" width="35.77734375" customWidth="1"/>
    <col min="4" max="4" width="11.6640625" customWidth="1"/>
    <col min="5" max="5" width="17.6640625" bestFit="1" customWidth="1"/>
    <col min="6" max="6" width="13.21875" bestFit="1" customWidth="1"/>
  </cols>
  <sheetData>
    <row r="1" spans="1:8" ht="15" thickBot="1" x14ac:dyDescent="0.35">
      <c r="A1" t="s">
        <v>135</v>
      </c>
    </row>
    <row r="2" spans="1:8" s="14" customFormat="1" ht="38.4" customHeight="1" thickBot="1" x14ac:dyDescent="0.35">
      <c r="A2" s="582" t="e" vm="1">
        <v>#VALUE!</v>
      </c>
      <c r="B2" s="992" t="s">
        <v>2430</v>
      </c>
      <c r="C2" s="993"/>
      <c r="D2" s="376" t="s">
        <v>142</v>
      </c>
      <c r="E2" s="377" t="s">
        <v>236</v>
      </c>
      <c r="F2" s="378" t="s">
        <v>439</v>
      </c>
    </row>
    <row r="3" spans="1:8" x14ac:dyDescent="0.3">
      <c r="A3" s="978" t="s">
        <v>2622</v>
      </c>
      <c r="B3" s="987" t="s">
        <v>1849</v>
      </c>
      <c r="C3" s="508" t="s">
        <v>1854</v>
      </c>
      <c r="D3" s="129" t="s">
        <v>309</v>
      </c>
      <c r="E3" s="237">
        <v>10</v>
      </c>
      <c r="F3" s="239" t="s">
        <v>398</v>
      </c>
    </row>
    <row r="4" spans="1:8" x14ac:dyDescent="0.3">
      <c r="A4" s="979"/>
      <c r="B4" s="988"/>
      <c r="C4" s="509" t="s">
        <v>1850</v>
      </c>
      <c r="D4" s="130" t="s">
        <v>309</v>
      </c>
      <c r="E4" s="236">
        <v>10</v>
      </c>
      <c r="F4" s="74" t="s">
        <v>398</v>
      </c>
    </row>
    <row r="5" spans="1:8" x14ac:dyDescent="0.3">
      <c r="A5" s="979"/>
      <c r="B5" s="989"/>
      <c r="C5" s="509" t="s">
        <v>1851</v>
      </c>
      <c r="D5" s="130" t="s">
        <v>309</v>
      </c>
      <c r="E5" s="236">
        <f>0.07</f>
        <v>7.0000000000000007E-2</v>
      </c>
      <c r="F5" s="74" t="s">
        <v>398</v>
      </c>
    </row>
    <row r="6" spans="1:8" x14ac:dyDescent="0.3">
      <c r="A6" s="979"/>
      <c r="B6" s="1002" t="s">
        <v>1852</v>
      </c>
      <c r="C6" s="509" t="s">
        <v>1853</v>
      </c>
      <c r="D6" s="130" t="s">
        <v>309</v>
      </c>
      <c r="E6" s="236">
        <v>0.12</v>
      </c>
      <c r="F6" s="74" t="s">
        <v>398</v>
      </c>
    </row>
    <row r="7" spans="1:8" x14ac:dyDescent="0.3">
      <c r="A7" s="979"/>
      <c r="B7" s="989"/>
      <c r="C7" s="509" t="s">
        <v>1855</v>
      </c>
      <c r="D7" s="130" t="s">
        <v>309</v>
      </c>
      <c r="E7" s="236">
        <v>0.12</v>
      </c>
      <c r="F7" s="74" t="s">
        <v>398</v>
      </c>
    </row>
    <row r="8" spans="1:8" ht="15.6" x14ac:dyDescent="0.35">
      <c r="A8" s="979"/>
      <c r="B8" s="1003" t="s">
        <v>189</v>
      </c>
      <c r="C8" s="510" t="s">
        <v>1856</v>
      </c>
      <c r="D8" s="349" t="s">
        <v>757</v>
      </c>
      <c r="E8" s="350">
        <f>($E$3+($E$6/2))*($E$4+($E$7/2))</f>
        <v>101.20360000000001</v>
      </c>
      <c r="F8" s="351" t="s">
        <v>436</v>
      </c>
    </row>
    <row r="9" spans="1:8" ht="15.6" x14ac:dyDescent="0.35">
      <c r="A9" s="979"/>
      <c r="B9" s="1004"/>
      <c r="C9" s="510" t="s">
        <v>1857</v>
      </c>
      <c r="D9" s="349" t="s">
        <v>757</v>
      </c>
      <c r="E9" s="350">
        <f>$E$3*$E$4</f>
        <v>100</v>
      </c>
      <c r="F9" s="352" t="s">
        <v>436</v>
      </c>
    </row>
    <row r="10" spans="1:8" x14ac:dyDescent="0.3">
      <c r="A10" s="979"/>
      <c r="B10" s="990" t="s">
        <v>2587</v>
      </c>
      <c r="C10" s="991"/>
      <c r="D10" s="757" t="s">
        <v>2311</v>
      </c>
      <c r="E10" s="759">
        <v>750</v>
      </c>
      <c r="F10" s="758" t="s">
        <v>2312</v>
      </c>
    </row>
    <row r="11" spans="1:8" ht="15" thickBot="1" x14ac:dyDescent="0.35">
      <c r="A11" s="979"/>
      <c r="B11" s="882" t="s">
        <v>2588</v>
      </c>
      <c r="C11" s="883"/>
      <c r="D11" s="358" t="s">
        <v>238</v>
      </c>
      <c r="E11" s="884">
        <f>$E$9*2.7</f>
        <v>270</v>
      </c>
      <c r="F11" s="360" t="s">
        <v>436</v>
      </c>
    </row>
    <row r="12" spans="1:8" ht="15.6" x14ac:dyDescent="0.35">
      <c r="A12" s="979"/>
      <c r="B12" s="1005" t="s">
        <v>528</v>
      </c>
      <c r="C12" s="1006"/>
      <c r="D12" s="241" t="s">
        <v>309</v>
      </c>
      <c r="E12" s="880">
        <v>200</v>
      </c>
      <c r="F12" s="881" t="s">
        <v>398</v>
      </c>
    </row>
    <row r="13" spans="1:8" x14ac:dyDescent="0.3">
      <c r="A13" s="979"/>
      <c r="B13" s="985" t="s">
        <v>450</v>
      </c>
      <c r="C13" s="986"/>
      <c r="D13" s="349" t="s">
        <v>309</v>
      </c>
      <c r="E13" s="353">
        <f>IF($E$12=100, '4. INPUTS LIST'!#REF!, IF('1. USER INPUTS'!$E$12=150, '4. INPUTS LIST'!$B$15, IF('1. USER INPUTS'!$E$12=200, '4. INPUTS LIST'!$B$16, IF('1. USER INPUTS'!$E$12=300, '4. INPUTS LIST'!$B$17, IF('1. USER INPUTS'!$E$12=450, '4. INPUTS LIST'!#REF!)))))</f>
        <v>6</v>
      </c>
      <c r="F13" s="352" t="s">
        <v>436</v>
      </c>
    </row>
    <row r="14" spans="1:8" ht="15.6" x14ac:dyDescent="0.35">
      <c r="A14" s="979"/>
      <c r="B14" s="985" t="s">
        <v>715</v>
      </c>
      <c r="C14" s="986"/>
      <c r="D14" s="349" t="s">
        <v>293</v>
      </c>
      <c r="E14" s="354">
        <f>PI()*((($E$12*0.1)-(2*$E$13*0.1))/2)^2</f>
        <v>277.59112687119415</v>
      </c>
      <c r="F14" s="352" t="s">
        <v>436</v>
      </c>
    </row>
    <row r="15" spans="1:8" x14ac:dyDescent="0.3">
      <c r="A15" s="979"/>
      <c r="B15" s="985" t="s">
        <v>310</v>
      </c>
      <c r="C15" s="986"/>
      <c r="D15" s="349" t="s">
        <v>225</v>
      </c>
      <c r="E15" s="355">
        <f>INT(((PI()*(($E$12/2)-$E$13)^2)/$E$8)-((0.51*2*PI()*(($E$3+$E$6+$E$4+$E$7)/2))/$E$8))</f>
        <v>273</v>
      </c>
      <c r="F15" s="352" t="s">
        <v>436</v>
      </c>
    </row>
    <row r="16" spans="1:8" x14ac:dyDescent="0.3">
      <c r="A16" s="979"/>
      <c r="B16" s="976" t="s">
        <v>435</v>
      </c>
      <c r="C16" s="977"/>
      <c r="D16" s="130" t="s">
        <v>225</v>
      </c>
      <c r="E16" s="238" t="s">
        <v>438</v>
      </c>
      <c r="F16" s="74" t="s">
        <v>398</v>
      </c>
      <c r="H16" s="2"/>
    </row>
    <row r="17" spans="1:11" ht="14.4" customHeight="1" x14ac:dyDescent="0.35">
      <c r="A17" s="979"/>
      <c r="B17" s="976" t="s">
        <v>1353</v>
      </c>
      <c r="C17" s="977"/>
      <c r="D17" s="131" t="s">
        <v>425</v>
      </c>
      <c r="E17" s="238">
        <v>0.1</v>
      </c>
      <c r="F17" s="74" t="s">
        <v>398</v>
      </c>
      <c r="K17" s="122"/>
    </row>
    <row r="18" spans="1:11" ht="15.6" x14ac:dyDescent="0.3">
      <c r="A18" s="979"/>
      <c r="B18" s="981" t="s">
        <v>1952</v>
      </c>
      <c r="C18" s="982"/>
      <c r="D18" s="349" t="s">
        <v>214</v>
      </c>
      <c r="E18" s="356">
        <f>IF($E$16="Murphy, triangular", '4. INPUTS LIST'!$D$20, IF('1. USER INPUTS'!$E$16="Murphy, rectangular", '4. INPUTS LIST'!$D$21, IF('1. USER INPUTS'!$E$16="Seed", '4. INPUTS LIST'!$D$22, IF('1. USER INPUTS'!$E$16="Poisson", '4. INPUTS LIST'!$D$23))))</f>
        <v>0.90559170060627225</v>
      </c>
      <c r="F18" s="352" t="s">
        <v>436</v>
      </c>
      <c r="K18" s="122"/>
    </row>
    <row r="19" spans="1:11" ht="15.6" x14ac:dyDescent="0.3">
      <c r="A19" s="979"/>
      <c r="B19" s="983" t="s">
        <v>794</v>
      </c>
      <c r="C19" s="984"/>
      <c r="D19" s="130" t="s">
        <v>214</v>
      </c>
      <c r="E19" s="280">
        <v>0.94</v>
      </c>
      <c r="F19" s="74" t="s">
        <v>398</v>
      </c>
      <c r="J19" s="122"/>
    </row>
    <row r="20" spans="1:11" ht="15.6" x14ac:dyDescent="0.3">
      <c r="A20" s="979"/>
      <c r="B20" s="983" t="s">
        <v>529</v>
      </c>
      <c r="C20" s="984"/>
      <c r="D20" s="130" t="s">
        <v>214</v>
      </c>
      <c r="E20" s="280">
        <v>0.98499999999999999</v>
      </c>
      <c r="F20" s="74" t="s">
        <v>398</v>
      </c>
    </row>
    <row r="21" spans="1:11" ht="15.6" x14ac:dyDescent="0.35">
      <c r="A21" s="979"/>
      <c r="B21" s="985" t="s">
        <v>1951</v>
      </c>
      <c r="C21" s="986"/>
      <c r="D21" s="349" t="s">
        <v>214</v>
      </c>
      <c r="E21" s="357">
        <f>$E$18*$E$19*$E$20</f>
        <v>0.83848735559134746</v>
      </c>
      <c r="F21" s="352" t="s">
        <v>436</v>
      </c>
    </row>
    <row r="22" spans="1:11" x14ac:dyDescent="0.3">
      <c r="A22" s="979"/>
      <c r="B22" s="985" t="s">
        <v>311</v>
      </c>
      <c r="C22" s="986"/>
      <c r="D22" s="349" t="s">
        <v>225</v>
      </c>
      <c r="E22" s="353">
        <f>INT($E$15*$E$21)</f>
        <v>228</v>
      </c>
      <c r="F22" s="352" t="s">
        <v>436</v>
      </c>
    </row>
    <row r="23" spans="1:11" ht="16.8" thickBot="1" x14ac:dyDescent="0.35">
      <c r="A23" s="980"/>
      <c r="B23" s="1000" t="s">
        <v>1858</v>
      </c>
      <c r="C23" s="1001"/>
      <c r="D23" s="358" t="s">
        <v>425</v>
      </c>
      <c r="E23" s="359">
        <f>(1/$E$21)/($E$14)</f>
        <v>4.2963326736507879E-3</v>
      </c>
      <c r="F23" s="360" t="s">
        <v>436</v>
      </c>
    </row>
    <row r="24" spans="1:11" x14ac:dyDescent="0.3">
      <c r="A24" s="979" t="s">
        <v>742</v>
      </c>
      <c r="B24" s="994" t="s">
        <v>2623</v>
      </c>
      <c r="C24" s="995"/>
      <c r="D24" s="240" t="s">
        <v>225</v>
      </c>
      <c r="E24" s="776" t="s">
        <v>677</v>
      </c>
      <c r="F24" s="239" t="s">
        <v>398</v>
      </c>
    </row>
    <row r="25" spans="1:11" x14ac:dyDescent="0.3">
      <c r="A25" s="979"/>
      <c r="B25" s="996"/>
      <c r="C25" s="997"/>
      <c r="D25" s="349" t="s">
        <v>225</v>
      </c>
      <c r="E25" s="777" t="str">
        <f>IF($E$24="GLO", '4. INPUTS LIST'!$A$3, IF('1. USER INPUTS'!$E$24="RER", '4. INPUTS LIST'!$A$4, IF('1. USER INPUTS'!$E$24="US", '4. INPUTS LIST'!$A$5, IF('1. USER INPUTS'!$E$24="CN", '4. INPUTS LIST'!$A$6, IF('1. USER INPUTS'!$E$24="AT", '4. INPUTS LIST'!$A$7, IF('1. USER INPUTS'!$E$24="JP", '4. INPUTS LIST'!$A$8, IF('1. USER INPUTS'!$E$24="FR", '4. INPUTS LIST'!$A$9, IF('1. USER INPUTS'!$E$24="DE", '4. INPUTS LIST'!$A$10, IF('1. USER INPUTS'!$E$24="SG", '4. INPUTS LIST'!$A$11, IF('1. USER INPUTS'!$E$24="CH", '4. INPUTS LIST'!$A$12))))))))))</f>
        <v>Japan</v>
      </c>
      <c r="F25" s="352" t="s">
        <v>436</v>
      </c>
    </row>
    <row r="26" spans="1:11" x14ac:dyDescent="0.3">
      <c r="A26" s="979"/>
      <c r="B26" s="976" t="s">
        <v>324</v>
      </c>
      <c r="C26" s="977"/>
      <c r="D26" s="241" t="s">
        <v>225</v>
      </c>
      <c r="E26" s="238">
        <v>4</v>
      </c>
      <c r="F26" s="74" t="s">
        <v>398</v>
      </c>
    </row>
    <row r="27" spans="1:11" ht="14.4" customHeight="1" x14ac:dyDescent="0.3">
      <c r="A27" s="979"/>
      <c r="B27" s="985" t="s">
        <v>977</v>
      </c>
      <c r="C27" s="986"/>
      <c r="D27" s="361" t="s">
        <v>538</v>
      </c>
      <c r="E27" s="777">
        <f>IF($E$26=1,'4. INPUTS LIST'!$C$26,IF('1. USER INPUTS'!$E$26=2,'4. INPUTS LIST'!$C$27,IF('1. USER INPUTS'!$E$26=3,'4. INPUTS LIST'!$C$28,IF('1. USER INPUTS'!$E$26=4,'4. INPUTS LIST'!$C$29,IF('1. USER INPUTS'!$E$26=5,'4. INPUTS LIST'!$C$30,IF('1. USER INPUTS'!$E$26=6,'4. INPUTS LIST'!$C$31,IF('1. USER INPUTS'!$E$26=7,'4. INPUTS LIST'!$C$32,IF('1. USER INPUTS'!$E$26=8,'4. INPUTS LIST'!$C$33))))))))</f>
        <v>400</v>
      </c>
      <c r="F27" s="352" t="s">
        <v>436</v>
      </c>
    </row>
    <row r="28" spans="1:11" x14ac:dyDescent="0.3">
      <c r="A28" s="979"/>
      <c r="B28" s="983" t="s">
        <v>1953</v>
      </c>
      <c r="C28" s="984"/>
      <c r="D28" s="507" t="s">
        <v>437</v>
      </c>
      <c r="E28" s="778">
        <v>100000</v>
      </c>
      <c r="F28" s="511" t="s">
        <v>398</v>
      </c>
    </row>
    <row r="29" spans="1:11" x14ac:dyDescent="0.3">
      <c r="A29" s="979"/>
      <c r="B29" s="985" t="s">
        <v>936</v>
      </c>
      <c r="C29" s="986"/>
      <c r="D29" s="362" t="s">
        <v>231</v>
      </c>
      <c r="E29" s="779">
        <f>'29. FAB SIZE MODEL'!$L$4</f>
        <v>36520</v>
      </c>
      <c r="F29" s="352" t="s">
        <v>436</v>
      </c>
    </row>
    <row r="30" spans="1:11" x14ac:dyDescent="0.3">
      <c r="A30" s="979"/>
      <c r="B30" s="976" t="s">
        <v>2317</v>
      </c>
      <c r="C30" s="977"/>
      <c r="D30" s="773" t="s">
        <v>214</v>
      </c>
      <c r="E30" s="775">
        <v>0.95</v>
      </c>
      <c r="F30" s="74" t="s">
        <v>398</v>
      </c>
    </row>
    <row r="31" spans="1:11" ht="15" thickBot="1" x14ac:dyDescent="0.35">
      <c r="A31" s="980"/>
      <c r="B31" s="998" t="s">
        <v>675</v>
      </c>
      <c r="C31" s="999"/>
      <c r="D31" s="242" t="s">
        <v>214</v>
      </c>
      <c r="E31" s="780">
        <v>0.5</v>
      </c>
      <c r="F31" s="774" t="s">
        <v>398</v>
      </c>
    </row>
  </sheetData>
  <mergeCells count="26">
    <mergeCell ref="B2:C2"/>
    <mergeCell ref="A24:A31"/>
    <mergeCell ref="B24:C25"/>
    <mergeCell ref="B15:C15"/>
    <mergeCell ref="B16:C16"/>
    <mergeCell ref="B29:C29"/>
    <mergeCell ref="B31:C31"/>
    <mergeCell ref="B23:C23"/>
    <mergeCell ref="B26:C26"/>
    <mergeCell ref="B27:C27"/>
    <mergeCell ref="B22:C22"/>
    <mergeCell ref="B6:B7"/>
    <mergeCell ref="B8:B9"/>
    <mergeCell ref="B12:C12"/>
    <mergeCell ref="B13:C13"/>
    <mergeCell ref="B28:C28"/>
    <mergeCell ref="B30:C30"/>
    <mergeCell ref="A3:A23"/>
    <mergeCell ref="B17:C17"/>
    <mergeCell ref="B18:C18"/>
    <mergeCell ref="B19:C19"/>
    <mergeCell ref="B20:C20"/>
    <mergeCell ref="B21:C21"/>
    <mergeCell ref="B3:B5"/>
    <mergeCell ref="B14:C14"/>
    <mergeCell ref="B10:C10"/>
  </mergeCell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4">
        <x14:dataValidation type="list" allowBlank="1" showInputMessage="1" showErrorMessage="1" xr:uid="{2202A9D6-8B92-442B-96D2-D1D5AEE66842}">
          <x14:formula1>
            <xm:f>'4. INPUTS LIST'!$B$3:$B$12</xm:f>
          </x14:formula1>
          <xm:sqref>E24:E25</xm:sqref>
        </x14:dataValidation>
        <x14:dataValidation type="list" allowBlank="1" showInputMessage="1" showErrorMessage="1" xr:uid="{5A83A763-C4B7-4660-9861-D5A05E4FE964}">
          <x14:formula1>
            <xm:f>'4. INPUTS LIST'!$A$26:$A$33</xm:f>
          </x14:formula1>
          <xm:sqref>E26</xm:sqref>
        </x14:dataValidation>
        <x14:dataValidation type="list" allowBlank="1" showInputMessage="1" showErrorMessage="1" xr:uid="{52043D30-8E02-4837-93C3-B49B51926253}">
          <x14:formula1>
            <xm:f>'4. INPUTS LIST'!$A$20:$A$23</xm:f>
          </x14:formula1>
          <xm:sqref>E16</xm:sqref>
        </x14:dataValidation>
        <x14:dataValidation type="list" allowBlank="1" showInputMessage="1" showErrorMessage="1" xr:uid="{C3809B7F-E84F-43BE-8491-01D72EFB70EE}">
          <x14:formula1>
            <xm:f>'4. INPUTS LIST'!$A$15:$A$17</xm:f>
          </x14:formula1>
          <xm:sqref>E12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5AA27-3BE8-490B-89E2-7E39C7084D36}">
  <sheetPr>
    <tabColor rgb="FFCCFF33"/>
  </sheetPr>
  <dimension ref="A1:J63"/>
  <sheetViews>
    <sheetView zoomScale="85" zoomScaleNormal="85" workbookViewId="0"/>
  </sheetViews>
  <sheetFormatPr baseColWidth="10" defaultRowHeight="14.4" x14ac:dyDescent="0.3"/>
  <cols>
    <col min="1" max="1" width="19.44140625" bestFit="1" customWidth="1"/>
    <col min="2" max="2" width="51.77734375" bestFit="1" customWidth="1"/>
    <col min="3" max="3" width="22.88671875" customWidth="1"/>
    <col min="4" max="4" width="16.77734375" style="1" customWidth="1"/>
    <col min="5" max="5" width="20.88671875" style="1" customWidth="1"/>
    <col min="6" max="6" width="17.77734375" style="1" customWidth="1"/>
    <col min="7" max="7" width="24.33203125" style="1" bestFit="1" customWidth="1"/>
    <col min="8" max="8" width="9.33203125" bestFit="1" customWidth="1"/>
    <col min="9" max="9" width="15.44140625" bestFit="1" customWidth="1"/>
    <col min="10" max="10" width="14.21875" customWidth="1"/>
  </cols>
  <sheetData>
    <row r="1" spans="1:10" ht="15" thickBot="1" x14ac:dyDescent="0.35">
      <c r="A1" t="s">
        <v>135</v>
      </c>
    </row>
    <row r="2" spans="1:10" ht="33" customHeight="1" thickBot="1" x14ac:dyDescent="0.35">
      <c r="A2" s="673" t="s">
        <v>1511</v>
      </c>
      <c r="B2" s="674" t="s">
        <v>1197</v>
      </c>
      <c r="C2" s="671" t="s">
        <v>2171</v>
      </c>
      <c r="D2" s="671" t="s">
        <v>2172</v>
      </c>
      <c r="E2" s="672" t="s">
        <v>1401</v>
      </c>
      <c r="F2" s="672" t="s">
        <v>1504</v>
      </c>
      <c r="G2" s="672" t="s">
        <v>1868</v>
      </c>
      <c r="H2" s="671" t="s">
        <v>1579</v>
      </c>
      <c r="I2" s="671" t="s">
        <v>1863</v>
      </c>
      <c r="J2" s="670" t="s">
        <v>1400</v>
      </c>
    </row>
    <row r="3" spans="1:10" ht="15" thickBot="1" x14ac:dyDescent="0.35">
      <c r="A3" s="632"/>
      <c r="B3" s="632"/>
      <c r="C3" s="632"/>
      <c r="D3" s="664"/>
      <c r="E3" s="633"/>
      <c r="F3" s="633"/>
      <c r="G3" s="633"/>
      <c r="H3" s="633"/>
      <c r="I3" s="633"/>
      <c r="J3" s="632"/>
    </row>
    <row r="4" spans="1:10" x14ac:dyDescent="0.3">
      <c r="A4" s="941" t="s">
        <v>1496</v>
      </c>
      <c r="B4" s="385" t="s">
        <v>1198</v>
      </c>
      <c r="C4" s="486">
        <v>12</v>
      </c>
      <c r="D4" s="502">
        <v>2</v>
      </c>
      <c r="E4" s="675">
        <f>C4/D4</f>
        <v>6</v>
      </c>
      <c r="F4" s="676">
        <v>1</v>
      </c>
      <c r="G4" s="675">
        <f>'14. PHOTOLITHO.'!$D$44</f>
        <v>120</v>
      </c>
      <c r="H4" s="486">
        <v>11</v>
      </c>
      <c r="I4" s="681">
        <f>$G$4*$H$4</f>
        <v>1320</v>
      </c>
      <c r="J4" s="945">
        <f>SUM($H$4:$H$6)</f>
        <v>33</v>
      </c>
    </row>
    <row r="5" spans="1:10" x14ac:dyDescent="0.3">
      <c r="A5" s="943"/>
      <c r="B5" s="386" t="s">
        <v>1199</v>
      </c>
      <c r="C5" s="487">
        <v>45</v>
      </c>
      <c r="D5" s="666">
        <v>2</v>
      </c>
      <c r="E5" s="677">
        <f t="shared" ref="E5:E6" si="0">C5/D5</f>
        <v>22.5</v>
      </c>
      <c r="F5" s="678">
        <v>1</v>
      </c>
      <c r="G5" s="677">
        <f>'14. PHOTOLITHO.'!$D$66</f>
        <v>300</v>
      </c>
      <c r="H5" s="487">
        <v>11</v>
      </c>
      <c r="I5" s="682">
        <f>$G$5*$H$5</f>
        <v>3300</v>
      </c>
      <c r="J5" s="947"/>
    </row>
    <row r="6" spans="1:10" ht="15" thickBot="1" x14ac:dyDescent="0.35">
      <c r="A6" s="942"/>
      <c r="B6" s="387" t="s">
        <v>1200</v>
      </c>
      <c r="C6" s="488">
        <v>12</v>
      </c>
      <c r="D6" s="504">
        <v>2</v>
      </c>
      <c r="E6" s="679">
        <f t="shared" si="0"/>
        <v>6</v>
      </c>
      <c r="F6" s="680">
        <v>1</v>
      </c>
      <c r="G6" s="679">
        <f>'14. PHOTOLITHO.'!$D$93</f>
        <v>360</v>
      </c>
      <c r="H6" s="488">
        <v>11</v>
      </c>
      <c r="I6" s="683">
        <f>$G$6*$H$6</f>
        <v>3960</v>
      </c>
      <c r="J6" s="946"/>
    </row>
    <row r="7" spans="1:10" ht="15" thickBot="1" x14ac:dyDescent="0.35">
      <c r="A7" s="632"/>
      <c r="B7" s="632"/>
      <c r="C7" s="632"/>
      <c r="D7" s="665"/>
      <c r="E7" s="633"/>
      <c r="F7" s="633"/>
      <c r="G7" s="633"/>
      <c r="H7" s="633"/>
      <c r="I7" s="633"/>
      <c r="J7" s="632"/>
    </row>
    <row r="8" spans="1:10" x14ac:dyDescent="0.3">
      <c r="A8" s="941" t="s">
        <v>1448</v>
      </c>
      <c r="B8" s="385" t="s">
        <v>1376</v>
      </c>
      <c r="C8" s="502">
        <v>13.8</v>
      </c>
      <c r="D8" s="502">
        <v>2</v>
      </c>
      <c r="E8" s="675">
        <f>C8/D8</f>
        <v>6.9</v>
      </c>
      <c r="F8" s="676">
        <f>IF('1. USER INPUTS'!$E$12=150,50,IF('1. USER INPUTS'!$E$12=200,50,IF('1. USER INPUTS'!$E$12=300,25)))</f>
        <v>50</v>
      </c>
      <c r="G8" s="675">
        <f>'13. WET CLEAN'!$D$51</f>
        <v>2460</v>
      </c>
      <c r="H8" s="486">
        <v>2</v>
      </c>
      <c r="I8" s="681">
        <f>$G$8*$H$8</f>
        <v>4920</v>
      </c>
      <c r="J8" s="945">
        <f>SUM($H$8:$H$11)</f>
        <v>10</v>
      </c>
    </row>
    <row r="9" spans="1:10" x14ac:dyDescent="0.3">
      <c r="A9" s="943"/>
      <c r="B9" s="388" t="s">
        <v>1377</v>
      </c>
      <c r="C9" s="503">
        <v>13.8</v>
      </c>
      <c r="D9" s="666">
        <v>2</v>
      </c>
      <c r="E9" s="677">
        <f t="shared" ref="E9:E10" si="1">C9/D9</f>
        <v>6.9</v>
      </c>
      <c r="F9" s="678">
        <f>IF('1. USER INPUTS'!$E$12=150,50,IF('1. USER INPUTS'!$E$12=200,50,IF('1. USER INPUTS'!$E$12=300,25)))</f>
        <v>50</v>
      </c>
      <c r="G9" s="677">
        <f>'13. WET CLEAN'!$D$142</f>
        <v>1500</v>
      </c>
      <c r="H9" s="487">
        <v>1</v>
      </c>
      <c r="I9" s="682">
        <f>$G$9*$H$9</f>
        <v>1500</v>
      </c>
      <c r="J9" s="947"/>
    </row>
    <row r="10" spans="1:10" x14ac:dyDescent="0.3">
      <c r="A10" s="943"/>
      <c r="B10" s="388" t="s">
        <v>1462</v>
      </c>
      <c r="C10" s="503">
        <v>13.8</v>
      </c>
      <c r="D10" s="666">
        <v>2</v>
      </c>
      <c r="E10" s="677">
        <f t="shared" si="1"/>
        <v>6.9</v>
      </c>
      <c r="F10" s="678">
        <f>IF('1. USER INPUTS'!$E$12=150,50,IF('1. USER INPUTS'!$E$12=200,50,IF('1. USER INPUTS'!$E$12=300,25)))</f>
        <v>50</v>
      </c>
      <c r="G10" s="677">
        <f>'13. WET CLEAN'!$D$112</f>
        <v>1500</v>
      </c>
      <c r="H10" s="487">
        <v>2</v>
      </c>
      <c r="I10" s="682">
        <f>$G$10*$H$10</f>
        <v>3000</v>
      </c>
      <c r="J10" s="947"/>
    </row>
    <row r="11" spans="1:10" ht="15" thickBot="1" x14ac:dyDescent="0.35">
      <c r="A11" s="942"/>
      <c r="B11" s="387" t="s">
        <v>1201</v>
      </c>
      <c r="C11" s="504">
        <v>2.5</v>
      </c>
      <c r="D11" s="504">
        <v>2</v>
      </c>
      <c r="E11" s="679">
        <v>2.5</v>
      </c>
      <c r="F11" s="680">
        <f>IF('1. USER INPUTS'!$E$12=150,50,IF('1. USER INPUTS'!$E$12=200,50,IF('1. USER INPUTS'!$E$12=300,25)))</f>
        <v>50</v>
      </c>
      <c r="G11" s="679">
        <f>'13. WET CLEAN'!$D$84</f>
        <v>450</v>
      </c>
      <c r="H11" s="488">
        <v>5</v>
      </c>
      <c r="I11" s="683">
        <f>$G$11*$H$11</f>
        <v>2250</v>
      </c>
      <c r="J11" s="946"/>
    </row>
    <row r="12" spans="1:10" ht="15" thickBot="1" x14ac:dyDescent="0.35">
      <c r="A12" s="632"/>
      <c r="B12" s="632"/>
      <c r="C12" s="632"/>
      <c r="D12" s="665"/>
      <c r="E12" s="633"/>
      <c r="F12" s="633"/>
      <c r="G12" s="633"/>
      <c r="H12" s="633"/>
      <c r="I12" s="633"/>
      <c r="J12" s="632"/>
    </row>
    <row r="13" spans="1:10" x14ac:dyDescent="0.3">
      <c r="A13" s="941" t="s">
        <v>347</v>
      </c>
      <c r="B13" s="385" t="s">
        <v>1094</v>
      </c>
      <c r="C13" s="502">
        <v>12.8</v>
      </c>
      <c r="D13" s="502">
        <v>2</v>
      </c>
      <c r="E13" s="675">
        <f>C13/D13</f>
        <v>6.4</v>
      </c>
      <c r="F13" s="676">
        <v>50</v>
      </c>
      <c r="G13" s="684">
        <f>'12. WET ETCH'!$D$155</f>
        <v>360</v>
      </c>
      <c r="H13" s="486">
        <v>7</v>
      </c>
      <c r="I13" s="681">
        <f>$G$13*$H$13</f>
        <v>2520</v>
      </c>
      <c r="J13" s="945">
        <f>SUM($H$13:$H$17)</f>
        <v>11</v>
      </c>
    </row>
    <row r="14" spans="1:10" x14ac:dyDescent="0.3">
      <c r="A14" s="943"/>
      <c r="B14" s="386" t="s">
        <v>1428</v>
      </c>
      <c r="C14" s="666">
        <v>12.8</v>
      </c>
      <c r="D14" s="666">
        <v>2</v>
      </c>
      <c r="E14" s="677">
        <f t="shared" ref="E14:E17" si="2">C14/D14</f>
        <v>6.4</v>
      </c>
      <c r="F14" s="678">
        <v>1</v>
      </c>
      <c r="G14" s="685">
        <f>'12. WET ETCH'!$D$185</f>
        <v>1800</v>
      </c>
      <c r="H14" s="487">
        <v>1</v>
      </c>
      <c r="I14" s="682">
        <f>$G$14*$H$14</f>
        <v>1800</v>
      </c>
      <c r="J14" s="947"/>
    </row>
    <row r="15" spans="1:10" x14ac:dyDescent="0.3">
      <c r="A15" s="943"/>
      <c r="B15" s="388" t="s">
        <v>1203</v>
      </c>
      <c r="C15" s="503">
        <v>3.3</v>
      </c>
      <c r="D15" s="666">
        <v>2</v>
      </c>
      <c r="E15" s="677">
        <f t="shared" si="2"/>
        <v>1.65</v>
      </c>
      <c r="F15" s="686">
        <v>1</v>
      </c>
      <c r="G15" s="685">
        <f>'12. WET ETCH'!$D$58</f>
        <v>186</v>
      </c>
      <c r="H15" s="487">
        <v>1</v>
      </c>
      <c r="I15" s="682">
        <f>$G$15*$H$15</f>
        <v>186</v>
      </c>
      <c r="J15" s="947"/>
    </row>
    <row r="16" spans="1:10" x14ac:dyDescent="0.3">
      <c r="A16" s="943"/>
      <c r="B16" s="388" t="s">
        <v>1452</v>
      </c>
      <c r="C16" s="503">
        <v>12.8</v>
      </c>
      <c r="D16" s="666">
        <v>2</v>
      </c>
      <c r="E16" s="677">
        <f t="shared" si="2"/>
        <v>6.4</v>
      </c>
      <c r="F16" s="686">
        <v>50</v>
      </c>
      <c r="G16" s="685">
        <f>'12. WET ETCH'!$D$94</f>
        <v>120</v>
      </c>
      <c r="H16" s="487">
        <v>1</v>
      </c>
      <c r="I16" s="689">
        <f>$G$16*$H$16</f>
        <v>120</v>
      </c>
      <c r="J16" s="947"/>
    </row>
    <row r="17" spans="1:10" ht="15" thickBot="1" x14ac:dyDescent="0.35">
      <c r="A17" s="942"/>
      <c r="B17" s="387" t="s">
        <v>1204</v>
      </c>
      <c r="C17" s="504">
        <v>12.8</v>
      </c>
      <c r="D17" s="504">
        <v>2</v>
      </c>
      <c r="E17" s="679">
        <f t="shared" si="2"/>
        <v>6.4</v>
      </c>
      <c r="F17" s="680">
        <v>50</v>
      </c>
      <c r="G17" s="687">
        <f>'12. WET ETCH'!$D$126</f>
        <v>1260</v>
      </c>
      <c r="H17" s="488">
        <v>1</v>
      </c>
      <c r="I17" s="683">
        <f>$G$17*$H$17</f>
        <v>1260</v>
      </c>
      <c r="J17" s="946"/>
    </row>
    <row r="18" spans="1:10" ht="15" thickBot="1" x14ac:dyDescent="0.35">
      <c r="A18" s="632"/>
      <c r="B18" s="632"/>
      <c r="C18" s="632"/>
      <c r="D18" s="664"/>
      <c r="E18" s="633"/>
      <c r="F18" s="633"/>
      <c r="G18" s="633"/>
      <c r="H18" s="633"/>
      <c r="I18" s="633"/>
      <c r="J18" s="632"/>
    </row>
    <row r="19" spans="1:10" x14ac:dyDescent="0.3">
      <c r="A19" s="941" t="s">
        <v>348</v>
      </c>
      <c r="B19" s="385" t="s">
        <v>1079</v>
      </c>
      <c r="C19" s="486">
        <v>12.8</v>
      </c>
      <c r="D19" s="486">
        <v>2</v>
      </c>
      <c r="E19" s="675">
        <f>C19/D19</f>
        <v>6.4</v>
      </c>
      <c r="F19" s="676">
        <v>25</v>
      </c>
      <c r="G19" s="684">
        <f>'15. DRY ETCH'!$D$146</f>
        <v>180</v>
      </c>
      <c r="H19" s="486">
        <v>9</v>
      </c>
      <c r="I19" s="681">
        <f>$G$19*$H$19</f>
        <v>1620</v>
      </c>
      <c r="J19" s="945">
        <f>SUM($H$19:$H$23)</f>
        <v>16</v>
      </c>
    </row>
    <row r="20" spans="1:10" x14ac:dyDescent="0.3">
      <c r="A20" s="943"/>
      <c r="B20" s="386" t="s">
        <v>2099</v>
      </c>
      <c r="C20" s="487">
        <v>43.6</v>
      </c>
      <c r="D20" s="487">
        <v>2</v>
      </c>
      <c r="E20" s="677">
        <f t="shared" ref="E20:E23" si="3">C20/D20</f>
        <v>21.8</v>
      </c>
      <c r="F20" s="678">
        <v>1</v>
      </c>
      <c r="G20" s="677">
        <f>'15. DRY ETCH'!$D$52</f>
        <v>159</v>
      </c>
      <c r="H20" s="487">
        <v>2</v>
      </c>
      <c r="I20" s="682">
        <f>$G$20*$H$20</f>
        <v>318</v>
      </c>
      <c r="J20" s="947"/>
    </row>
    <row r="21" spans="1:10" x14ac:dyDescent="0.3">
      <c r="A21" s="943"/>
      <c r="B21" s="386" t="s">
        <v>1831</v>
      </c>
      <c r="C21" s="487">
        <v>43.6</v>
      </c>
      <c r="D21" s="487">
        <v>2</v>
      </c>
      <c r="E21" s="677">
        <f t="shared" si="3"/>
        <v>21.8</v>
      </c>
      <c r="F21" s="678">
        <v>1</v>
      </c>
      <c r="G21" s="685">
        <f>'15. DRY ETCH'!$D$107</f>
        <v>240</v>
      </c>
      <c r="H21" s="487">
        <v>1</v>
      </c>
      <c r="I21" s="682">
        <f>$G$21*$H$21</f>
        <v>240</v>
      </c>
      <c r="J21" s="947"/>
    </row>
    <row r="22" spans="1:10" x14ac:dyDescent="0.3">
      <c r="A22" s="943"/>
      <c r="B22" s="386" t="s">
        <v>1205</v>
      </c>
      <c r="C22" s="487">
        <v>43.6</v>
      </c>
      <c r="D22" s="487">
        <v>2</v>
      </c>
      <c r="E22" s="677">
        <f t="shared" si="3"/>
        <v>21.8</v>
      </c>
      <c r="F22" s="678">
        <v>1</v>
      </c>
      <c r="G22" s="677">
        <f>'15. DRY ETCH'!$D$50</f>
        <v>180</v>
      </c>
      <c r="H22" s="487">
        <v>1</v>
      </c>
      <c r="I22" s="682">
        <f>$G$22*$H$22</f>
        <v>180</v>
      </c>
      <c r="J22" s="947"/>
    </row>
    <row r="23" spans="1:10" ht="15" thickBot="1" x14ac:dyDescent="0.35">
      <c r="A23" s="942"/>
      <c r="B23" s="387" t="s">
        <v>1206</v>
      </c>
      <c r="C23" s="488">
        <v>43.6</v>
      </c>
      <c r="D23" s="488">
        <v>2</v>
      </c>
      <c r="E23" s="679">
        <f t="shared" si="3"/>
        <v>21.8</v>
      </c>
      <c r="F23" s="680">
        <v>1</v>
      </c>
      <c r="G23" s="687">
        <f>'15. DRY ETCH'!$D$54</f>
        <v>212.4</v>
      </c>
      <c r="H23" s="488">
        <v>3</v>
      </c>
      <c r="I23" s="688">
        <f>$G$23*$H$23</f>
        <v>637.20000000000005</v>
      </c>
      <c r="J23" s="946"/>
    </row>
    <row r="24" spans="1:10" ht="15" thickBot="1" x14ac:dyDescent="0.35">
      <c r="A24" s="632"/>
      <c r="B24" s="632"/>
      <c r="C24" s="632"/>
      <c r="D24" s="664"/>
      <c r="E24"/>
      <c r="F24" s="633"/>
      <c r="G24" s="633"/>
      <c r="H24" s="633"/>
      <c r="I24" s="633"/>
      <c r="J24" s="632"/>
    </row>
    <row r="25" spans="1:10" x14ac:dyDescent="0.3">
      <c r="A25" s="941" t="s">
        <v>989</v>
      </c>
      <c r="B25" s="385" t="s">
        <v>2438</v>
      </c>
      <c r="C25" s="486">
        <v>25</v>
      </c>
      <c r="D25" s="502">
        <v>2</v>
      </c>
      <c r="E25" s="675">
        <f>C25/D25</f>
        <v>12.5</v>
      </c>
      <c r="F25" s="676">
        <v>1</v>
      </c>
      <c r="G25" s="675">
        <f>'17. IMPLANT'!$D$70</f>
        <v>360</v>
      </c>
      <c r="H25" s="502">
        <v>3</v>
      </c>
      <c r="I25" s="859">
        <f>$G$25*$H$25</f>
        <v>1080</v>
      </c>
      <c r="J25" s="945">
        <f>SUM($H$25:$H$27)</f>
        <v>7</v>
      </c>
    </row>
    <row r="26" spans="1:10" x14ac:dyDescent="0.3">
      <c r="A26" s="943"/>
      <c r="B26" s="389" t="s">
        <v>2439</v>
      </c>
      <c r="C26" s="490">
        <v>25</v>
      </c>
      <c r="D26" s="857">
        <v>2</v>
      </c>
      <c r="E26" s="858">
        <f>C26/D26</f>
        <v>12.5</v>
      </c>
      <c r="F26" s="692">
        <v>1</v>
      </c>
      <c r="G26" s="858">
        <f>'17. IMPLANT'!$D$105</f>
        <v>540</v>
      </c>
      <c r="H26" s="857">
        <v>2</v>
      </c>
      <c r="I26" s="677">
        <f>$G$26*$H$26</f>
        <v>1080</v>
      </c>
      <c r="J26" s="947"/>
    </row>
    <row r="27" spans="1:10" ht="15" thickBot="1" x14ac:dyDescent="0.35">
      <c r="A27" s="942"/>
      <c r="B27" s="387" t="s">
        <v>2437</v>
      </c>
      <c r="C27" s="488">
        <v>25</v>
      </c>
      <c r="D27" s="504">
        <v>2</v>
      </c>
      <c r="E27" s="679">
        <f>C27/D27</f>
        <v>12.5</v>
      </c>
      <c r="F27" s="680">
        <v>1</v>
      </c>
      <c r="G27" s="679">
        <f>'17. IMPLANT'!$D$35</f>
        <v>540</v>
      </c>
      <c r="H27" s="504">
        <v>2</v>
      </c>
      <c r="I27" s="679">
        <f>$G$27*$H$27</f>
        <v>1080</v>
      </c>
      <c r="J27" s="946"/>
    </row>
    <row r="28" spans="1:10" ht="15" thickBot="1" x14ac:dyDescent="0.35">
      <c r="A28" s="632"/>
      <c r="B28" s="632"/>
      <c r="C28" s="632"/>
      <c r="D28" s="664"/>
      <c r="E28"/>
      <c r="F28" s="633"/>
      <c r="G28" s="633"/>
      <c r="H28" s="633"/>
      <c r="I28" s="633"/>
      <c r="J28" s="632"/>
    </row>
    <row r="29" spans="1:10" x14ac:dyDescent="0.3">
      <c r="A29" s="941" t="s">
        <v>1256</v>
      </c>
      <c r="B29" s="385" t="s">
        <v>1861</v>
      </c>
      <c r="C29" s="487">
        <v>15</v>
      </c>
      <c r="D29" s="502">
        <v>2</v>
      </c>
      <c r="E29" s="675">
        <f>C29/D29</f>
        <v>7.5</v>
      </c>
      <c r="F29" s="676">
        <v>100</v>
      </c>
      <c r="G29" s="675">
        <f>'16. THERMAL PROC.'!$D$30</f>
        <v>4920</v>
      </c>
      <c r="H29" s="486">
        <v>1</v>
      </c>
      <c r="I29" s="681">
        <f>$G$29*$H$29</f>
        <v>4920</v>
      </c>
      <c r="J29" s="945">
        <f>SUM($H$29:$H$36)</f>
        <v>11</v>
      </c>
    </row>
    <row r="30" spans="1:10" x14ac:dyDescent="0.3">
      <c r="A30" s="943"/>
      <c r="B30" s="514" t="s">
        <v>1862</v>
      </c>
      <c r="C30" s="487">
        <v>15</v>
      </c>
      <c r="D30" s="666">
        <v>2</v>
      </c>
      <c r="E30" s="677">
        <f t="shared" ref="E30:E36" si="4">C30/D30</f>
        <v>7.5</v>
      </c>
      <c r="F30" s="690">
        <v>100</v>
      </c>
      <c r="G30" s="691">
        <f>'16. THERMAL PROC.'!$D$57</f>
        <v>9960</v>
      </c>
      <c r="H30" s="487">
        <v>1</v>
      </c>
      <c r="I30" s="682">
        <f>$G$30*$H$30</f>
        <v>9960</v>
      </c>
      <c r="J30" s="947"/>
    </row>
    <row r="31" spans="1:10" x14ac:dyDescent="0.3">
      <c r="A31" s="943"/>
      <c r="B31" s="386" t="s">
        <v>2624</v>
      </c>
      <c r="C31" s="487">
        <v>15</v>
      </c>
      <c r="D31" s="666">
        <v>2</v>
      </c>
      <c r="E31" s="677">
        <f t="shared" si="4"/>
        <v>7.5</v>
      </c>
      <c r="F31" s="678">
        <v>100</v>
      </c>
      <c r="G31" s="677">
        <f>'16. THERMAL PROC.'!$D$93</f>
        <v>8520</v>
      </c>
      <c r="H31" s="487">
        <v>1</v>
      </c>
      <c r="I31" s="682">
        <f>$G$31*$H$31</f>
        <v>8520</v>
      </c>
      <c r="J31" s="947"/>
    </row>
    <row r="32" spans="1:10" x14ac:dyDescent="0.3">
      <c r="A32" s="943"/>
      <c r="B32" s="386" t="s">
        <v>2119</v>
      </c>
      <c r="C32" s="487">
        <v>15</v>
      </c>
      <c r="D32" s="666">
        <v>2</v>
      </c>
      <c r="E32" s="677">
        <f t="shared" si="4"/>
        <v>7.5</v>
      </c>
      <c r="F32" s="678">
        <v>1</v>
      </c>
      <c r="G32" s="685">
        <f>'16. THERMAL PROC.'!$D$122</f>
        <v>982</v>
      </c>
      <c r="H32" s="487">
        <v>3</v>
      </c>
      <c r="I32" s="689">
        <f>$G$32*$H$32</f>
        <v>2946</v>
      </c>
      <c r="J32" s="947"/>
    </row>
    <row r="33" spans="1:10" x14ac:dyDescent="0.3">
      <c r="A33" s="943"/>
      <c r="B33" s="386" t="s">
        <v>2120</v>
      </c>
      <c r="C33" s="487">
        <v>15</v>
      </c>
      <c r="D33" s="666">
        <v>2</v>
      </c>
      <c r="E33" s="677">
        <f t="shared" si="4"/>
        <v>7.5</v>
      </c>
      <c r="F33" s="678">
        <v>1</v>
      </c>
      <c r="G33" s="685">
        <f>'16. THERMAL PROC.'!$D$123</f>
        <v>2062</v>
      </c>
      <c r="H33" s="487">
        <v>1</v>
      </c>
      <c r="I33" s="689">
        <f>$G$33*$H$33</f>
        <v>2062</v>
      </c>
      <c r="J33" s="947"/>
    </row>
    <row r="34" spans="1:10" x14ac:dyDescent="0.3">
      <c r="A34" s="943"/>
      <c r="B34" s="386" t="s">
        <v>1510</v>
      </c>
      <c r="C34" s="487">
        <v>15</v>
      </c>
      <c r="D34" s="666">
        <v>2</v>
      </c>
      <c r="E34" s="677">
        <f t="shared" si="4"/>
        <v>7.5</v>
      </c>
      <c r="F34" s="678">
        <v>100</v>
      </c>
      <c r="G34" s="685">
        <f>'16. THERMAL PROC.'!$D$148</f>
        <v>4860</v>
      </c>
      <c r="H34" s="487">
        <v>1</v>
      </c>
      <c r="I34" s="682">
        <f>$G$34*$H$34</f>
        <v>4860</v>
      </c>
      <c r="J34" s="947"/>
    </row>
    <row r="35" spans="1:10" x14ac:dyDescent="0.3">
      <c r="A35" s="943"/>
      <c r="B35" s="386" t="s">
        <v>1172</v>
      </c>
      <c r="C35" s="487">
        <v>34</v>
      </c>
      <c r="D35" s="666">
        <v>2</v>
      </c>
      <c r="E35" s="677">
        <f t="shared" si="4"/>
        <v>17</v>
      </c>
      <c r="F35" s="678">
        <v>1</v>
      </c>
      <c r="G35" s="685">
        <f>'16. THERMAL PROC.'!$D$171</f>
        <v>1308.9969389957473</v>
      </c>
      <c r="H35" s="487">
        <v>2</v>
      </c>
      <c r="I35" s="689">
        <f>$G$35*$H$35</f>
        <v>2617.9938779914946</v>
      </c>
      <c r="J35" s="947"/>
    </row>
    <row r="36" spans="1:10" ht="15" thickBot="1" x14ac:dyDescent="0.35">
      <c r="A36" s="942"/>
      <c r="B36" s="387" t="s">
        <v>1208</v>
      </c>
      <c r="C36" s="488">
        <v>3</v>
      </c>
      <c r="D36" s="504">
        <v>2</v>
      </c>
      <c r="E36" s="679">
        <f t="shared" si="4"/>
        <v>1.5</v>
      </c>
      <c r="F36" s="680">
        <v>100</v>
      </c>
      <c r="G36" s="679">
        <f>'16. THERMAL PROC.'!$D$189</f>
        <v>7620</v>
      </c>
      <c r="H36" s="488">
        <v>1</v>
      </c>
      <c r="I36" s="683">
        <f>$G$36*$H$36</f>
        <v>7620</v>
      </c>
      <c r="J36" s="946"/>
    </row>
    <row r="37" spans="1:10" ht="15" thickBot="1" x14ac:dyDescent="0.35">
      <c r="A37" s="632"/>
      <c r="B37" s="632"/>
      <c r="C37" s="632"/>
      <c r="D37" s="664"/>
      <c r="E37"/>
      <c r="F37" s="633"/>
      <c r="G37" s="633"/>
      <c r="H37" s="633"/>
      <c r="I37" s="633"/>
      <c r="J37" s="632"/>
    </row>
    <row r="38" spans="1:10" x14ac:dyDescent="0.3">
      <c r="A38" s="941" t="s">
        <v>1500</v>
      </c>
      <c r="B38" s="385" t="s">
        <v>2139</v>
      </c>
      <c r="C38" s="486">
        <v>34</v>
      </c>
      <c r="D38" s="502">
        <v>2</v>
      </c>
      <c r="E38" s="675">
        <f>C38/D38</f>
        <v>17</v>
      </c>
      <c r="F38" s="676">
        <v>1</v>
      </c>
      <c r="G38" s="675">
        <f>'19. PVD'!$D$70</f>
        <v>240</v>
      </c>
      <c r="H38" s="486">
        <v>2</v>
      </c>
      <c r="I38" s="681">
        <f>$G$38</f>
        <v>240</v>
      </c>
      <c r="J38" s="945">
        <f>SUM($H$38:$H$41)</f>
        <v>6</v>
      </c>
    </row>
    <row r="39" spans="1:10" x14ac:dyDescent="0.3">
      <c r="A39" s="943"/>
      <c r="B39" s="386" t="s">
        <v>2140</v>
      </c>
      <c r="C39" s="487">
        <v>34</v>
      </c>
      <c r="D39" s="666">
        <v>2</v>
      </c>
      <c r="E39" s="677">
        <f t="shared" ref="E39:E41" si="5">C39/D39</f>
        <v>17</v>
      </c>
      <c r="F39" s="678">
        <v>1</v>
      </c>
      <c r="G39" s="685">
        <f>'19. PVD'!$D$36</f>
        <v>405.0632911392405</v>
      </c>
      <c r="H39" s="487">
        <v>2</v>
      </c>
      <c r="I39" s="689">
        <f>G39</f>
        <v>405.0632911392405</v>
      </c>
      <c r="J39" s="947"/>
    </row>
    <row r="40" spans="1:10" x14ac:dyDescent="0.3">
      <c r="A40" s="943"/>
      <c r="B40" s="386" t="s">
        <v>2141</v>
      </c>
      <c r="C40" s="487">
        <v>34</v>
      </c>
      <c r="D40" s="666">
        <v>2</v>
      </c>
      <c r="E40" s="677">
        <f t="shared" si="5"/>
        <v>17</v>
      </c>
      <c r="F40" s="678">
        <v>1</v>
      </c>
      <c r="G40" s="677">
        <f>'19. PVD'!$D$102</f>
        <v>180</v>
      </c>
      <c r="H40" s="487">
        <v>1</v>
      </c>
      <c r="I40" s="689">
        <f>G40*H40</f>
        <v>180</v>
      </c>
      <c r="J40" s="947"/>
    </row>
    <row r="41" spans="1:10" ht="15" thickBot="1" x14ac:dyDescent="0.35">
      <c r="A41" s="942"/>
      <c r="B41" s="387" t="s">
        <v>2142</v>
      </c>
      <c r="C41" s="488">
        <v>34</v>
      </c>
      <c r="D41" s="504">
        <v>2</v>
      </c>
      <c r="E41" s="679">
        <f t="shared" si="5"/>
        <v>17</v>
      </c>
      <c r="F41" s="680">
        <v>1</v>
      </c>
      <c r="G41" s="687">
        <f>'19. PVD'!$D$134</f>
        <v>117.64705882352942</v>
      </c>
      <c r="H41" s="488">
        <v>1</v>
      </c>
      <c r="I41" s="688">
        <f>G41*H41</f>
        <v>117.64705882352942</v>
      </c>
      <c r="J41" s="946"/>
    </row>
    <row r="42" spans="1:10" ht="15" thickBot="1" x14ac:dyDescent="0.35">
      <c r="A42" s="632"/>
      <c r="B42" s="632"/>
      <c r="C42" s="632"/>
      <c r="D42" s="664"/>
      <c r="E42"/>
      <c r="F42" s="633"/>
      <c r="G42" s="633"/>
      <c r="H42" s="633"/>
      <c r="I42" s="633"/>
      <c r="J42" s="632"/>
    </row>
    <row r="43" spans="1:10" x14ac:dyDescent="0.3">
      <c r="A43" s="941" t="s">
        <v>1501</v>
      </c>
      <c r="B43" s="385" t="s">
        <v>1212</v>
      </c>
      <c r="C43" s="486">
        <v>14.6</v>
      </c>
      <c r="D43" s="502">
        <v>2</v>
      </c>
      <c r="E43" s="675">
        <f>C43/D43</f>
        <v>7.3</v>
      </c>
      <c r="F43" s="676">
        <v>100</v>
      </c>
      <c r="G43" s="675">
        <f>'18. CVD'!$D$64</f>
        <v>1500</v>
      </c>
      <c r="H43" s="486">
        <v>1</v>
      </c>
      <c r="I43" s="681">
        <f>$G$43*$H$43</f>
        <v>1500</v>
      </c>
      <c r="J43" s="945">
        <f>SUM($H$43:$H$47)</f>
        <v>7</v>
      </c>
    </row>
    <row r="44" spans="1:10" x14ac:dyDescent="0.3">
      <c r="A44" s="943"/>
      <c r="B44" s="389" t="s">
        <v>1213</v>
      </c>
      <c r="C44" s="490">
        <v>14.6</v>
      </c>
      <c r="D44" s="666">
        <v>2</v>
      </c>
      <c r="E44" s="677">
        <f t="shared" ref="E44:E47" si="6">C44/D44</f>
        <v>7.3</v>
      </c>
      <c r="F44" s="692">
        <v>100</v>
      </c>
      <c r="G44" s="677">
        <f>'18. CVD'!$D$115</f>
        <v>2580</v>
      </c>
      <c r="H44" s="487">
        <v>1</v>
      </c>
      <c r="I44" s="682">
        <f>$G$44*$H$44</f>
        <v>2580</v>
      </c>
      <c r="J44" s="947"/>
    </row>
    <row r="45" spans="1:10" x14ac:dyDescent="0.3">
      <c r="A45" s="943"/>
      <c r="B45" s="386" t="s">
        <v>1214</v>
      </c>
      <c r="C45" s="487">
        <v>14.6</v>
      </c>
      <c r="D45" s="666">
        <v>2</v>
      </c>
      <c r="E45" s="677">
        <f t="shared" si="6"/>
        <v>7.3</v>
      </c>
      <c r="F45" s="678">
        <v>100</v>
      </c>
      <c r="G45" s="677">
        <f>'18. CVD'!$D$163</f>
        <v>1680</v>
      </c>
      <c r="H45" s="487">
        <v>1</v>
      </c>
      <c r="I45" s="682">
        <f>$G$45*$H$45</f>
        <v>1680</v>
      </c>
      <c r="J45" s="947"/>
    </row>
    <row r="46" spans="1:10" x14ac:dyDescent="0.3">
      <c r="A46" s="943"/>
      <c r="B46" s="388" t="s">
        <v>1215</v>
      </c>
      <c r="C46" s="489">
        <v>15</v>
      </c>
      <c r="D46" s="666">
        <v>2</v>
      </c>
      <c r="E46" s="677">
        <f t="shared" si="6"/>
        <v>7.5</v>
      </c>
      <c r="F46" s="686">
        <v>1</v>
      </c>
      <c r="G46" s="677">
        <f>'18. CVD'!$D$218</f>
        <v>1680</v>
      </c>
      <c r="H46" s="487">
        <v>3</v>
      </c>
      <c r="I46" s="682">
        <f>$G$46</f>
        <v>1680</v>
      </c>
      <c r="J46" s="947"/>
    </row>
    <row r="47" spans="1:10" ht="15" thickBot="1" x14ac:dyDescent="0.35">
      <c r="A47" s="942"/>
      <c r="B47" s="387" t="s">
        <v>2608</v>
      </c>
      <c r="C47" s="488">
        <v>14.6</v>
      </c>
      <c r="D47" s="504">
        <v>2</v>
      </c>
      <c r="E47" s="679">
        <f t="shared" si="6"/>
        <v>7.3</v>
      </c>
      <c r="F47" s="680">
        <v>100</v>
      </c>
      <c r="G47" s="679">
        <f>'18. CVD'!$D$275</f>
        <v>765</v>
      </c>
      <c r="H47" s="488">
        <v>1</v>
      </c>
      <c r="I47" s="683">
        <f>$G$47*$H$47</f>
        <v>765</v>
      </c>
      <c r="J47" s="946"/>
    </row>
    <row r="48" spans="1:10" ht="15" thickBot="1" x14ac:dyDescent="0.35">
      <c r="A48" s="632"/>
      <c r="B48" s="632"/>
      <c r="C48" s="632"/>
      <c r="D48" s="664"/>
      <c r="E48"/>
      <c r="F48" s="633"/>
      <c r="G48" s="633"/>
      <c r="H48" s="633"/>
      <c r="I48" s="633"/>
      <c r="J48" s="632"/>
    </row>
    <row r="49" spans="1:10" x14ac:dyDescent="0.3">
      <c r="A49" s="941" t="s">
        <v>177</v>
      </c>
      <c r="B49" s="385" t="s">
        <v>1216</v>
      </c>
      <c r="C49" s="486">
        <v>9</v>
      </c>
      <c r="D49" s="502">
        <v>2</v>
      </c>
      <c r="E49" s="675">
        <f>C49/D49</f>
        <v>4.5</v>
      </c>
      <c r="F49" s="676">
        <v>1</v>
      </c>
      <c r="G49" s="675">
        <f>'20. CMP'!$D$39</f>
        <v>300</v>
      </c>
      <c r="H49" s="486">
        <v>2</v>
      </c>
      <c r="I49" s="681">
        <f>$G$49*$H$49</f>
        <v>600</v>
      </c>
      <c r="J49" s="945">
        <f>SUM($H$49:$H$51)</f>
        <v>6</v>
      </c>
    </row>
    <row r="50" spans="1:10" x14ac:dyDescent="0.3">
      <c r="A50" s="943"/>
      <c r="B50" s="388" t="s">
        <v>1217</v>
      </c>
      <c r="C50" s="489">
        <v>9</v>
      </c>
      <c r="D50" s="666">
        <v>2</v>
      </c>
      <c r="E50" s="677">
        <f t="shared" ref="E50:E51" si="7">C50/D50</f>
        <v>4.5</v>
      </c>
      <c r="F50" s="678">
        <v>1</v>
      </c>
      <c r="G50" s="677">
        <f>'20. CMP'!$D$72</f>
        <v>300</v>
      </c>
      <c r="H50" s="487">
        <v>1</v>
      </c>
      <c r="I50" s="682">
        <f>$G$50*$H$50</f>
        <v>300</v>
      </c>
      <c r="J50" s="947"/>
    </row>
    <row r="51" spans="1:10" ht="15" thickBot="1" x14ac:dyDescent="0.35">
      <c r="A51" s="942"/>
      <c r="B51" s="387" t="s">
        <v>1202</v>
      </c>
      <c r="C51" s="488">
        <v>1.8</v>
      </c>
      <c r="D51" s="504">
        <v>2</v>
      </c>
      <c r="E51" s="679">
        <f t="shared" si="7"/>
        <v>0.9</v>
      </c>
      <c r="F51" s="680">
        <v>1</v>
      </c>
      <c r="G51" s="679">
        <f>'20. CMP'!$D$106</f>
        <v>180</v>
      </c>
      <c r="H51" s="488">
        <v>3</v>
      </c>
      <c r="I51" s="683">
        <f>$G$51*$H$51</f>
        <v>540</v>
      </c>
      <c r="J51" s="946"/>
    </row>
    <row r="52" spans="1:10" ht="15" thickBot="1" x14ac:dyDescent="0.35">
      <c r="A52" s="632"/>
      <c r="B52" s="632"/>
      <c r="C52" s="632"/>
      <c r="D52" s="664"/>
      <c r="E52"/>
      <c r="F52" s="633"/>
      <c r="G52" s="633"/>
      <c r="H52" s="633"/>
      <c r="I52" s="633"/>
      <c r="J52" s="632"/>
    </row>
    <row r="53" spans="1:10" x14ac:dyDescent="0.3">
      <c r="A53" s="941" t="s">
        <v>1497</v>
      </c>
      <c r="B53" s="385" t="s">
        <v>1218</v>
      </c>
      <c r="C53" s="486">
        <v>14.4</v>
      </c>
      <c r="D53" s="502">
        <v>2</v>
      </c>
      <c r="E53" s="675">
        <f>C53/D53</f>
        <v>7.2</v>
      </c>
      <c r="F53" s="676">
        <v>1</v>
      </c>
      <c r="G53" s="684">
        <f>'21. THINNING'!$D$29</f>
        <v>120</v>
      </c>
      <c r="H53" s="486">
        <v>1</v>
      </c>
      <c r="I53" s="681">
        <f>$G$53*$H$53</f>
        <v>120</v>
      </c>
      <c r="J53" s="945">
        <f>SUM($H$53,$H$54)</f>
        <v>2</v>
      </c>
    </row>
    <row r="54" spans="1:10" ht="15" thickBot="1" x14ac:dyDescent="0.35">
      <c r="A54" s="942"/>
      <c r="B54" s="387" t="s">
        <v>1219</v>
      </c>
      <c r="C54" s="488">
        <v>12</v>
      </c>
      <c r="D54" s="504">
        <v>2</v>
      </c>
      <c r="E54" s="679">
        <f t="shared" ref="E54" si="8">C54/D54</f>
        <v>6</v>
      </c>
      <c r="F54" s="680">
        <v>1</v>
      </c>
      <c r="G54" s="687">
        <f>'21. THINNING'!$D$56</f>
        <v>417.72727272727269</v>
      </c>
      <c r="H54" s="488">
        <v>1</v>
      </c>
      <c r="I54" s="688">
        <f>$G$54*$H$54</f>
        <v>417.72727272727269</v>
      </c>
      <c r="J54" s="946"/>
    </row>
    <row r="55" spans="1:10" ht="15" thickBot="1" x14ac:dyDescent="0.35">
      <c r="A55" s="633"/>
      <c r="B55" s="633"/>
      <c r="C55" s="633"/>
      <c r="D55" s="665"/>
      <c r="E55"/>
      <c r="F55" s="633"/>
      <c r="G55" s="633"/>
      <c r="H55" s="633"/>
      <c r="I55" s="633"/>
      <c r="J55" s="633"/>
    </row>
    <row r="56" spans="1:10" x14ac:dyDescent="0.3">
      <c r="A56" s="939" t="s">
        <v>1498</v>
      </c>
      <c r="B56" s="714" t="s">
        <v>2196</v>
      </c>
      <c r="C56" s="502">
        <v>14.4</v>
      </c>
      <c r="D56" s="486">
        <v>2</v>
      </c>
      <c r="E56" s="675">
        <f>C56/D56</f>
        <v>7.2</v>
      </c>
      <c r="F56" s="675">
        <v>1</v>
      </c>
      <c r="G56" s="684">
        <f>'22. DICING'!$D$26</f>
        <v>240</v>
      </c>
      <c r="H56" s="486">
        <v>1</v>
      </c>
      <c r="I56" s="675">
        <f>$G$56*$H$56</f>
        <v>240</v>
      </c>
      <c r="J56" s="945">
        <f>SUM($H$56:$H$57)</f>
        <v>2</v>
      </c>
    </row>
    <row r="57" spans="1:10" ht="15" thickBot="1" x14ac:dyDescent="0.35">
      <c r="A57" s="940"/>
      <c r="B57" s="715" t="s">
        <v>1220</v>
      </c>
      <c r="C57" s="716">
        <v>6</v>
      </c>
      <c r="D57" s="711">
        <v>2</v>
      </c>
      <c r="E57" s="712">
        <f>C57/D57</f>
        <v>3</v>
      </c>
      <c r="F57" s="712">
        <v>1</v>
      </c>
      <c r="G57" s="713">
        <f>'22. DICING'!$D$49</f>
        <v>362.66666666666663</v>
      </c>
      <c r="H57" s="711">
        <v>1</v>
      </c>
      <c r="I57" s="713">
        <f>$G$57*$H$57</f>
        <v>362.66666666666663</v>
      </c>
      <c r="J57" s="946"/>
    </row>
    <row r="58" spans="1:10" ht="15" thickBot="1" x14ac:dyDescent="0.35">
      <c r="A58" s="629"/>
      <c r="B58" s="630"/>
      <c r="C58" s="630"/>
      <c r="D58" s="664"/>
      <c r="E58"/>
      <c r="F58" s="630"/>
      <c r="G58" s="630"/>
      <c r="H58" s="630"/>
      <c r="I58" s="630"/>
      <c r="J58" s="631"/>
    </row>
    <row r="59" spans="1:10" x14ac:dyDescent="0.3">
      <c r="A59" s="944" t="s">
        <v>1499</v>
      </c>
      <c r="B59" s="222" t="s">
        <v>1838</v>
      </c>
      <c r="C59" s="487">
        <v>6</v>
      </c>
      <c r="D59" s="502">
        <v>2</v>
      </c>
      <c r="E59" s="675">
        <f>C59/D59</f>
        <v>3</v>
      </c>
      <c r="F59" s="676">
        <v>1</v>
      </c>
      <c r="G59" s="675">
        <f>'23. PROBING'!$D$21</f>
        <v>120</v>
      </c>
      <c r="H59" s="486">
        <v>1</v>
      </c>
      <c r="I59" s="681">
        <f>$H$59*$G$59</f>
        <v>120</v>
      </c>
      <c r="J59" s="945">
        <f>SUM(H59:H60)</f>
        <v>2</v>
      </c>
    </row>
    <row r="60" spans="1:10" ht="15" thickBot="1" x14ac:dyDescent="0.35">
      <c r="A60" s="940"/>
      <c r="B60" s="223" t="s">
        <v>1839</v>
      </c>
      <c r="C60" s="488">
        <v>6</v>
      </c>
      <c r="D60" s="504">
        <v>2</v>
      </c>
      <c r="E60" s="679">
        <f>C60/D60</f>
        <v>3</v>
      </c>
      <c r="F60" s="680">
        <v>1</v>
      </c>
      <c r="G60" s="679">
        <f>'23. PROBING'!$D$42</f>
        <v>1092</v>
      </c>
      <c r="H60" s="488">
        <v>1</v>
      </c>
      <c r="I60" s="683">
        <f>$H$60*$G$60</f>
        <v>1092</v>
      </c>
      <c r="J60" s="946"/>
    </row>
    <row r="61" spans="1:10" ht="15" thickBot="1" x14ac:dyDescent="0.35">
      <c r="A61" s="632"/>
      <c r="B61" s="632"/>
      <c r="C61" s="632"/>
      <c r="D61" s="664"/>
      <c r="E61" s="632"/>
      <c r="F61" s="632"/>
      <c r="G61" s="632"/>
      <c r="H61" s="632"/>
      <c r="I61" s="632"/>
      <c r="J61" s="632"/>
    </row>
    <row r="62" spans="1:10" ht="15" thickBot="1" x14ac:dyDescent="0.35">
      <c r="A62" s="1007" t="s">
        <v>1221</v>
      </c>
      <c r="B62" s="1008"/>
      <c r="C62" s="1008"/>
      <c r="D62" s="1008"/>
      <c r="E62" s="1008"/>
      <c r="F62" s="1008"/>
      <c r="G62" s="1008"/>
      <c r="H62" s="1012">
        <f>SUM($H$4:$H$60)</f>
        <v>113</v>
      </c>
      <c r="I62" s="1013"/>
      <c r="J62" s="1014"/>
    </row>
    <row r="63" spans="1:10" ht="15" thickBot="1" x14ac:dyDescent="0.35">
      <c r="A63" s="1007" t="s">
        <v>1903</v>
      </c>
      <c r="B63" s="1008"/>
      <c r="C63" s="1008"/>
      <c r="D63" s="1008"/>
      <c r="E63" s="1008"/>
      <c r="F63" s="1008"/>
      <c r="G63" s="1008"/>
      <c r="H63" s="1009">
        <f>SUM($I$4:$I$6,$I$8:$I$11,$I$13:$I$17,$I$19:$I$23,$I$25:$I$27,$I$29:$I$36,$I$38:$I$41,$I$43:$I$47,$I$49:$I$51,$I$53:$I$54,$I$56:$I$57,$I$59:$I$60)/3600</f>
        <v>24.671471713152282</v>
      </c>
      <c r="I63" s="1010"/>
      <c r="J63" s="1011"/>
    </row>
  </sheetData>
  <mergeCells count="4">
    <mergeCell ref="A62:G62"/>
    <mergeCell ref="A63:G63"/>
    <mergeCell ref="H63:J63"/>
    <mergeCell ref="H62:J62"/>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1FA92-3A5F-49FF-8C41-E904E0A8FD58}">
  <sheetPr>
    <tabColor rgb="FFFFFF00"/>
  </sheetPr>
  <dimension ref="A1:X377"/>
  <sheetViews>
    <sheetView topLeftCell="A298" zoomScale="85" zoomScaleNormal="85" workbookViewId="0"/>
  </sheetViews>
  <sheetFormatPr baseColWidth="10" defaultRowHeight="14.4" x14ac:dyDescent="0.3"/>
  <cols>
    <col min="1" max="1" width="67.109375" bestFit="1" customWidth="1"/>
    <col min="2" max="2" width="31.6640625" style="36" bestFit="1" customWidth="1"/>
    <col min="3" max="3" width="13" bestFit="1" customWidth="1"/>
    <col min="4" max="4" width="21.109375" bestFit="1" customWidth="1"/>
    <col min="5" max="5" width="52.109375" style="36" bestFit="1" customWidth="1"/>
    <col min="6" max="6" width="22.88671875" bestFit="1" customWidth="1"/>
    <col min="7" max="7" width="26.109375" bestFit="1" customWidth="1"/>
    <col min="8" max="8" width="17.109375" customWidth="1"/>
    <col min="9" max="9" width="15.21875" style="36" customWidth="1"/>
    <col min="10" max="10" width="11.5546875" style="36" customWidth="1"/>
    <col min="11" max="11" width="12" style="36" bestFit="1" customWidth="1"/>
    <col min="12" max="12" width="11.5546875" style="36"/>
    <col min="13" max="13" width="2.44140625" style="36" bestFit="1" customWidth="1"/>
    <col min="14" max="15" width="2.109375" style="36" bestFit="1" customWidth="1"/>
    <col min="16" max="16" width="2.5546875" style="36" bestFit="1" customWidth="1"/>
    <col min="17" max="17" width="2.109375" style="36" bestFit="1" customWidth="1"/>
    <col min="18" max="21" width="6.88671875" style="36" bestFit="1" customWidth="1"/>
    <col min="22" max="22" width="6" style="36" bestFit="1" customWidth="1"/>
    <col min="23" max="23" width="7.44140625" style="36" bestFit="1" customWidth="1"/>
    <col min="24" max="24" width="6.109375" style="36" bestFit="1" customWidth="1"/>
  </cols>
  <sheetData>
    <row r="1" spans="1:24" x14ac:dyDescent="0.3">
      <c r="A1" t="s">
        <v>359</v>
      </c>
      <c r="B1" s="36" t="s">
        <v>360</v>
      </c>
    </row>
    <row r="2" spans="1:24" ht="15" thickBot="1" x14ac:dyDescent="0.35">
      <c r="A2" t="s">
        <v>584</v>
      </c>
      <c r="B2" s="36">
        <v>12</v>
      </c>
    </row>
    <row r="3" spans="1:24" ht="30" customHeight="1" thickBot="1" x14ac:dyDescent="0.35">
      <c r="A3" s="178" t="s">
        <v>326</v>
      </c>
      <c r="B3" s="179" t="s">
        <v>839</v>
      </c>
      <c r="C3" s="57"/>
      <c r="D3" s="57"/>
      <c r="E3" s="59"/>
      <c r="F3" s="57"/>
      <c r="G3" s="57"/>
      <c r="H3" s="57"/>
      <c r="I3" s="59"/>
      <c r="J3" s="59"/>
      <c r="K3" s="59"/>
      <c r="L3" s="59"/>
      <c r="M3" s="59"/>
      <c r="N3" s="59"/>
      <c r="O3" s="59"/>
      <c r="P3" s="59"/>
      <c r="Q3" s="59"/>
      <c r="R3" s="59"/>
      <c r="S3" s="59"/>
      <c r="T3" s="59"/>
      <c r="U3" s="59"/>
      <c r="V3" s="59"/>
      <c r="W3" s="59"/>
      <c r="X3" s="60"/>
    </row>
    <row r="4" spans="1:24" x14ac:dyDescent="0.3">
      <c r="A4" s="54" t="s">
        <v>163</v>
      </c>
      <c r="B4" s="56" t="s">
        <v>371</v>
      </c>
      <c r="C4" s="56"/>
      <c r="D4" s="56"/>
      <c r="E4" s="61"/>
      <c r="F4" s="56"/>
      <c r="G4" s="56"/>
      <c r="H4" s="56"/>
      <c r="I4" s="61"/>
      <c r="J4" s="61"/>
      <c r="K4" s="61"/>
      <c r="L4" s="61"/>
      <c r="M4" s="61"/>
      <c r="N4" s="61"/>
      <c r="O4" s="61"/>
      <c r="P4" s="61"/>
      <c r="Q4" s="61"/>
      <c r="R4" s="61"/>
      <c r="S4" s="61"/>
      <c r="T4" s="61"/>
      <c r="U4" s="61"/>
      <c r="V4" s="61"/>
      <c r="W4" s="61"/>
      <c r="X4" s="62"/>
    </row>
    <row r="5" spans="1:24" x14ac:dyDescent="0.3">
      <c r="A5" s="54" t="s">
        <v>227</v>
      </c>
      <c r="B5" s="56" t="s">
        <v>156</v>
      </c>
      <c r="C5" s="56"/>
      <c r="D5" s="56"/>
      <c r="E5" s="61"/>
      <c r="F5" s="56"/>
      <c r="G5" s="56"/>
      <c r="H5" s="56"/>
      <c r="I5" s="61"/>
      <c r="J5" s="61"/>
      <c r="K5" s="61"/>
      <c r="L5" s="61"/>
      <c r="M5" s="61"/>
      <c r="N5" s="61"/>
      <c r="O5" s="61"/>
      <c r="P5" s="61"/>
      <c r="Q5" s="61"/>
      <c r="R5" s="61"/>
      <c r="S5" s="61"/>
      <c r="T5" s="61"/>
      <c r="U5" s="61"/>
      <c r="V5" s="61"/>
      <c r="W5" s="61"/>
      <c r="X5" s="62"/>
    </row>
    <row r="6" spans="1:24" x14ac:dyDescent="0.3">
      <c r="A6" s="54" t="s">
        <v>428</v>
      </c>
      <c r="B6" s="61">
        <v>1</v>
      </c>
      <c r="C6" s="56"/>
      <c r="D6" s="56"/>
      <c r="E6" s="61"/>
      <c r="F6" s="56"/>
      <c r="G6" s="56"/>
      <c r="H6" s="56"/>
      <c r="I6" s="61"/>
      <c r="J6" s="61"/>
      <c r="K6" s="61"/>
      <c r="L6" s="61"/>
      <c r="M6" s="61"/>
      <c r="N6" s="61"/>
      <c r="O6" s="61"/>
      <c r="P6" s="61"/>
      <c r="Q6" s="61"/>
      <c r="R6" s="61"/>
      <c r="S6" s="61"/>
      <c r="T6" s="61"/>
      <c r="U6" s="61"/>
      <c r="V6" s="61"/>
      <c r="W6" s="61"/>
      <c r="X6" s="62"/>
    </row>
    <row r="7" spans="1:24" x14ac:dyDescent="0.3">
      <c r="A7" s="54" t="s">
        <v>147</v>
      </c>
      <c r="B7" s="56" t="s">
        <v>717</v>
      </c>
      <c r="C7" s="56"/>
      <c r="D7" s="56"/>
      <c r="E7" s="61"/>
      <c r="F7" s="56"/>
      <c r="G7" s="56"/>
      <c r="H7" s="56"/>
      <c r="I7" s="61"/>
      <c r="J7" s="61"/>
      <c r="K7" s="61"/>
      <c r="L7" s="61"/>
      <c r="M7" s="61"/>
      <c r="N7" s="61"/>
      <c r="O7" s="61"/>
      <c r="P7" s="61"/>
      <c r="Q7" s="61"/>
      <c r="R7" s="61"/>
      <c r="S7" s="61"/>
      <c r="T7" s="61"/>
      <c r="U7" s="61"/>
      <c r="V7" s="61"/>
      <c r="W7" s="61"/>
      <c r="X7" s="62"/>
    </row>
    <row r="8" spans="1:24" x14ac:dyDescent="0.3">
      <c r="A8" s="54" t="s">
        <v>327</v>
      </c>
      <c r="B8" s="61" t="s">
        <v>134</v>
      </c>
      <c r="C8" s="56"/>
      <c r="D8" s="56"/>
      <c r="E8" s="61"/>
      <c r="F8" s="56"/>
      <c r="G8" s="56"/>
      <c r="H8" s="56"/>
      <c r="I8" s="61"/>
      <c r="J8" s="61"/>
      <c r="K8" s="61"/>
      <c r="L8" s="61"/>
      <c r="M8" s="61"/>
      <c r="N8" s="61"/>
      <c r="O8" s="61"/>
      <c r="P8" s="61"/>
      <c r="Q8" s="61"/>
      <c r="R8" s="61"/>
      <c r="S8" s="61"/>
      <c r="T8" s="61"/>
      <c r="U8" s="61"/>
      <c r="V8" s="61"/>
      <c r="W8" s="61"/>
      <c r="X8" s="62"/>
    </row>
    <row r="9" spans="1:24" x14ac:dyDescent="0.3">
      <c r="A9" s="54" t="s">
        <v>224</v>
      </c>
      <c r="B9" s="56" t="s">
        <v>224</v>
      </c>
      <c r="C9" s="56"/>
      <c r="D9" s="56"/>
      <c r="E9" s="61"/>
      <c r="F9" s="56"/>
      <c r="G9" s="56"/>
      <c r="H9" s="56"/>
      <c r="I9" s="61"/>
      <c r="J9" s="61"/>
      <c r="K9" s="61"/>
      <c r="L9" s="61"/>
      <c r="M9" s="61"/>
      <c r="N9" s="61"/>
      <c r="O9" s="61"/>
      <c r="P9" s="61"/>
      <c r="Q9" s="61"/>
      <c r="R9" s="61"/>
      <c r="S9" s="61"/>
      <c r="T9" s="61"/>
      <c r="U9" s="61"/>
      <c r="V9" s="61"/>
      <c r="W9" s="61"/>
      <c r="X9" s="62"/>
    </row>
    <row r="10" spans="1:24" ht="15.6" x14ac:dyDescent="0.3">
      <c r="A10" s="55" t="s">
        <v>328</v>
      </c>
      <c r="B10" s="61"/>
      <c r="C10" s="56"/>
      <c r="D10" s="56"/>
      <c r="E10" s="61"/>
      <c r="F10" s="56"/>
      <c r="G10" s="56"/>
      <c r="H10" s="56"/>
      <c r="I10" s="61"/>
      <c r="J10" s="61"/>
      <c r="K10" s="61"/>
      <c r="L10" s="61"/>
      <c r="M10" s="61"/>
      <c r="N10" s="61"/>
      <c r="O10" s="61"/>
      <c r="P10" s="61"/>
      <c r="Q10" s="61"/>
      <c r="R10" s="61"/>
      <c r="S10" s="61"/>
      <c r="T10" s="61"/>
      <c r="U10" s="61"/>
      <c r="V10" s="61"/>
      <c r="W10" s="61"/>
      <c r="X10" s="62"/>
    </row>
    <row r="11" spans="1:24" x14ac:dyDescent="0.3">
      <c r="A11" s="54" t="s">
        <v>329</v>
      </c>
      <c r="B11" s="61" t="s">
        <v>330</v>
      </c>
      <c r="C11" s="56" t="s">
        <v>224</v>
      </c>
      <c r="D11" s="56" t="s">
        <v>331</v>
      </c>
      <c r="E11" s="61" t="s">
        <v>147</v>
      </c>
      <c r="F11" s="56" t="s">
        <v>332</v>
      </c>
      <c r="G11" s="56" t="s">
        <v>227</v>
      </c>
      <c r="H11" s="56" t="s">
        <v>327</v>
      </c>
      <c r="I11" s="61" t="s">
        <v>372</v>
      </c>
      <c r="J11" s="61" t="s">
        <v>373</v>
      </c>
      <c r="K11" s="61" t="s">
        <v>374</v>
      </c>
      <c r="L11" s="61" t="s">
        <v>148</v>
      </c>
      <c r="M11" s="61" t="s">
        <v>585</v>
      </c>
      <c r="N11" s="61" t="s">
        <v>586</v>
      </c>
      <c r="O11" s="61" t="s">
        <v>587</v>
      </c>
      <c r="P11" s="61" t="s">
        <v>220</v>
      </c>
      <c r="Q11" s="61" t="s">
        <v>588</v>
      </c>
      <c r="R11" s="61" t="s">
        <v>590</v>
      </c>
      <c r="S11" s="61" t="s">
        <v>591</v>
      </c>
      <c r="T11" s="61" t="s">
        <v>592</v>
      </c>
      <c r="U11" s="61" t="s">
        <v>593</v>
      </c>
      <c r="V11" s="61" t="s">
        <v>594</v>
      </c>
      <c r="W11" s="61" t="s">
        <v>595</v>
      </c>
      <c r="X11" s="62" t="s">
        <v>589</v>
      </c>
    </row>
    <row r="12" spans="1:24" x14ac:dyDescent="0.3">
      <c r="A12" s="285" t="str">
        <f>IF($G$12='4. INPUTS LIST'!$B$3,'4. INPUTS LIST'!$C$3, IF($G$12='4. INPUTS LIST'!$B$4,'4. INPUTS LIST'!$C$4, IF($G$12='4. INPUTS LIST'!$B$5,'4. INPUTS LIST'!$C$5, IF($G$12='4. INPUTS LIST'!$B$6,'4. INPUTS LIST'!$C$6, IF($G$12='4. INPUTS LIST'!$B$7,'4. INPUTS LIST'!$C$7, IF($G$12='4. INPUTS LIST'!$B$8,'4. INPUTS LIST'!$C$8, IF($G$12='4. INPUTS LIST'!$B$9,'4. INPUTS LIST'!$C$9, IF($G$12='4. INPUTS LIST'!$B$10,'4. INPUTS LIST'!$C$10, IF($G$12='4. INPUTS LIST'!$B$11,'4. INPUTS LIST'!$C$11, IF($G$12='4. INPUTS LIST'!$B$12,'4. INPUTS LIST'!$C$12))))))))))</f>
        <v>market for electricity, medium voltage</v>
      </c>
      <c r="B12" s="297">
        <f>'11. RAW WF PROD.'!$D$32</f>
        <v>0.48496365535673341</v>
      </c>
      <c r="C12" s="3" t="s">
        <v>342</v>
      </c>
      <c r="D12" s="3" t="s">
        <v>385</v>
      </c>
      <c r="E12" s="58" t="str">
        <f>IF($A$12='4. INPUTS LIST'!$C$3,'4. INPUTS LIST'!$D$3, IF($A$12='4. INPUTS LIST'!$C$7, '4. INPUTS LIST'!$D$7, IF($A$12='4. INPUTS LIST'!$C$12,'4. INPUTS LIST'!$D$12)))</f>
        <v>electricity, medium voltage</v>
      </c>
      <c r="F12" s="3" t="s">
        <v>371</v>
      </c>
      <c r="G12" s="3" t="str">
        <f>'1. USER INPUTS'!$E$24</f>
        <v>JP</v>
      </c>
      <c r="H12" s="3" t="s">
        <v>154</v>
      </c>
      <c r="I12" s="58">
        <v>2</v>
      </c>
      <c r="J12" s="58">
        <f>IF(B12=0,"(Unknown)",LN((ABS(B12))))</f>
        <v>-0.72368132826139886</v>
      </c>
      <c r="K12" s="58">
        <f>IF(B12&gt;0,SQRT(LN(L12)),"(Unknown)")</f>
        <v>0.47591494309185384</v>
      </c>
      <c r="L12" s="90">
        <f>IF(B12&gt;0,(EXP(SQRT((LN(X12))^2+(LN(R12))^2+(LN(S12))^2+(LN(T12))^2+(LN(U12))^2+(LN(V12))^2))),"(Unknown)")</f>
        <v>1.2541963802979088</v>
      </c>
      <c r="M12" s="58">
        <v>4</v>
      </c>
      <c r="N12" s="58">
        <v>4</v>
      </c>
      <c r="O12" s="58">
        <v>5</v>
      </c>
      <c r="P12" s="58">
        <v>3</v>
      </c>
      <c r="Q12" s="58">
        <v>2</v>
      </c>
      <c r="R12" s="58">
        <f>IF(M12=1, '6. PEDIGREE MATRIX'!$B$4, IF(M12=2, '6. PEDIGREE MATRIX'!$C$4, IF(M12=3, '6. PEDIGREE MATRIX'!$D$4, IF(M12=4, '6. PEDIGREE MATRIX'!$E$4, IF(M12=5, '6. PEDIGREE MATRIX'!$F$4)))))</f>
        <v>1.0935646911485417</v>
      </c>
      <c r="S12" s="58">
        <f>IF(N12=1, '6. PEDIGREE MATRIX'!$B$6, IF(N12=2, '6. PEDIGREE MATRIX'!$C$6, IF(N12=3, '6. PEDIGREE MATRIX'!$D$6, IF(N12=4, '6. PEDIGREE MATRIX'!$E$6, IF(N12=5, '6. PEDIGREE MATRIX'!$F$6)))))</f>
        <v>1.0457364348384068</v>
      </c>
      <c r="T12" s="58">
        <f>IF(O12=1, '6. PEDIGREE MATRIX'!$B$8, IF(O12=2, '6. PEDIGREE MATRIX'!$C$8, IF(O12=3, '6. PEDIGREE MATRIX'!$D$8, IF(O12=4, '6. PEDIGREE MATRIX'!$E$8, IF(O12=5, '6. PEDIGREE MATRIX'!$F$8)))))</f>
        <v>1.2214027581601699</v>
      </c>
      <c r="U12" s="58">
        <f>IF(P12=1, '6. PEDIGREE MATRIX'!$B$10, IF(P12=2, '6. PEDIGREE MATRIX'!$C$10, IF(P12=3, '6. PEDIGREE MATRIX'!$D$10, IF(P12=4, '6. PEDIGREE MATRIX'!$E$10, IF(P12=5, '6. PEDIGREE MATRIX'!$F$10)))))</f>
        <v>1.0100501670841679</v>
      </c>
      <c r="V12" s="58">
        <f>IF(Q12=1, '6. PEDIGREE MATRIX'!$B$12, IF(Q12=2, '6. PEDIGREE MATRIX'!$C$12, IF(Q12=3, '6. PEDIGREE MATRIX'!$D$12, IF(Q12=4, '6. PEDIGREE MATRIX'!$E$12, IF(Q12=5, '6. PEDIGREE MATRIX'!$F$12)))))</f>
        <v>1.0247973619913604</v>
      </c>
      <c r="W12" s="58">
        <v>5.9999999999999995E-4</v>
      </c>
      <c r="X12" s="63">
        <f>EXP(SQRT(W12))</f>
        <v>1.0247973619913604</v>
      </c>
    </row>
    <row r="13" spans="1:24" x14ac:dyDescent="0.3">
      <c r="A13" s="285" t="s">
        <v>738</v>
      </c>
      <c r="B13" s="297">
        <f>'11. RAW WF PROD.'!$D$34</f>
        <v>6.1332968166883531E-3</v>
      </c>
      <c r="C13" s="3" t="s">
        <v>153</v>
      </c>
      <c r="D13" s="3" t="s">
        <v>385</v>
      </c>
      <c r="E13" s="58" t="s">
        <v>739</v>
      </c>
      <c r="F13" s="3" t="s">
        <v>371</v>
      </c>
      <c r="G13" s="3" t="s">
        <v>346</v>
      </c>
      <c r="H13" s="3" t="s">
        <v>154</v>
      </c>
      <c r="I13" s="58">
        <v>2</v>
      </c>
      <c r="J13" s="58">
        <f t="shared" ref="J13:J27" si="0">IF(B13=0,"(Unknown)",LN((ABS(B13))))</f>
        <v>-5.0940228568538428</v>
      </c>
      <c r="K13" s="58">
        <f t="shared" ref="K13:K27" si="1">IF(B13&gt;0,SQRT(LN(L13)),"(Unknown)")</f>
        <v>0.47591494309185384</v>
      </c>
      <c r="L13" s="90">
        <f t="shared" ref="L13:L27" si="2">IF(B13&gt;0,(EXP(SQRT((LN(X13))^2+(LN(R13))^2+(LN(S13))^2+(LN(T13))^2+(LN(U13))^2+(LN(V13))^2))),"(Unknown)")</f>
        <v>1.2541963802979088</v>
      </c>
      <c r="M13" s="58">
        <v>4</v>
      </c>
      <c r="N13" s="58">
        <v>4</v>
      </c>
      <c r="O13" s="58">
        <v>5</v>
      </c>
      <c r="P13" s="58">
        <v>3</v>
      </c>
      <c r="Q13" s="58">
        <v>2</v>
      </c>
      <c r="R13" s="58">
        <f>IF(M13=1, '6. PEDIGREE MATRIX'!$B$4, IF(M13=2, '6. PEDIGREE MATRIX'!$C$4, IF(M13=3, '6. PEDIGREE MATRIX'!$D$4, IF(M13=4, '6. PEDIGREE MATRIX'!$E$4, IF(M13=5, '6. PEDIGREE MATRIX'!$F$4)))))</f>
        <v>1.0935646911485417</v>
      </c>
      <c r="S13" s="58">
        <f>IF(N13=1, '6. PEDIGREE MATRIX'!$B$6, IF(N13=2, '6. PEDIGREE MATRIX'!$C$6, IF(N13=3, '6. PEDIGREE MATRIX'!$D$6, IF(N13=4, '6. PEDIGREE MATRIX'!$E$6, IF(N13=5, '6. PEDIGREE MATRIX'!$F$6)))))</f>
        <v>1.0457364348384068</v>
      </c>
      <c r="T13" s="58">
        <f>IF(O13=1, '6. PEDIGREE MATRIX'!$B$8, IF(O13=2, '6. PEDIGREE MATRIX'!$C$8, IF(O13=3, '6. PEDIGREE MATRIX'!$D$8, IF(O13=4, '6. PEDIGREE MATRIX'!$E$8, IF(O13=5, '6. PEDIGREE MATRIX'!$F$8)))))</f>
        <v>1.2214027581601699</v>
      </c>
      <c r="U13" s="58">
        <f>IF(P13=1, '6. PEDIGREE MATRIX'!$B$10, IF(P13=2, '6. PEDIGREE MATRIX'!$C$10, IF(P13=3, '6. PEDIGREE MATRIX'!$D$10, IF(P13=4, '6. PEDIGREE MATRIX'!$E$10, IF(P13=5, '6. PEDIGREE MATRIX'!$F$10)))))</f>
        <v>1.0100501670841679</v>
      </c>
      <c r="V13" s="58">
        <f>IF(Q13=1, '6. PEDIGREE MATRIX'!$B$12, IF(Q13=2, '6. PEDIGREE MATRIX'!$C$12, IF(Q13=3, '6. PEDIGREE MATRIX'!$D$12, IF(Q13=4, '6. PEDIGREE MATRIX'!$E$12, IF(Q13=5, '6. PEDIGREE MATRIX'!$F$12)))))</f>
        <v>1.0247973619913604</v>
      </c>
      <c r="W13" s="58">
        <v>5.9999999999999995E-4</v>
      </c>
      <c r="X13" s="63">
        <v>1.0247973619913604</v>
      </c>
    </row>
    <row r="14" spans="1:24" x14ac:dyDescent="0.3">
      <c r="A14" s="285" t="s">
        <v>689</v>
      </c>
      <c r="B14" s="297">
        <f>'11. RAW WF PROD.'!$D$35</f>
        <v>2.3028363512473003E-3</v>
      </c>
      <c r="C14" s="3" t="s">
        <v>153</v>
      </c>
      <c r="D14" s="3" t="s">
        <v>385</v>
      </c>
      <c r="E14" s="58" t="s">
        <v>523</v>
      </c>
      <c r="F14" s="3" t="s">
        <v>371</v>
      </c>
      <c r="G14" s="3" t="s">
        <v>429</v>
      </c>
      <c r="H14" s="3" t="s">
        <v>154</v>
      </c>
      <c r="I14" s="58">
        <v>2</v>
      </c>
      <c r="J14" s="58">
        <f t="shared" si="0"/>
        <v>-6.0736137196144222</v>
      </c>
      <c r="K14" s="58">
        <f t="shared" si="1"/>
        <v>0.47591494309185384</v>
      </c>
      <c r="L14" s="90">
        <f t="shared" si="2"/>
        <v>1.2541963802979088</v>
      </c>
      <c r="M14" s="58">
        <v>4</v>
      </c>
      <c r="N14" s="58">
        <v>4</v>
      </c>
      <c r="O14" s="58">
        <v>5</v>
      </c>
      <c r="P14" s="58">
        <v>3</v>
      </c>
      <c r="Q14" s="58">
        <v>2</v>
      </c>
      <c r="R14" s="58">
        <f>IF(M14=1, '6. PEDIGREE MATRIX'!$B$4, IF(M14=2, '6. PEDIGREE MATRIX'!$C$4, IF(M14=3, '6. PEDIGREE MATRIX'!$D$4, IF(M14=4, '6. PEDIGREE MATRIX'!$E$4, IF(M14=5, '6. PEDIGREE MATRIX'!$F$4)))))</f>
        <v>1.0935646911485417</v>
      </c>
      <c r="S14" s="58">
        <f>IF(N14=1, '6. PEDIGREE MATRIX'!$B$6, IF(N14=2, '6. PEDIGREE MATRIX'!$C$6, IF(N14=3, '6. PEDIGREE MATRIX'!$D$6, IF(N14=4, '6. PEDIGREE MATRIX'!$E$6, IF(N14=5, '6. PEDIGREE MATRIX'!$F$6)))))</f>
        <v>1.0457364348384068</v>
      </c>
      <c r="T14" s="58">
        <f>IF(O14=1, '6. PEDIGREE MATRIX'!$B$8, IF(O14=2, '6. PEDIGREE MATRIX'!$C$8, IF(O14=3, '6. PEDIGREE MATRIX'!$D$8, IF(O14=4, '6. PEDIGREE MATRIX'!$E$8, IF(O14=5, '6. PEDIGREE MATRIX'!$F$8)))))</f>
        <v>1.2214027581601699</v>
      </c>
      <c r="U14" s="58">
        <f>IF(P14=1, '6. PEDIGREE MATRIX'!$B$10, IF(P14=2, '6. PEDIGREE MATRIX'!$C$10, IF(P14=3, '6. PEDIGREE MATRIX'!$D$10, IF(P14=4, '6. PEDIGREE MATRIX'!$E$10, IF(P14=5, '6. PEDIGREE MATRIX'!$F$10)))))</f>
        <v>1.0100501670841679</v>
      </c>
      <c r="V14" s="58">
        <f>IF(Q14=1, '6. PEDIGREE MATRIX'!$B$12, IF(Q14=2, '6. PEDIGREE MATRIX'!$C$12, IF(Q14=3, '6. PEDIGREE MATRIX'!$D$12, IF(Q14=4, '6. PEDIGREE MATRIX'!$E$12, IF(Q14=5, '6. PEDIGREE MATRIX'!$F$12)))))</f>
        <v>1.0247973619913604</v>
      </c>
      <c r="W14" s="58">
        <v>5.9999999999999995E-4</v>
      </c>
      <c r="X14" s="63">
        <v>1.0247973619913604</v>
      </c>
    </row>
    <row r="15" spans="1:24" x14ac:dyDescent="0.3">
      <c r="A15" s="293" t="s">
        <v>690</v>
      </c>
      <c r="B15" s="297">
        <f>'11. RAW WF PROD.'!$D$36</f>
        <v>7.5241187714020696E-4</v>
      </c>
      <c r="C15" s="3" t="s">
        <v>153</v>
      </c>
      <c r="D15" s="3" t="s">
        <v>385</v>
      </c>
      <c r="E15" s="58" t="s">
        <v>524</v>
      </c>
      <c r="F15" s="3" t="s">
        <v>371</v>
      </c>
      <c r="G15" s="3" t="s">
        <v>346</v>
      </c>
      <c r="H15" s="3" t="s">
        <v>154</v>
      </c>
      <c r="I15" s="58">
        <v>2</v>
      </c>
      <c r="J15" s="58">
        <f t="shared" si="0"/>
        <v>-7.1922266749892012</v>
      </c>
      <c r="K15" s="58">
        <f t="shared" si="1"/>
        <v>0.47591494309185384</v>
      </c>
      <c r="L15" s="90">
        <f t="shared" si="2"/>
        <v>1.2541963802979088</v>
      </c>
      <c r="M15" s="58">
        <v>4</v>
      </c>
      <c r="N15" s="58">
        <v>4</v>
      </c>
      <c r="O15" s="58">
        <v>5</v>
      </c>
      <c r="P15" s="58">
        <v>3</v>
      </c>
      <c r="Q15" s="58">
        <v>2</v>
      </c>
      <c r="R15" s="58">
        <f>IF(M15=1, '6. PEDIGREE MATRIX'!$B$4, IF(M15=2, '6. PEDIGREE MATRIX'!$C$4, IF(M15=3, '6. PEDIGREE MATRIX'!$D$4, IF(M15=4, '6. PEDIGREE MATRIX'!$E$4, IF(M15=5, '6. PEDIGREE MATRIX'!$F$4)))))</f>
        <v>1.0935646911485417</v>
      </c>
      <c r="S15" s="58">
        <f>IF(N15=1, '6. PEDIGREE MATRIX'!$B$6, IF(N15=2, '6. PEDIGREE MATRIX'!$C$6, IF(N15=3, '6. PEDIGREE MATRIX'!$D$6, IF(N15=4, '6. PEDIGREE MATRIX'!$E$6, IF(N15=5, '6. PEDIGREE MATRIX'!$F$6)))))</f>
        <v>1.0457364348384068</v>
      </c>
      <c r="T15" s="58">
        <f>IF(O15=1, '6. PEDIGREE MATRIX'!$B$8, IF(O15=2, '6. PEDIGREE MATRIX'!$C$8, IF(O15=3, '6. PEDIGREE MATRIX'!$D$8, IF(O15=4, '6. PEDIGREE MATRIX'!$E$8, IF(O15=5, '6. PEDIGREE MATRIX'!$F$8)))))</f>
        <v>1.2214027581601699</v>
      </c>
      <c r="U15" s="58">
        <f>IF(P15=1, '6. PEDIGREE MATRIX'!$B$10, IF(P15=2, '6. PEDIGREE MATRIX'!$C$10, IF(P15=3, '6. PEDIGREE MATRIX'!$D$10, IF(P15=4, '6. PEDIGREE MATRIX'!$E$10, IF(P15=5, '6. PEDIGREE MATRIX'!$F$10)))))</f>
        <v>1.0100501670841679</v>
      </c>
      <c r="V15" s="58">
        <f>IF(Q15=1, '6. PEDIGREE MATRIX'!$B$12, IF(Q15=2, '6. PEDIGREE MATRIX'!$C$12, IF(Q15=3, '6. PEDIGREE MATRIX'!$D$12, IF(Q15=4, '6. PEDIGREE MATRIX'!$E$12, IF(Q15=5, '6. PEDIGREE MATRIX'!$F$12)))))</f>
        <v>1.0247973619913604</v>
      </c>
      <c r="W15" s="58">
        <v>5.9999999999999995E-4</v>
      </c>
      <c r="X15" s="63">
        <v>1.0247973619913604</v>
      </c>
    </row>
    <row r="16" spans="1:24" x14ac:dyDescent="0.3">
      <c r="A16" s="293" t="s">
        <v>691</v>
      </c>
      <c r="B16" s="297">
        <f>'11. RAW WF PROD.'!$D$37</f>
        <v>2.0520323922005644E-4</v>
      </c>
      <c r="C16" s="3" t="s">
        <v>153</v>
      </c>
      <c r="D16" s="3" t="s">
        <v>385</v>
      </c>
      <c r="E16" s="58" t="s">
        <v>525</v>
      </c>
      <c r="F16" s="3" t="s">
        <v>371</v>
      </c>
      <c r="G16" s="3" t="s">
        <v>346</v>
      </c>
      <c r="H16" s="3" t="s">
        <v>154</v>
      </c>
      <c r="I16" s="58">
        <v>2</v>
      </c>
      <c r="J16" s="58">
        <f t="shared" si="0"/>
        <v>-8.4915096591194619</v>
      </c>
      <c r="K16" s="58">
        <f t="shared" si="1"/>
        <v>0.47591494309185384</v>
      </c>
      <c r="L16" s="90">
        <f t="shared" si="2"/>
        <v>1.2541963802979088</v>
      </c>
      <c r="M16" s="58">
        <v>4</v>
      </c>
      <c r="N16" s="58">
        <v>4</v>
      </c>
      <c r="O16" s="58">
        <v>5</v>
      </c>
      <c r="P16" s="58">
        <v>3</v>
      </c>
      <c r="Q16" s="58">
        <v>2</v>
      </c>
      <c r="R16" s="58">
        <f>IF(M16=1, '6. PEDIGREE MATRIX'!$B$4, IF(M16=2, '6. PEDIGREE MATRIX'!$C$4, IF(M16=3, '6. PEDIGREE MATRIX'!$D$4, IF(M16=4, '6. PEDIGREE MATRIX'!$E$4, IF(M16=5, '6. PEDIGREE MATRIX'!$F$4)))))</f>
        <v>1.0935646911485417</v>
      </c>
      <c r="S16" s="58">
        <f>IF(N16=1, '6. PEDIGREE MATRIX'!$B$6, IF(N16=2, '6. PEDIGREE MATRIX'!$C$6, IF(N16=3, '6. PEDIGREE MATRIX'!$D$6, IF(N16=4, '6. PEDIGREE MATRIX'!$E$6, IF(N16=5, '6. PEDIGREE MATRIX'!$F$6)))))</f>
        <v>1.0457364348384068</v>
      </c>
      <c r="T16" s="58">
        <f>IF(O16=1, '6. PEDIGREE MATRIX'!$B$8, IF(O16=2, '6. PEDIGREE MATRIX'!$C$8, IF(O16=3, '6. PEDIGREE MATRIX'!$D$8, IF(O16=4, '6. PEDIGREE MATRIX'!$E$8, IF(O16=5, '6. PEDIGREE MATRIX'!$F$8)))))</f>
        <v>1.2214027581601699</v>
      </c>
      <c r="U16" s="58">
        <f>IF(P16=1, '6. PEDIGREE MATRIX'!$B$10, IF(P16=2, '6. PEDIGREE MATRIX'!$C$10, IF(P16=3, '6. PEDIGREE MATRIX'!$D$10, IF(P16=4, '6. PEDIGREE MATRIX'!$E$10, IF(P16=5, '6. PEDIGREE MATRIX'!$F$10)))))</f>
        <v>1.0100501670841679</v>
      </c>
      <c r="V16" s="58">
        <f>IF(Q16=1, '6. PEDIGREE MATRIX'!$B$12, IF(Q16=2, '6. PEDIGREE MATRIX'!$C$12, IF(Q16=3, '6. PEDIGREE MATRIX'!$D$12, IF(Q16=4, '6. PEDIGREE MATRIX'!$E$12, IF(Q16=5, '6. PEDIGREE MATRIX'!$F$12)))))</f>
        <v>1.0247973619913604</v>
      </c>
      <c r="W16" s="58">
        <v>5.9999999999999995E-4</v>
      </c>
      <c r="X16" s="63">
        <v>1.0247973619913604</v>
      </c>
    </row>
    <row r="17" spans="1:24" x14ac:dyDescent="0.3">
      <c r="A17" s="293" t="s">
        <v>431</v>
      </c>
      <c r="B17" s="297">
        <f>'11. RAW WF PROD.'!$D$38</f>
        <v>8.5045342476756727E-3</v>
      </c>
      <c r="C17" s="3" t="s">
        <v>153</v>
      </c>
      <c r="D17" s="3" t="s">
        <v>385</v>
      </c>
      <c r="E17" s="58" t="s">
        <v>162</v>
      </c>
      <c r="F17" s="3" t="s">
        <v>371</v>
      </c>
      <c r="G17" s="3" t="s">
        <v>429</v>
      </c>
      <c r="H17" s="3" t="s">
        <v>154</v>
      </c>
      <c r="I17" s="58">
        <v>2</v>
      </c>
      <c r="J17" s="58">
        <f t="shared" si="0"/>
        <v>-4.767155816811866</v>
      </c>
      <c r="K17" s="58">
        <f t="shared" si="1"/>
        <v>0.47591494309185384</v>
      </c>
      <c r="L17" s="90">
        <f t="shared" si="2"/>
        <v>1.2541963802979088</v>
      </c>
      <c r="M17" s="58">
        <v>4</v>
      </c>
      <c r="N17" s="58">
        <v>4</v>
      </c>
      <c r="O17" s="58">
        <v>5</v>
      </c>
      <c r="P17" s="58">
        <v>3</v>
      </c>
      <c r="Q17" s="58">
        <v>2</v>
      </c>
      <c r="R17" s="58">
        <f>IF(M17=1, '6. PEDIGREE MATRIX'!$B$4, IF(M17=2, '6. PEDIGREE MATRIX'!$C$4, IF(M17=3, '6. PEDIGREE MATRIX'!$D$4, IF(M17=4, '6. PEDIGREE MATRIX'!$E$4, IF(M17=5, '6. PEDIGREE MATRIX'!$F$4)))))</f>
        <v>1.0935646911485417</v>
      </c>
      <c r="S17" s="58">
        <f>IF(N17=1, '6. PEDIGREE MATRIX'!$B$6, IF(N17=2, '6. PEDIGREE MATRIX'!$C$6, IF(N17=3, '6. PEDIGREE MATRIX'!$D$6, IF(N17=4, '6. PEDIGREE MATRIX'!$E$6, IF(N17=5, '6. PEDIGREE MATRIX'!$F$6)))))</f>
        <v>1.0457364348384068</v>
      </c>
      <c r="T17" s="58">
        <f>IF(O17=1, '6. PEDIGREE MATRIX'!$B$8, IF(O17=2, '6. PEDIGREE MATRIX'!$C$8, IF(O17=3, '6. PEDIGREE MATRIX'!$D$8, IF(O17=4, '6. PEDIGREE MATRIX'!$E$8, IF(O17=5, '6. PEDIGREE MATRIX'!$F$8)))))</f>
        <v>1.2214027581601699</v>
      </c>
      <c r="U17" s="58">
        <f>IF(P17=1, '6. PEDIGREE MATRIX'!$B$10, IF(P17=2, '6. PEDIGREE MATRIX'!$C$10, IF(P17=3, '6. PEDIGREE MATRIX'!$D$10, IF(P17=4, '6. PEDIGREE MATRIX'!$E$10, IF(P17=5, '6. PEDIGREE MATRIX'!$F$10)))))</f>
        <v>1.0100501670841679</v>
      </c>
      <c r="V17" s="58">
        <f>IF(Q17=1, '6. PEDIGREE MATRIX'!$B$12, IF(Q17=2, '6. PEDIGREE MATRIX'!$C$12, IF(Q17=3, '6. PEDIGREE MATRIX'!$D$12, IF(Q17=4, '6. PEDIGREE MATRIX'!$E$12, IF(Q17=5, '6. PEDIGREE MATRIX'!$F$12)))))</f>
        <v>1.0247973619913604</v>
      </c>
      <c r="W17" s="58">
        <v>5.9999999999999995E-4</v>
      </c>
      <c r="X17" s="63">
        <v>1.0247973619913604</v>
      </c>
    </row>
    <row r="18" spans="1:24" x14ac:dyDescent="0.3">
      <c r="A18" s="515" t="s">
        <v>517</v>
      </c>
      <c r="B18" s="297">
        <f>'11. RAW WF PROD.'!$D$58</f>
        <v>1.0488165560136218E-2</v>
      </c>
      <c r="C18" s="516" t="s">
        <v>153</v>
      </c>
      <c r="D18" s="516" t="s">
        <v>515</v>
      </c>
      <c r="E18" s="517" t="s">
        <v>371</v>
      </c>
      <c r="F18" s="518" t="s">
        <v>516</v>
      </c>
      <c r="G18" s="516" t="s">
        <v>371</v>
      </c>
      <c r="H18" s="516" t="s">
        <v>514</v>
      </c>
      <c r="I18" s="517">
        <v>2</v>
      </c>
      <c r="J18" s="517">
        <f t="shared" si="0"/>
        <v>-4.5575077469725409</v>
      </c>
      <c r="K18" s="517">
        <f t="shared" si="1"/>
        <v>0.47591494309185384</v>
      </c>
      <c r="L18" s="519">
        <f t="shared" si="2"/>
        <v>1.2541963802979088</v>
      </c>
      <c r="M18" s="517">
        <v>4</v>
      </c>
      <c r="N18" s="517">
        <v>4</v>
      </c>
      <c r="O18" s="517">
        <v>5</v>
      </c>
      <c r="P18" s="517">
        <v>3</v>
      </c>
      <c r="Q18" s="517">
        <v>2</v>
      </c>
      <c r="R18" s="517">
        <f>IF(M18=1, '6. PEDIGREE MATRIX'!$B$4, IF(M18=2, '6. PEDIGREE MATRIX'!$C$4, IF(M18=3, '6. PEDIGREE MATRIX'!$D$4, IF(M18=4, '6. PEDIGREE MATRIX'!$E$4, IF(M18=5, '6. PEDIGREE MATRIX'!$F$4)))))</f>
        <v>1.0935646911485417</v>
      </c>
      <c r="S18" s="517">
        <f>IF(N18=1, '6. PEDIGREE MATRIX'!$B$6, IF(N18=2, '6. PEDIGREE MATRIX'!$C$6, IF(N18=3, '6. PEDIGREE MATRIX'!$D$6, IF(N18=4, '6. PEDIGREE MATRIX'!$E$6, IF(N18=5, '6. PEDIGREE MATRIX'!$F$6)))))</f>
        <v>1.0457364348384068</v>
      </c>
      <c r="T18" s="517">
        <f>IF(O18=1, '6. PEDIGREE MATRIX'!$B$8, IF(O18=2, '6. PEDIGREE MATRIX'!$C$8, IF(O18=3, '6. PEDIGREE MATRIX'!$D$8, IF(O18=4, '6. PEDIGREE MATRIX'!$E$8, IF(O18=5, '6. PEDIGREE MATRIX'!$F$8)))))</f>
        <v>1.2214027581601699</v>
      </c>
      <c r="U18" s="517">
        <f>IF(P18=1, '6. PEDIGREE MATRIX'!$B$10, IF(P18=2, '6. PEDIGREE MATRIX'!$C$10, IF(P18=3, '6. PEDIGREE MATRIX'!$D$10, IF(P18=4, '6. PEDIGREE MATRIX'!$E$10, IF(P18=5, '6. PEDIGREE MATRIX'!$F$10)))))</f>
        <v>1.0100501670841679</v>
      </c>
      <c r="V18" s="517">
        <f>IF(Q18=1, '6. PEDIGREE MATRIX'!$B$12, IF(Q18=2, '6. PEDIGREE MATRIX'!$C$12, IF(Q18=3, '6. PEDIGREE MATRIX'!$D$12, IF(Q18=4, '6. PEDIGREE MATRIX'!$E$12, IF(Q18=5, '6. PEDIGREE MATRIX'!$F$12)))))</f>
        <v>1.0247973619913604</v>
      </c>
      <c r="W18" s="517">
        <v>5.9999999999999995E-4</v>
      </c>
      <c r="X18" s="520">
        <v>1.0247973619913604</v>
      </c>
    </row>
    <row r="19" spans="1:24" x14ac:dyDescent="0.3">
      <c r="A19" s="515" t="s">
        <v>518</v>
      </c>
      <c r="B19" s="396">
        <f>'11. RAW WF PROD.'!$D$59</f>
        <v>2.0976331120272436E-4</v>
      </c>
      <c r="C19" s="516" t="s">
        <v>153</v>
      </c>
      <c r="D19" s="516" t="s">
        <v>515</v>
      </c>
      <c r="E19" s="517" t="s">
        <v>371</v>
      </c>
      <c r="F19" s="518" t="s">
        <v>516</v>
      </c>
      <c r="G19" s="516" t="s">
        <v>371</v>
      </c>
      <c r="H19" s="516" t="s">
        <v>514</v>
      </c>
      <c r="I19" s="517">
        <v>2</v>
      </c>
      <c r="J19" s="517">
        <f t="shared" si="0"/>
        <v>-8.4695307524006864</v>
      </c>
      <c r="K19" s="517">
        <f t="shared" si="1"/>
        <v>0.47591494309185384</v>
      </c>
      <c r="L19" s="519">
        <f t="shared" si="2"/>
        <v>1.2541963802979088</v>
      </c>
      <c r="M19" s="517">
        <v>4</v>
      </c>
      <c r="N19" s="517">
        <v>4</v>
      </c>
      <c r="O19" s="517">
        <v>5</v>
      </c>
      <c r="P19" s="517">
        <v>3</v>
      </c>
      <c r="Q19" s="517">
        <v>2</v>
      </c>
      <c r="R19" s="517">
        <f>IF(M19=1, '6. PEDIGREE MATRIX'!$B$4, IF(M19=2, '6. PEDIGREE MATRIX'!$C$4, IF(M19=3, '6. PEDIGREE MATRIX'!$D$4, IF(M19=4, '6. PEDIGREE MATRIX'!$E$4, IF(M19=5, '6. PEDIGREE MATRIX'!$F$4)))))</f>
        <v>1.0935646911485417</v>
      </c>
      <c r="S19" s="517">
        <f>IF(N19=1, '6. PEDIGREE MATRIX'!$B$6, IF(N19=2, '6. PEDIGREE MATRIX'!$C$6, IF(N19=3, '6. PEDIGREE MATRIX'!$D$6, IF(N19=4, '6. PEDIGREE MATRIX'!$E$6, IF(N19=5, '6. PEDIGREE MATRIX'!$F$6)))))</f>
        <v>1.0457364348384068</v>
      </c>
      <c r="T19" s="517">
        <f>IF(O19=1, '6. PEDIGREE MATRIX'!$B$8, IF(O19=2, '6. PEDIGREE MATRIX'!$C$8, IF(O19=3, '6. PEDIGREE MATRIX'!$D$8, IF(O19=4, '6. PEDIGREE MATRIX'!$E$8, IF(O19=5, '6. PEDIGREE MATRIX'!$F$8)))))</f>
        <v>1.2214027581601699</v>
      </c>
      <c r="U19" s="517">
        <f>IF(P19=1, '6. PEDIGREE MATRIX'!$B$10, IF(P19=2, '6. PEDIGREE MATRIX'!$C$10, IF(P19=3, '6. PEDIGREE MATRIX'!$D$10, IF(P19=4, '6. PEDIGREE MATRIX'!$E$10, IF(P19=5, '6. PEDIGREE MATRIX'!$F$10)))))</f>
        <v>1.0100501670841679</v>
      </c>
      <c r="V19" s="517">
        <f>IF(Q19=1, '6. PEDIGREE MATRIX'!$B$12, IF(Q19=2, '6. PEDIGREE MATRIX'!$C$12, IF(Q19=3, '6. PEDIGREE MATRIX'!$D$12, IF(Q19=4, '6. PEDIGREE MATRIX'!$E$12, IF(Q19=5, '6. PEDIGREE MATRIX'!$F$12)))))</f>
        <v>1.0247973619913604</v>
      </c>
      <c r="W19" s="517">
        <v>5.9999999999999995E-4</v>
      </c>
      <c r="X19" s="520">
        <v>1.0247973619913604</v>
      </c>
    </row>
    <row r="20" spans="1:24" x14ac:dyDescent="0.3">
      <c r="A20" s="515" t="s">
        <v>519</v>
      </c>
      <c r="B20" s="396">
        <f>'11. RAW WF PROD.'!$D$60</f>
        <v>1.73282735341381E-5</v>
      </c>
      <c r="C20" s="516" t="s">
        <v>153</v>
      </c>
      <c r="D20" s="516" t="s">
        <v>515</v>
      </c>
      <c r="E20" s="517" t="s">
        <v>371</v>
      </c>
      <c r="F20" s="518" t="s">
        <v>516</v>
      </c>
      <c r="G20" s="516" t="s">
        <v>371</v>
      </c>
      <c r="H20" s="516" t="s">
        <v>514</v>
      </c>
      <c r="I20" s="517">
        <v>2</v>
      </c>
      <c r="J20" s="517">
        <f t="shared" si="0"/>
        <v>-10.963171082157443</v>
      </c>
      <c r="K20" s="517">
        <f t="shared" si="1"/>
        <v>0.47591494309185384</v>
      </c>
      <c r="L20" s="519">
        <f t="shared" si="2"/>
        <v>1.2541963802979088</v>
      </c>
      <c r="M20" s="517">
        <v>4</v>
      </c>
      <c r="N20" s="517">
        <v>4</v>
      </c>
      <c r="O20" s="517">
        <v>5</v>
      </c>
      <c r="P20" s="517">
        <v>3</v>
      </c>
      <c r="Q20" s="517">
        <v>2</v>
      </c>
      <c r="R20" s="517">
        <f>IF(M20=1, '6. PEDIGREE MATRIX'!$B$4, IF(M20=2, '6. PEDIGREE MATRIX'!$C$4, IF(M20=3, '6. PEDIGREE MATRIX'!$D$4, IF(M20=4, '6. PEDIGREE MATRIX'!$E$4, IF(M20=5, '6. PEDIGREE MATRIX'!$F$4)))))</f>
        <v>1.0935646911485417</v>
      </c>
      <c r="S20" s="517">
        <f>IF(N20=1, '6. PEDIGREE MATRIX'!$B$6, IF(N20=2, '6. PEDIGREE MATRIX'!$C$6, IF(N20=3, '6. PEDIGREE MATRIX'!$D$6, IF(N20=4, '6. PEDIGREE MATRIX'!$E$6, IF(N20=5, '6. PEDIGREE MATRIX'!$F$6)))))</f>
        <v>1.0457364348384068</v>
      </c>
      <c r="T20" s="517">
        <f>IF(O20=1, '6. PEDIGREE MATRIX'!$B$8, IF(O20=2, '6. PEDIGREE MATRIX'!$C$8, IF(O20=3, '6. PEDIGREE MATRIX'!$D$8, IF(O20=4, '6. PEDIGREE MATRIX'!$E$8, IF(O20=5, '6. PEDIGREE MATRIX'!$F$8)))))</f>
        <v>1.2214027581601699</v>
      </c>
      <c r="U20" s="517">
        <f>IF(P20=1, '6. PEDIGREE MATRIX'!$B$10, IF(P20=2, '6. PEDIGREE MATRIX'!$C$10, IF(P20=3, '6. PEDIGREE MATRIX'!$D$10, IF(P20=4, '6. PEDIGREE MATRIX'!$E$10, IF(P20=5, '6. PEDIGREE MATRIX'!$F$10)))))</f>
        <v>1.0100501670841679</v>
      </c>
      <c r="V20" s="517">
        <f>IF(Q20=1, '6. PEDIGREE MATRIX'!$B$12, IF(Q20=2, '6. PEDIGREE MATRIX'!$C$12, IF(Q20=3, '6. PEDIGREE MATRIX'!$D$12, IF(Q20=4, '6. PEDIGREE MATRIX'!$E$12, IF(Q20=5, '6. PEDIGREE MATRIX'!$F$12)))))</f>
        <v>1.0247973619913604</v>
      </c>
      <c r="W20" s="517">
        <v>5.9999999999999995E-4</v>
      </c>
      <c r="X20" s="520">
        <v>1.0247973619913604</v>
      </c>
    </row>
    <row r="21" spans="1:24" x14ac:dyDescent="0.3">
      <c r="A21" s="515" t="s">
        <v>248</v>
      </c>
      <c r="B21" s="396">
        <f>'11. RAW WF PROD.'!$D$61</f>
        <v>1.0716169159269613E-4</v>
      </c>
      <c r="C21" s="516" t="s">
        <v>153</v>
      </c>
      <c r="D21" s="516" t="s">
        <v>515</v>
      </c>
      <c r="E21" s="517" t="s">
        <v>371</v>
      </c>
      <c r="F21" s="518" t="s">
        <v>516</v>
      </c>
      <c r="G21" s="516" t="s">
        <v>371</v>
      </c>
      <c r="H21" s="516" t="s">
        <v>514</v>
      </c>
      <c r="I21" s="517">
        <v>2</v>
      </c>
      <c r="J21" s="517">
        <f t="shared" si="0"/>
        <v>-9.1411717277396694</v>
      </c>
      <c r="K21" s="517">
        <f t="shared" si="1"/>
        <v>0.47591494309185384</v>
      </c>
      <c r="L21" s="519">
        <f t="shared" si="2"/>
        <v>1.2541963802979088</v>
      </c>
      <c r="M21" s="517">
        <v>4</v>
      </c>
      <c r="N21" s="517">
        <v>4</v>
      </c>
      <c r="O21" s="517">
        <v>5</v>
      </c>
      <c r="P21" s="517">
        <v>3</v>
      </c>
      <c r="Q21" s="517">
        <v>2</v>
      </c>
      <c r="R21" s="517">
        <f>IF(M21=1, '6. PEDIGREE MATRIX'!$B$4, IF(M21=2, '6. PEDIGREE MATRIX'!$C$4, IF(M21=3, '6. PEDIGREE MATRIX'!$D$4, IF(M21=4, '6. PEDIGREE MATRIX'!$E$4, IF(M21=5, '6. PEDIGREE MATRIX'!$F$4)))))</f>
        <v>1.0935646911485417</v>
      </c>
      <c r="S21" s="517">
        <f>IF(N21=1, '6. PEDIGREE MATRIX'!$B$6, IF(N21=2, '6. PEDIGREE MATRIX'!$C$6, IF(N21=3, '6. PEDIGREE MATRIX'!$D$6, IF(N21=4, '6. PEDIGREE MATRIX'!$E$6, IF(N21=5, '6. PEDIGREE MATRIX'!$F$6)))))</f>
        <v>1.0457364348384068</v>
      </c>
      <c r="T21" s="517">
        <f>IF(O21=1, '6. PEDIGREE MATRIX'!$B$8, IF(O21=2, '6. PEDIGREE MATRIX'!$C$8, IF(O21=3, '6. PEDIGREE MATRIX'!$D$8, IF(O21=4, '6. PEDIGREE MATRIX'!$E$8, IF(O21=5, '6. PEDIGREE MATRIX'!$F$8)))))</f>
        <v>1.2214027581601699</v>
      </c>
      <c r="U21" s="517">
        <f>IF(P21=1, '6. PEDIGREE MATRIX'!$B$10, IF(P21=2, '6. PEDIGREE MATRIX'!$C$10, IF(P21=3, '6. PEDIGREE MATRIX'!$D$10, IF(P21=4, '6. PEDIGREE MATRIX'!$E$10, IF(P21=5, '6. PEDIGREE MATRIX'!$F$10)))))</f>
        <v>1.0100501670841679</v>
      </c>
      <c r="V21" s="517">
        <f>IF(Q21=1, '6. PEDIGREE MATRIX'!$B$12, IF(Q21=2, '6. PEDIGREE MATRIX'!$C$12, IF(Q21=3, '6. PEDIGREE MATRIX'!$D$12, IF(Q21=4, '6. PEDIGREE MATRIX'!$E$12, IF(Q21=5, '6. PEDIGREE MATRIX'!$F$12)))))</f>
        <v>1.0247973619913604</v>
      </c>
      <c r="W21" s="517">
        <v>5.9999999999999995E-4</v>
      </c>
      <c r="X21" s="520">
        <v>1.0247973619913604</v>
      </c>
    </row>
    <row r="22" spans="1:24" x14ac:dyDescent="0.3">
      <c r="A22" s="515" t="s">
        <v>520</v>
      </c>
      <c r="B22" s="396">
        <f>'11. RAW WF PROD.'!$D$62</f>
        <v>8.6641367670690496E-5</v>
      </c>
      <c r="C22" s="516" t="s">
        <v>153</v>
      </c>
      <c r="D22" s="516" t="s">
        <v>515</v>
      </c>
      <c r="E22" s="517" t="s">
        <v>371</v>
      </c>
      <c r="F22" s="518" t="s">
        <v>516</v>
      </c>
      <c r="G22" s="516" t="s">
        <v>371</v>
      </c>
      <c r="H22" s="516" t="s">
        <v>514</v>
      </c>
      <c r="I22" s="517">
        <v>2</v>
      </c>
      <c r="J22" s="517">
        <f t="shared" si="0"/>
        <v>-9.3537331697233412</v>
      </c>
      <c r="K22" s="517">
        <f t="shared" si="1"/>
        <v>0.47591494309185384</v>
      </c>
      <c r="L22" s="519">
        <f t="shared" si="2"/>
        <v>1.2541963802979088</v>
      </c>
      <c r="M22" s="517">
        <v>4</v>
      </c>
      <c r="N22" s="517">
        <v>4</v>
      </c>
      <c r="O22" s="517">
        <v>5</v>
      </c>
      <c r="P22" s="517">
        <v>3</v>
      </c>
      <c r="Q22" s="517">
        <v>2</v>
      </c>
      <c r="R22" s="517">
        <f>IF(M22=1, '6. PEDIGREE MATRIX'!$B$4, IF(M22=2, '6. PEDIGREE MATRIX'!$C$4, IF(M22=3, '6. PEDIGREE MATRIX'!$D$4, IF(M22=4, '6. PEDIGREE MATRIX'!$E$4, IF(M22=5, '6. PEDIGREE MATRIX'!$F$4)))))</f>
        <v>1.0935646911485417</v>
      </c>
      <c r="S22" s="517">
        <f>IF(N22=1, '6. PEDIGREE MATRIX'!$B$6, IF(N22=2, '6. PEDIGREE MATRIX'!$C$6, IF(N22=3, '6. PEDIGREE MATRIX'!$D$6, IF(N22=4, '6. PEDIGREE MATRIX'!$E$6, IF(N22=5, '6. PEDIGREE MATRIX'!$F$6)))))</f>
        <v>1.0457364348384068</v>
      </c>
      <c r="T22" s="517">
        <f>IF(O22=1, '6. PEDIGREE MATRIX'!$B$8, IF(O22=2, '6. PEDIGREE MATRIX'!$C$8, IF(O22=3, '6. PEDIGREE MATRIX'!$D$8, IF(O22=4, '6. PEDIGREE MATRIX'!$E$8, IF(O22=5, '6. PEDIGREE MATRIX'!$F$8)))))</f>
        <v>1.2214027581601699</v>
      </c>
      <c r="U22" s="517">
        <f>IF(P22=1, '6. PEDIGREE MATRIX'!$B$10, IF(P22=2, '6. PEDIGREE MATRIX'!$C$10, IF(P22=3, '6. PEDIGREE MATRIX'!$D$10, IF(P22=4, '6. PEDIGREE MATRIX'!$E$10, IF(P22=5, '6. PEDIGREE MATRIX'!$F$10)))))</f>
        <v>1.0100501670841679</v>
      </c>
      <c r="V22" s="517">
        <f>IF(Q22=1, '6. PEDIGREE MATRIX'!$B$12, IF(Q22=2, '6. PEDIGREE MATRIX'!$C$12, IF(Q22=3, '6. PEDIGREE MATRIX'!$D$12, IF(Q22=4, '6. PEDIGREE MATRIX'!$E$12, IF(Q22=5, '6. PEDIGREE MATRIX'!$F$12)))))</f>
        <v>1.0247973619913604</v>
      </c>
      <c r="W22" s="517">
        <v>5.9999999999999995E-4</v>
      </c>
      <c r="X22" s="520">
        <v>1.0247973619913604</v>
      </c>
    </row>
    <row r="23" spans="1:24" x14ac:dyDescent="0.3">
      <c r="A23" s="515" t="s">
        <v>249</v>
      </c>
      <c r="B23" s="396">
        <f>'11. RAW WF PROD.'!$D$63</f>
        <v>3.6480575861343368E-5</v>
      </c>
      <c r="C23" s="516" t="s">
        <v>153</v>
      </c>
      <c r="D23" s="516" t="s">
        <v>515</v>
      </c>
      <c r="E23" s="517" t="s">
        <v>371</v>
      </c>
      <c r="F23" s="518" t="s">
        <v>516</v>
      </c>
      <c r="G23" s="516" t="s">
        <v>371</v>
      </c>
      <c r="H23" s="516" t="s">
        <v>514</v>
      </c>
      <c r="I23" s="517">
        <v>2</v>
      </c>
      <c r="J23" s="517">
        <f t="shared" si="0"/>
        <v>-10.218730607209945</v>
      </c>
      <c r="K23" s="517">
        <f t="shared" si="1"/>
        <v>0.47591494309185384</v>
      </c>
      <c r="L23" s="519">
        <f t="shared" si="2"/>
        <v>1.2541963802979088</v>
      </c>
      <c r="M23" s="517">
        <v>4</v>
      </c>
      <c r="N23" s="517">
        <v>4</v>
      </c>
      <c r="O23" s="517">
        <v>5</v>
      </c>
      <c r="P23" s="517">
        <v>3</v>
      </c>
      <c r="Q23" s="517">
        <v>2</v>
      </c>
      <c r="R23" s="517">
        <f>IF(M23=1, '6. PEDIGREE MATRIX'!$B$4, IF(M23=2, '6. PEDIGREE MATRIX'!$C$4, IF(M23=3, '6. PEDIGREE MATRIX'!$D$4, IF(M23=4, '6. PEDIGREE MATRIX'!$E$4, IF(M23=5, '6. PEDIGREE MATRIX'!$F$4)))))</f>
        <v>1.0935646911485417</v>
      </c>
      <c r="S23" s="517">
        <f>IF(N23=1, '6. PEDIGREE MATRIX'!$B$6, IF(N23=2, '6. PEDIGREE MATRIX'!$C$6, IF(N23=3, '6. PEDIGREE MATRIX'!$D$6, IF(N23=4, '6. PEDIGREE MATRIX'!$E$6, IF(N23=5, '6. PEDIGREE MATRIX'!$F$6)))))</f>
        <v>1.0457364348384068</v>
      </c>
      <c r="T23" s="517">
        <f>IF(O23=1, '6. PEDIGREE MATRIX'!$B$8, IF(O23=2, '6. PEDIGREE MATRIX'!$C$8, IF(O23=3, '6. PEDIGREE MATRIX'!$D$8, IF(O23=4, '6. PEDIGREE MATRIX'!$E$8, IF(O23=5, '6. PEDIGREE MATRIX'!$F$8)))))</f>
        <v>1.2214027581601699</v>
      </c>
      <c r="U23" s="517">
        <f>IF(P23=1, '6. PEDIGREE MATRIX'!$B$10, IF(P23=2, '6. PEDIGREE MATRIX'!$C$10, IF(P23=3, '6. PEDIGREE MATRIX'!$D$10, IF(P23=4, '6. PEDIGREE MATRIX'!$E$10, IF(P23=5, '6. PEDIGREE MATRIX'!$F$10)))))</f>
        <v>1.0100501670841679</v>
      </c>
      <c r="V23" s="517">
        <f>IF(Q23=1, '6. PEDIGREE MATRIX'!$B$12, IF(Q23=2, '6. PEDIGREE MATRIX'!$C$12, IF(Q23=3, '6. PEDIGREE MATRIX'!$D$12, IF(Q23=4, '6. PEDIGREE MATRIX'!$E$12, IF(Q23=5, '6. PEDIGREE MATRIX'!$F$12)))))</f>
        <v>1.0247973619913604</v>
      </c>
      <c r="W23" s="517">
        <v>5.9999999999999995E-4</v>
      </c>
      <c r="X23" s="520">
        <v>1.0247973619913604</v>
      </c>
    </row>
    <row r="24" spans="1:24" x14ac:dyDescent="0.3">
      <c r="A24" s="515" t="s">
        <v>13</v>
      </c>
      <c r="B24" s="396">
        <f>'11. RAW WF PROD.'!$D$65</f>
        <v>2.3712374309873189E-6</v>
      </c>
      <c r="C24" s="516" t="s">
        <v>521</v>
      </c>
      <c r="D24" s="516" t="s">
        <v>515</v>
      </c>
      <c r="E24" s="517" t="s">
        <v>371</v>
      </c>
      <c r="F24" s="518" t="s">
        <v>516</v>
      </c>
      <c r="G24" s="516" t="s">
        <v>371</v>
      </c>
      <c r="H24" s="516" t="s">
        <v>514</v>
      </c>
      <c r="I24" s="517">
        <v>2</v>
      </c>
      <c r="J24" s="517">
        <f t="shared" si="0"/>
        <v>-12.952098616296446</v>
      </c>
      <c r="K24" s="517">
        <f t="shared" si="1"/>
        <v>0.47591494309185384</v>
      </c>
      <c r="L24" s="519">
        <f t="shared" si="2"/>
        <v>1.2541963802979088</v>
      </c>
      <c r="M24" s="517">
        <v>4</v>
      </c>
      <c r="N24" s="517">
        <v>4</v>
      </c>
      <c r="O24" s="517">
        <v>5</v>
      </c>
      <c r="P24" s="517">
        <v>3</v>
      </c>
      <c r="Q24" s="517">
        <v>2</v>
      </c>
      <c r="R24" s="517">
        <f>IF(M24=1, '6. PEDIGREE MATRIX'!$B$4, IF(M24=2, '6. PEDIGREE MATRIX'!$C$4, IF(M24=3, '6. PEDIGREE MATRIX'!$D$4, IF(M24=4, '6. PEDIGREE MATRIX'!$E$4, IF(M24=5, '6. PEDIGREE MATRIX'!$F$4)))))</f>
        <v>1.0935646911485417</v>
      </c>
      <c r="S24" s="517">
        <f>IF(N24=1, '6. PEDIGREE MATRIX'!$B$6, IF(N24=2, '6. PEDIGREE MATRIX'!$C$6, IF(N24=3, '6. PEDIGREE MATRIX'!$D$6, IF(N24=4, '6. PEDIGREE MATRIX'!$E$6, IF(N24=5, '6. PEDIGREE MATRIX'!$F$6)))))</f>
        <v>1.0457364348384068</v>
      </c>
      <c r="T24" s="517">
        <f>IF(O24=1, '6. PEDIGREE MATRIX'!$B$8, IF(O24=2, '6. PEDIGREE MATRIX'!$C$8, IF(O24=3, '6. PEDIGREE MATRIX'!$D$8, IF(O24=4, '6. PEDIGREE MATRIX'!$E$8, IF(O24=5, '6. PEDIGREE MATRIX'!$F$8)))))</f>
        <v>1.2214027581601699</v>
      </c>
      <c r="U24" s="517">
        <f>IF(P24=1, '6. PEDIGREE MATRIX'!$B$10, IF(P24=2, '6. PEDIGREE MATRIX'!$C$10, IF(P24=3, '6. PEDIGREE MATRIX'!$D$10, IF(P24=4, '6. PEDIGREE MATRIX'!$E$10, IF(P24=5, '6. PEDIGREE MATRIX'!$F$10)))))</f>
        <v>1.0100501670841679</v>
      </c>
      <c r="V24" s="517">
        <f>IF(Q24=1, '6. PEDIGREE MATRIX'!$B$12, IF(Q24=2, '6. PEDIGREE MATRIX'!$C$12, IF(Q24=3, '6. PEDIGREE MATRIX'!$D$12, IF(Q24=4, '6. PEDIGREE MATRIX'!$E$12, IF(Q24=5, '6. PEDIGREE MATRIX'!$F$12)))))</f>
        <v>1.0247973619913604</v>
      </c>
      <c r="W24" s="517">
        <v>5.9999999999999995E-4</v>
      </c>
      <c r="X24" s="520">
        <v>1.0247973619913604</v>
      </c>
    </row>
    <row r="25" spans="1:24" x14ac:dyDescent="0.3">
      <c r="A25" s="515" t="s">
        <v>526</v>
      </c>
      <c r="B25" s="396">
        <f>'11. RAW WF PROD.'!$D$66</f>
        <v>4.3320683835345248E-5</v>
      </c>
      <c r="C25" s="516" t="s">
        <v>153</v>
      </c>
      <c r="D25" s="516" t="s">
        <v>515</v>
      </c>
      <c r="E25" s="517" t="s">
        <v>371</v>
      </c>
      <c r="F25" s="518" t="s">
        <v>516</v>
      </c>
      <c r="G25" s="516" t="s">
        <v>371</v>
      </c>
      <c r="H25" s="516" t="s">
        <v>514</v>
      </c>
      <c r="I25" s="517">
        <v>2</v>
      </c>
      <c r="J25" s="517">
        <f t="shared" si="0"/>
        <v>-10.046880350283287</v>
      </c>
      <c r="K25" s="517">
        <f t="shared" si="1"/>
        <v>0.47591494309185384</v>
      </c>
      <c r="L25" s="519">
        <f t="shared" si="2"/>
        <v>1.2541963802979088</v>
      </c>
      <c r="M25" s="517">
        <v>4</v>
      </c>
      <c r="N25" s="517">
        <v>4</v>
      </c>
      <c r="O25" s="517">
        <v>5</v>
      </c>
      <c r="P25" s="517">
        <v>3</v>
      </c>
      <c r="Q25" s="517">
        <v>2</v>
      </c>
      <c r="R25" s="517">
        <f>IF(M25=1, '6. PEDIGREE MATRIX'!$B$4, IF(M25=2, '6. PEDIGREE MATRIX'!$C$4, IF(M25=3, '6. PEDIGREE MATRIX'!$D$4, IF(M25=4, '6. PEDIGREE MATRIX'!$E$4, IF(M25=5, '6. PEDIGREE MATRIX'!$F$4)))))</f>
        <v>1.0935646911485417</v>
      </c>
      <c r="S25" s="517">
        <f>IF(N25=1, '6. PEDIGREE MATRIX'!$B$6, IF(N25=2, '6. PEDIGREE MATRIX'!$C$6, IF(N25=3, '6. PEDIGREE MATRIX'!$D$6, IF(N25=4, '6. PEDIGREE MATRIX'!$E$6, IF(N25=5, '6. PEDIGREE MATRIX'!$F$6)))))</f>
        <v>1.0457364348384068</v>
      </c>
      <c r="T25" s="517">
        <f>IF(O25=1, '6. PEDIGREE MATRIX'!$B$8, IF(O25=2, '6. PEDIGREE MATRIX'!$C$8, IF(O25=3, '6. PEDIGREE MATRIX'!$D$8, IF(O25=4, '6. PEDIGREE MATRIX'!$E$8, IF(O25=5, '6. PEDIGREE MATRIX'!$F$8)))))</f>
        <v>1.2214027581601699</v>
      </c>
      <c r="U25" s="517">
        <f>IF(P25=1, '6. PEDIGREE MATRIX'!$B$10, IF(P25=2, '6. PEDIGREE MATRIX'!$C$10, IF(P25=3, '6. PEDIGREE MATRIX'!$D$10, IF(P25=4, '6. PEDIGREE MATRIX'!$E$10, IF(P25=5, '6. PEDIGREE MATRIX'!$F$10)))))</f>
        <v>1.0100501670841679</v>
      </c>
      <c r="V25" s="517">
        <f>IF(Q25=1, '6. PEDIGREE MATRIX'!$B$12, IF(Q25=2, '6. PEDIGREE MATRIX'!$C$12, IF(Q25=3, '6. PEDIGREE MATRIX'!$D$12, IF(Q25=4, '6. PEDIGREE MATRIX'!$E$12, IF(Q25=5, '6. PEDIGREE MATRIX'!$F$12)))))</f>
        <v>1.0247973619913604</v>
      </c>
      <c r="W25" s="517">
        <v>5.9999999999999995E-4</v>
      </c>
      <c r="X25" s="520">
        <v>1.0247973619913604</v>
      </c>
    </row>
    <row r="26" spans="1:24" x14ac:dyDescent="0.3">
      <c r="A26" s="515" t="s">
        <v>527</v>
      </c>
      <c r="B26" s="396">
        <f>'11. RAW WF PROD.'!$D$67</f>
        <v>1.5732248340204327E-4</v>
      </c>
      <c r="C26" s="516" t="s">
        <v>153</v>
      </c>
      <c r="D26" s="516" t="s">
        <v>515</v>
      </c>
      <c r="E26" s="517" t="s">
        <v>371</v>
      </c>
      <c r="F26" s="518" t="s">
        <v>516</v>
      </c>
      <c r="G26" s="516" t="s">
        <v>371</v>
      </c>
      <c r="H26" s="516" t="s">
        <v>514</v>
      </c>
      <c r="I26" s="517">
        <v>2</v>
      </c>
      <c r="J26" s="517">
        <f t="shared" si="0"/>
        <v>-8.7572128248524681</v>
      </c>
      <c r="K26" s="517">
        <f t="shared" si="1"/>
        <v>0.47591494309185384</v>
      </c>
      <c r="L26" s="519">
        <f t="shared" si="2"/>
        <v>1.2541963802979088</v>
      </c>
      <c r="M26" s="517">
        <v>4</v>
      </c>
      <c r="N26" s="517">
        <v>4</v>
      </c>
      <c r="O26" s="517">
        <v>5</v>
      </c>
      <c r="P26" s="517">
        <v>3</v>
      </c>
      <c r="Q26" s="517">
        <v>2</v>
      </c>
      <c r="R26" s="517">
        <f>IF(M26=1, '6. PEDIGREE MATRIX'!$B$4, IF(M26=2, '6. PEDIGREE MATRIX'!$C$4, IF(M26=3, '6. PEDIGREE MATRIX'!$D$4, IF(M26=4, '6. PEDIGREE MATRIX'!$E$4, IF(M26=5, '6. PEDIGREE MATRIX'!$F$4)))))</f>
        <v>1.0935646911485417</v>
      </c>
      <c r="S26" s="517">
        <f>IF(N26=1, '6. PEDIGREE MATRIX'!$B$6, IF(N26=2, '6. PEDIGREE MATRIX'!$C$6, IF(N26=3, '6. PEDIGREE MATRIX'!$D$6, IF(N26=4, '6. PEDIGREE MATRIX'!$E$6, IF(N26=5, '6. PEDIGREE MATRIX'!$F$6)))))</f>
        <v>1.0457364348384068</v>
      </c>
      <c r="T26" s="517">
        <f>IF(O26=1, '6. PEDIGREE MATRIX'!$B$8, IF(O26=2, '6. PEDIGREE MATRIX'!$C$8, IF(O26=3, '6. PEDIGREE MATRIX'!$D$8, IF(O26=4, '6. PEDIGREE MATRIX'!$E$8, IF(O26=5, '6. PEDIGREE MATRIX'!$F$8)))))</f>
        <v>1.2214027581601699</v>
      </c>
      <c r="U26" s="517">
        <f>IF(P26=1, '6. PEDIGREE MATRIX'!$B$10, IF(P26=2, '6. PEDIGREE MATRIX'!$C$10, IF(P26=3, '6. PEDIGREE MATRIX'!$D$10, IF(P26=4, '6. PEDIGREE MATRIX'!$E$10, IF(P26=5, '6. PEDIGREE MATRIX'!$F$10)))))</f>
        <v>1.0100501670841679</v>
      </c>
      <c r="V26" s="517">
        <f>IF(Q26=1, '6. PEDIGREE MATRIX'!$B$12, IF(Q26=2, '6. PEDIGREE MATRIX'!$C$12, IF(Q26=3, '6. PEDIGREE MATRIX'!$D$12, IF(Q26=4, '6. PEDIGREE MATRIX'!$E$12, IF(Q26=5, '6. PEDIGREE MATRIX'!$F$12)))))</f>
        <v>1.0247973619913604</v>
      </c>
      <c r="W26" s="517">
        <v>5.9999999999999995E-4</v>
      </c>
      <c r="X26" s="520">
        <v>1.0247973619913604</v>
      </c>
    </row>
    <row r="27" spans="1:24" x14ac:dyDescent="0.3">
      <c r="A27" s="515" t="s">
        <v>245</v>
      </c>
      <c r="B27" s="297">
        <f>'11. RAW WF PROD.'!$D$68</f>
        <v>2.0520323922005643E-5</v>
      </c>
      <c r="C27" s="516" t="s">
        <v>153</v>
      </c>
      <c r="D27" s="516" t="s">
        <v>515</v>
      </c>
      <c r="E27" s="517" t="s">
        <v>371</v>
      </c>
      <c r="F27" s="518" t="s">
        <v>522</v>
      </c>
      <c r="G27" s="516" t="s">
        <v>371</v>
      </c>
      <c r="H27" s="516" t="s">
        <v>514</v>
      </c>
      <c r="I27" s="517">
        <v>2</v>
      </c>
      <c r="J27" s="517">
        <f t="shared" si="0"/>
        <v>-10.794094752113509</v>
      </c>
      <c r="K27" s="517">
        <f t="shared" si="1"/>
        <v>0.47591494309185384</v>
      </c>
      <c r="L27" s="519">
        <f t="shared" si="2"/>
        <v>1.2541963802979088</v>
      </c>
      <c r="M27" s="517">
        <v>4</v>
      </c>
      <c r="N27" s="517">
        <v>4</v>
      </c>
      <c r="O27" s="517">
        <v>5</v>
      </c>
      <c r="P27" s="517">
        <v>3</v>
      </c>
      <c r="Q27" s="517">
        <v>2</v>
      </c>
      <c r="R27" s="517">
        <f>IF(M27=1, '6. PEDIGREE MATRIX'!$B$4, IF(M27=2, '6. PEDIGREE MATRIX'!$C$4, IF(M27=3, '6. PEDIGREE MATRIX'!$D$4, IF(M27=4, '6. PEDIGREE MATRIX'!$E$4, IF(M27=5, '6. PEDIGREE MATRIX'!$F$4)))))</f>
        <v>1.0935646911485417</v>
      </c>
      <c r="S27" s="517">
        <f>IF(N27=1, '6. PEDIGREE MATRIX'!$B$6, IF(N27=2, '6. PEDIGREE MATRIX'!$C$6, IF(N27=3, '6. PEDIGREE MATRIX'!$D$6, IF(N27=4, '6. PEDIGREE MATRIX'!$E$6, IF(N27=5, '6. PEDIGREE MATRIX'!$F$6)))))</f>
        <v>1.0457364348384068</v>
      </c>
      <c r="T27" s="517">
        <f>IF(O27=1, '6. PEDIGREE MATRIX'!$B$8, IF(O27=2, '6. PEDIGREE MATRIX'!$C$8, IF(O27=3, '6. PEDIGREE MATRIX'!$D$8, IF(O27=4, '6. PEDIGREE MATRIX'!$E$8, IF(O27=5, '6. PEDIGREE MATRIX'!$F$8)))))</f>
        <v>1.2214027581601699</v>
      </c>
      <c r="U27" s="517">
        <f>IF(P27=1, '6. PEDIGREE MATRIX'!$B$10, IF(P27=2, '6. PEDIGREE MATRIX'!$C$10, IF(P27=3, '6. PEDIGREE MATRIX'!$D$10, IF(P27=4, '6. PEDIGREE MATRIX'!$E$10, IF(P27=5, '6. PEDIGREE MATRIX'!$F$10)))))</f>
        <v>1.0100501670841679</v>
      </c>
      <c r="V27" s="517">
        <f>IF(Q27=1, '6. PEDIGREE MATRIX'!$B$12, IF(Q27=2, '6. PEDIGREE MATRIX'!$C$12, IF(Q27=3, '6. PEDIGREE MATRIX'!$D$12, IF(Q27=4, '6. PEDIGREE MATRIX'!$E$12, IF(Q27=5, '6. PEDIGREE MATRIX'!$F$12)))))</f>
        <v>1.0247973619913604</v>
      </c>
      <c r="W27" s="517">
        <v>5.9999999999999995E-4</v>
      </c>
      <c r="X27" s="520">
        <v>1.0247973619913604</v>
      </c>
    </row>
    <row r="28" spans="1:24" ht="15" thickBot="1" x14ac:dyDescent="0.35">
      <c r="A28" s="70" t="str">
        <f>B3</f>
        <v>RAW WAFER PRODUCTION</v>
      </c>
      <c r="B28" s="71">
        <v>1</v>
      </c>
      <c r="C28" s="72" t="s">
        <v>224</v>
      </c>
      <c r="D28" s="72" t="str">
        <f>$B$1</f>
        <v>IGBT LCI dtb</v>
      </c>
      <c r="E28" s="89" t="str">
        <f>B7</f>
        <v>Processed cm² of Si IGBT good die</v>
      </c>
      <c r="F28" s="72" t="s">
        <v>371</v>
      </c>
      <c r="G28" s="72" t="s">
        <v>156</v>
      </c>
      <c r="H28" s="72" t="s">
        <v>383</v>
      </c>
      <c r="I28" s="89">
        <v>0</v>
      </c>
      <c r="J28" s="89" t="s">
        <v>371</v>
      </c>
      <c r="K28" s="71" t="s">
        <v>371</v>
      </c>
      <c r="L28" s="91" t="s">
        <v>371</v>
      </c>
      <c r="M28" s="89">
        <v>0</v>
      </c>
      <c r="N28" s="89">
        <v>0</v>
      </c>
      <c r="O28" s="89">
        <v>0</v>
      </c>
      <c r="P28" s="89">
        <v>0</v>
      </c>
      <c r="Q28" s="89">
        <v>0</v>
      </c>
      <c r="R28" s="89">
        <v>0</v>
      </c>
      <c r="S28" s="89">
        <v>0</v>
      </c>
      <c r="T28" s="89">
        <v>0</v>
      </c>
      <c r="U28" s="89">
        <v>0</v>
      </c>
      <c r="V28" s="89">
        <v>0</v>
      </c>
      <c r="W28" s="89">
        <v>0</v>
      </c>
      <c r="X28" s="92">
        <v>0</v>
      </c>
    </row>
    <row r="30" spans="1:24" ht="15" thickBot="1" x14ac:dyDescent="0.35"/>
    <row r="31" spans="1:24" ht="30" customHeight="1" thickBot="1" x14ac:dyDescent="0.35">
      <c r="A31" s="178" t="s">
        <v>326</v>
      </c>
      <c r="B31" s="179" t="s">
        <v>1448</v>
      </c>
      <c r="C31" s="57"/>
      <c r="D31" s="57"/>
      <c r="E31" s="59"/>
      <c r="F31" s="57"/>
      <c r="G31" s="57"/>
      <c r="H31" s="57"/>
      <c r="I31" s="59"/>
      <c r="J31" s="59"/>
      <c r="K31" s="59"/>
      <c r="L31" s="59"/>
      <c r="M31" s="59"/>
      <c r="N31" s="59"/>
      <c r="O31" s="59"/>
      <c r="P31" s="59"/>
      <c r="Q31" s="59"/>
      <c r="R31" s="59"/>
      <c r="S31" s="59"/>
      <c r="T31" s="59"/>
      <c r="U31" s="59"/>
      <c r="V31" s="59"/>
      <c r="W31" s="59"/>
      <c r="X31" s="60"/>
    </row>
    <row r="32" spans="1:24" x14ac:dyDescent="0.3">
      <c r="A32" s="54" t="s">
        <v>163</v>
      </c>
      <c r="B32" s="56" t="s">
        <v>371</v>
      </c>
      <c r="C32" s="56"/>
      <c r="D32" s="56"/>
      <c r="E32" s="61"/>
      <c r="F32" s="56"/>
      <c r="G32" s="56"/>
      <c r="H32" s="56"/>
      <c r="I32" s="61"/>
      <c r="J32" s="61"/>
      <c r="K32" s="61"/>
      <c r="L32" s="61"/>
      <c r="M32" s="61"/>
      <c r="N32" s="61"/>
      <c r="O32" s="61"/>
      <c r="P32" s="61"/>
      <c r="Q32" s="61"/>
      <c r="R32" s="61"/>
      <c r="S32" s="61"/>
      <c r="T32" s="61"/>
      <c r="U32" s="61"/>
      <c r="V32" s="61"/>
      <c r="W32" s="61"/>
      <c r="X32" s="62"/>
    </row>
    <row r="33" spans="1:24" x14ac:dyDescent="0.3">
      <c r="A33" s="54" t="s">
        <v>227</v>
      </c>
      <c r="B33" s="56" t="s">
        <v>156</v>
      </c>
      <c r="C33" s="56"/>
      <c r="D33" s="56"/>
      <c r="E33" s="61"/>
      <c r="F33" s="56"/>
      <c r="G33" s="56"/>
      <c r="H33" s="56"/>
      <c r="I33" s="61"/>
      <c r="J33" s="61"/>
      <c r="K33" s="61"/>
      <c r="L33" s="61"/>
      <c r="M33" s="61"/>
      <c r="N33" s="61"/>
      <c r="O33" s="61"/>
      <c r="P33" s="61"/>
      <c r="Q33" s="61"/>
      <c r="R33" s="61"/>
      <c r="S33" s="61"/>
      <c r="T33" s="61"/>
      <c r="U33" s="61"/>
      <c r="V33" s="61"/>
      <c r="W33" s="61"/>
      <c r="X33" s="62"/>
    </row>
    <row r="34" spans="1:24" x14ac:dyDescent="0.3">
      <c r="A34" s="54" t="s">
        <v>428</v>
      </c>
      <c r="B34" s="61">
        <v>1</v>
      </c>
      <c r="C34" s="56"/>
      <c r="D34" s="56"/>
      <c r="E34" s="61"/>
      <c r="F34" s="56"/>
      <c r="G34" s="56"/>
      <c r="H34" s="56"/>
      <c r="I34" s="61"/>
      <c r="J34" s="61"/>
      <c r="K34" s="61"/>
      <c r="L34" s="61"/>
      <c r="M34" s="61"/>
      <c r="N34" s="61"/>
      <c r="O34" s="61"/>
      <c r="P34" s="61"/>
      <c r="Q34" s="61"/>
      <c r="R34" s="61"/>
      <c r="S34" s="61"/>
      <c r="T34" s="61"/>
      <c r="U34" s="61"/>
      <c r="V34" s="61"/>
      <c r="W34" s="61"/>
      <c r="X34" s="62"/>
    </row>
    <row r="35" spans="1:24" x14ac:dyDescent="0.3">
      <c r="A35" s="54" t="s">
        <v>147</v>
      </c>
      <c r="B35" s="56" t="s">
        <v>717</v>
      </c>
      <c r="C35" s="56"/>
      <c r="D35" s="56"/>
      <c r="E35" s="61"/>
      <c r="F35" s="56"/>
      <c r="G35" s="56"/>
      <c r="H35" s="56"/>
      <c r="I35" s="61"/>
      <c r="J35" s="61"/>
      <c r="K35" s="61"/>
      <c r="L35" s="61"/>
      <c r="M35" s="61"/>
      <c r="N35" s="61"/>
      <c r="O35" s="61"/>
      <c r="P35" s="61"/>
      <c r="Q35" s="61"/>
      <c r="R35" s="61"/>
      <c r="S35" s="61"/>
      <c r="T35" s="61"/>
      <c r="U35" s="61"/>
      <c r="V35" s="61"/>
      <c r="W35" s="61"/>
      <c r="X35" s="62"/>
    </row>
    <row r="36" spans="1:24" x14ac:dyDescent="0.3">
      <c r="A36" s="54" t="s">
        <v>327</v>
      </c>
      <c r="B36" s="61" t="s">
        <v>134</v>
      </c>
      <c r="C36" s="56"/>
      <c r="D36" s="56"/>
      <c r="E36" s="61"/>
      <c r="F36" s="56"/>
      <c r="G36" s="56"/>
      <c r="H36" s="56"/>
      <c r="I36" s="61"/>
      <c r="J36" s="61"/>
      <c r="K36" s="61"/>
      <c r="L36" s="61"/>
      <c r="M36" s="61"/>
      <c r="N36" s="61"/>
      <c r="O36" s="61"/>
      <c r="P36" s="61"/>
      <c r="Q36" s="61"/>
      <c r="R36" s="61"/>
      <c r="S36" s="61"/>
      <c r="T36" s="61"/>
      <c r="U36" s="61"/>
      <c r="V36" s="61"/>
      <c r="W36" s="61"/>
      <c r="X36" s="62"/>
    </row>
    <row r="37" spans="1:24" x14ac:dyDescent="0.3">
      <c r="A37" s="54" t="s">
        <v>224</v>
      </c>
      <c r="B37" s="56" t="s">
        <v>224</v>
      </c>
      <c r="C37" s="56"/>
      <c r="D37" s="56"/>
      <c r="E37" s="61"/>
      <c r="F37" s="56"/>
      <c r="G37" s="56"/>
      <c r="H37" s="56"/>
      <c r="I37" s="61"/>
      <c r="J37" s="61"/>
      <c r="K37" s="61"/>
      <c r="L37" s="61"/>
      <c r="M37" s="61"/>
      <c r="N37" s="61"/>
      <c r="O37" s="61"/>
      <c r="P37" s="61"/>
      <c r="Q37" s="61"/>
      <c r="R37" s="61"/>
      <c r="S37" s="61"/>
      <c r="T37" s="61"/>
      <c r="U37" s="61"/>
      <c r="V37" s="61"/>
      <c r="W37" s="61"/>
      <c r="X37" s="62"/>
    </row>
    <row r="38" spans="1:24" ht="15.6" x14ac:dyDescent="0.3">
      <c r="A38" s="55" t="s">
        <v>328</v>
      </c>
      <c r="B38" s="61"/>
      <c r="C38" s="56"/>
      <c r="D38" s="56"/>
      <c r="E38" s="61"/>
      <c r="F38" s="56"/>
      <c r="G38" s="56"/>
      <c r="H38" s="56"/>
      <c r="I38" s="61"/>
      <c r="J38" s="61"/>
      <c r="K38" s="61"/>
      <c r="L38" s="61"/>
      <c r="M38" s="61"/>
      <c r="N38" s="61"/>
      <c r="O38" s="61"/>
      <c r="P38" s="61"/>
      <c r="Q38" s="61"/>
      <c r="R38" s="61"/>
      <c r="S38" s="61"/>
      <c r="T38" s="61"/>
      <c r="U38" s="61"/>
      <c r="V38" s="61"/>
      <c r="W38" s="61"/>
      <c r="X38" s="62"/>
    </row>
    <row r="39" spans="1:24" x14ac:dyDescent="0.3">
      <c r="A39" s="54" t="s">
        <v>329</v>
      </c>
      <c r="B39" s="61" t="s">
        <v>330</v>
      </c>
      <c r="C39" s="56" t="s">
        <v>224</v>
      </c>
      <c r="D39" s="56" t="s">
        <v>331</v>
      </c>
      <c r="E39" s="61" t="s">
        <v>147</v>
      </c>
      <c r="F39" s="56" t="s">
        <v>332</v>
      </c>
      <c r="G39" s="56" t="s">
        <v>227</v>
      </c>
      <c r="H39" s="56" t="s">
        <v>327</v>
      </c>
      <c r="I39" s="61" t="s">
        <v>372</v>
      </c>
      <c r="J39" s="61" t="s">
        <v>373</v>
      </c>
      <c r="K39" s="61" t="s">
        <v>374</v>
      </c>
      <c r="L39" s="61" t="s">
        <v>148</v>
      </c>
      <c r="M39" s="61" t="s">
        <v>585</v>
      </c>
      <c r="N39" s="61" t="s">
        <v>586</v>
      </c>
      <c r="O39" s="61" t="s">
        <v>587</v>
      </c>
      <c r="P39" s="61" t="s">
        <v>220</v>
      </c>
      <c r="Q39" s="61" t="s">
        <v>588</v>
      </c>
      <c r="R39" s="61" t="s">
        <v>590</v>
      </c>
      <c r="S39" s="61" t="s">
        <v>591</v>
      </c>
      <c r="T39" s="61" t="s">
        <v>592</v>
      </c>
      <c r="U39" s="61" t="s">
        <v>593</v>
      </c>
      <c r="V39" s="61" t="s">
        <v>594</v>
      </c>
      <c r="W39" s="61" t="s">
        <v>595</v>
      </c>
      <c r="X39" s="62" t="s">
        <v>589</v>
      </c>
    </row>
    <row r="40" spans="1:24" x14ac:dyDescent="0.3">
      <c r="A40" s="285" t="str">
        <f>IF($G$40='4. INPUTS LIST'!$B$3,'4. INPUTS LIST'!$C$3, IF($G$40='4. INPUTS LIST'!$B$4,'4. INPUTS LIST'!$C$4, IF($G$40='4. INPUTS LIST'!$B$5,'4. INPUTS LIST'!$C$5, IF($G$40='4. INPUTS LIST'!$B$6,'4. INPUTS LIST'!$C$6, IF($G$40='4. INPUTS LIST'!$B$7,'4. INPUTS LIST'!$C$7, IF($G$40='4. INPUTS LIST'!$B$8,'4. INPUTS LIST'!$C$8, IF($G$40='4. INPUTS LIST'!$B$9,'4. INPUTS LIST'!$C$9, IF($G$40='4. INPUTS LIST'!$B$10,'4. INPUTS LIST'!$C$10, IF($G$40='4. INPUTS LIST'!$B$11,'4. INPUTS LIST'!$C$11, IF($G$40='4. INPUTS LIST'!$B$12,'4. INPUTS LIST'!$C$12))))))))))</f>
        <v>market for electricity, medium voltage</v>
      </c>
      <c r="B40" s="297">
        <f>'13. WET CLEAN'!$D$6</f>
        <v>2.2475548326758485E-3</v>
      </c>
      <c r="C40" s="3" t="s">
        <v>342</v>
      </c>
      <c r="D40" s="3" t="s">
        <v>385</v>
      </c>
      <c r="E40" s="58" t="str">
        <f>IF($A$40='4. INPUTS LIST'!$C$3,'4. INPUTS LIST'!$D$3, IF($A$40='4. INPUTS LIST'!$C$7, '4. INPUTS LIST'!$D$7, IF($A$40='4. INPUTS LIST'!$C$12,'4. INPUTS LIST'!$D$12)))</f>
        <v>electricity, medium voltage</v>
      </c>
      <c r="F40" s="3" t="s">
        <v>371</v>
      </c>
      <c r="G40" s="3" t="str">
        <f>'1. USER INPUTS'!$E$24</f>
        <v>JP</v>
      </c>
      <c r="H40" s="3" t="s">
        <v>154</v>
      </c>
      <c r="I40" s="58">
        <v>2</v>
      </c>
      <c r="J40" s="58">
        <f>IF(B40=0,"(Unknown)",LN((ABS(B40))))</f>
        <v>-6.097912394729966</v>
      </c>
      <c r="K40" s="58">
        <f>IF(B40&gt;0,SQRT(LN(L40)),"(Unknown)")</f>
        <v>0.32603904386951327</v>
      </c>
      <c r="L40" s="90">
        <f>IF(B40&gt;0,(EXP(SQRT((LN(X40))^2+(LN(R40))^2+(LN(S40))^2+(LN(T40))^2+(LN(U40))^2+(LN(V40))^2))),"(Unknown)")</f>
        <v>1.1121570947719619</v>
      </c>
      <c r="M40" s="58">
        <v>4</v>
      </c>
      <c r="N40" s="58">
        <v>4</v>
      </c>
      <c r="O40" s="58">
        <v>1</v>
      </c>
      <c r="P40" s="58">
        <v>3</v>
      </c>
      <c r="Q40" s="58">
        <v>2</v>
      </c>
      <c r="R40" s="58">
        <f>IF(M40=1, '6. PEDIGREE MATRIX'!$B$4, IF(M40=2, '6. PEDIGREE MATRIX'!$C$4, IF(M40=3, '6. PEDIGREE MATRIX'!$D$4, IF(M40=4, '6. PEDIGREE MATRIX'!$E$4, IF(M40=5, '6. PEDIGREE MATRIX'!$F$4)))))</f>
        <v>1.0935646911485417</v>
      </c>
      <c r="S40" s="58">
        <f>IF(N40=1, '6. PEDIGREE MATRIX'!$B$6, IF(N40=2, '6. PEDIGREE MATRIX'!$C$6, IF(N40=3, '6. PEDIGREE MATRIX'!$D$6, IF(N40=4, '6. PEDIGREE MATRIX'!$E$6, IF(N40=5, '6. PEDIGREE MATRIX'!$F$6)))))</f>
        <v>1.0457364348384068</v>
      </c>
      <c r="T40" s="58">
        <f>IF(O40=1, '6. PEDIGREE MATRIX'!$B$8, IF(O40=2, '6. PEDIGREE MATRIX'!$C$8, IF(O40=3, '6. PEDIGREE MATRIX'!$D$8, IF(O40=4, '6. PEDIGREE MATRIX'!$E$8, IF(O40=5, '6. PEDIGREE MATRIX'!$F$8)))))</f>
        <v>1</v>
      </c>
      <c r="U40" s="58">
        <f>IF(P40=1, '6. PEDIGREE MATRIX'!$B$10, IF(P40=2, '6. PEDIGREE MATRIX'!$C$10, IF(P40=3, '6. PEDIGREE MATRIX'!$D$10, IF(P40=4, '6. PEDIGREE MATRIX'!$E$10, IF(P40=5, '6. PEDIGREE MATRIX'!$F$10)))))</f>
        <v>1.0100501670841679</v>
      </c>
      <c r="V40" s="58">
        <f>IF(Q40=1, '6. PEDIGREE MATRIX'!$B$12, IF(Q40=2, '6. PEDIGREE MATRIX'!$C$12, IF(Q40=3, '6. PEDIGREE MATRIX'!$D$12, IF(Q40=4, '6. PEDIGREE MATRIX'!$E$12, IF(Q40=5, '6. PEDIGREE MATRIX'!$F$12)))))</f>
        <v>1.0247973619913604</v>
      </c>
      <c r="W40" s="58">
        <v>5.9999999999999995E-4</v>
      </c>
      <c r="X40" s="63">
        <f t="shared" ref="X40:X46" si="3">EXP(SQRT(W40))</f>
        <v>1.0247973619913604</v>
      </c>
    </row>
    <row r="41" spans="1:24" x14ac:dyDescent="0.3">
      <c r="A41" s="15" t="s">
        <v>695</v>
      </c>
      <c r="B41" s="297">
        <f>'13. WET CLEAN'!$D$7</f>
        <v>3.2938550497989369E-4</v>
      </c>
      <c r="C41" s="3" t="s">
        <v>153</v>
      </c>
      <c r="D41" s="3" t="s">
        <v>385</v>
      </c>
      <c r="E41" s="38" t="s">
        <v>157</v>
      </c>
      <c r="F41" s="3" t="s">
        <v>371</v>
      </c>
      <c r="G41" s="3" t="s">
        <v>429</v>
      </c>
      <c r="H41" s="3" t="s">
        <v>154</v>
      </c>
      <c r="I41" s="58">
        <v>2</v>
      </c>
      <c r="J41" s="58">
        <f t="shared" ref="J41:J47" si="4">IF(B41=0,"(Unknown)",LN((ABS(B41))))</f>
        <v>-8.0182817455001434</v>
      </c>
      <c r="K41" s="58">
        <f t="shared" ref="K41:K47" si="5">IF(B41&gt;0,SQRT(LN(L41)),"(Unknown)")</f>
        <v>0.32603904386951327</v>
      </c>
      <c r="L41" s="90">
        <f t="shared" ref="L41:L47" si="6">IF(B41&gt;0,(EXP(SQRT((LN(X41))^2+(LN(R41))^2+(LN(S41))^2+(LN(T41))^2+(LN(U41))^2+(LN(V41))^2))),"(Unknown)")</f>
        <v>1.1121570947719619</v>
      </c>
      <c r="M41" s="58">
        <v>4</v>
      </c>
      <c r="N41" s="58">
        <v>4</v>
      </c>
      <c r="O41" s="58">
        <v>1</v>
      </c>
      <c r="P41" s="58">
        <v>3</v>
      </c>
      <c r="Q41" s="58">
        <v>2</v>
      </c>
      <c r="R41" s="58">
        <f>IF(M41=1, '6. PEDIGREE MATRIX'!$B$4, IF(M41=2, '6. PEDIGREE MATRIX'!$C$4, IF(M41=3, '6. PEDIGREE MATRIX'!$D$4, IF(M41=4, '6. PEDIGREE MATRIX'!$E$4, IF(M41=5, '6. PEDIGREE MATRIX'!$F$4)))))</f>
        <v>1.0935646911485417</v>
      </c>
      <c r="S41" s="58">
        <f>IF(N41=1, '6. PEDIGREE MATRIX'!$B$6, IF(N41=2, '6. PEDIGREE MATRIX'!$C$6, IF(N41=3, '6. PEDIGREE MATRIX'!$D$6, IF(N41=4, '6. PEDIGREE MATRIX'!$E$6, IF(N41=5, '6. PEDIGREE MATRIX'!$F$6)))))</f>
        <v>1.0457364348384068</v>
      </c>
      <c r="T41" s="58">
        <f>IF(O41=1, '6. PEDIGREE MATRIX'!$B$8, IF(O41=2, '6. PEDIGREE MATRIX'!$C$8, IF(O41=3, '6. PEDIGREE MATRIX'!$D$8, IF(O41=4, '6. PEDIGREE MATRIX'!$E$8, IF(O41=5, '6. PEDIGREE MATRIX'!$F$8)))))</f>
        <v>1</v>
      </c>
      <c r="U41" s="58">
        <f>IF(P41=1, '6. PEDIGREE MATRIX'!$B$10, IF(P41=2, '6. PEDIGREE MATRIX'!$C$10, IF(P41=3, '6. PEDIGREE MATRIX'!$D$10, IF(P41=4, '6. PEDIGREE MATRIX'!$E$10, IF(P41=5, '6. PEDIGREE MATRIX'!$F$10)))))</f>
        <v>1.0100501670841679</v>
      </c>
      <c r="V41" s="58">
        <f>IF(Q41=1, '6. PEDIGREE MATRIX'!$B$12, IF(Q41=2, '6. PEDIGREE MATRIX'!$C$12, IF(Q41=3, '6. PEDIGREE MATRIX'!$D$12, IF(Q41=4, '6. PEDIGREE MATRIX'!$E$12, IF(Q41=5, '6. PEDIGREE MATRIX'!$F$12)))))</f>
        <v>1.0247973619913604</v>
      </c>
      <c r="W41" s="58">
        <v>5.9999999999999995E-4</v>
      </c>
      <c r="X41" s="63">
        <f t="shared" si="3"/>
        <v>1.0247973619913604</v>
      </c>
    </row>
    <row r="42" spans="1:24" x14ac:dyDescent="0.3">
      <c r="A42" s="15" t="s">
        <v>380</v>
      </c>
      <c r="B42" s="297">
        <f>'13. WET CLEAN'!$D$8</f>
        <v>3.7234883171640169E-4</v>
      </c>
      <c r="C42" s="3" t="s">
        <v>153</v>
      </c>
      <c r="D42" s="3" t="s">
        <v>385</v>
      </c>
      <c r="E42" s="58" t="s">
        <v>155</v>
      </c>
      <c r="F42" s="3" t="s">
        <v>371</v>
      </c>
      <c r="G42" s="3" t="s">
        <v>429</v>
      </c>
      <c r="H42" s="3" t="s">
        <v>154</v>
      </c>
      <c r="I42" s="58">
        <v>2</v>
      </c>
      <c r="J42" s="58">
        <f t="shared" si="4"/>
        <v>-7.8956794234078105</v>
      </c>
      <c r="K42" s="58">
        <f t="shared" si="5"/>
        <v>0.32603904386951327</v>
      </c>
      <c r="L42" s="90">
        <f t="shared" si="6"/>
        <v>1.1121570947719619</v>
      </c>
      <c r="M42" s="58">
        <v>4</v>
      </c>
      <c r="N42" s="58">
        <v>4</v>
      </c>
      <c r="O42" s="58">
        <v>1</v>
      </c>
      <c r="P42" s="58">
        <v>3</v>
      </c>
      <c r="Q42" s="58">
        <v>2</v>
      </c>
      <c r="R42" s="58">
        <f>IF(M42=1, '6. PEDIGREE MATRIX'!$B$4, IF(M42=2, '6. PEDIGREE MATRIX'!$C$4, IF(M42=3, '6. PEDIGREE MATRIX'!$D$4, IF(M42=4, '6. PEDIGREE MATRIX'!$E$4, IF(M42=5, '6. PEDIGREE MATRIX'!$F$4)))))</f>
        <v>1.0935646911485417</v>
      </c>
      <c r="S42" s="58">
        <f>IF(N42=1, '6. PEDIGREE MATRIX'!$B$6, IF(N42=2, '6. PEDIGREE MATRIX'!$C$6, IF(N42=3, '6. PEDIGREE MATRIX'!$D$6, IF(N42=4, '6. PEDIGREE MATRIX'!$E$6, IF(N42=5, '6. PEDIGREE MATRIX'!$F$6)))))</f>
        <v>1.0457364348384068</v>
      </c>
      <c r="T42" s="58">
        <f>IF(O42=1, '6. PEDIGREE MATRIX'!$B$8, IF(O42=2, '6. PEDIGREE MATRIX'!$C$8, IF(O42=3, '6. PEDIGREE MATRIX'!$D$8, IF(O42=4, '6. PEDIGREE MATRIX'!$E$8, IF(O42=5, '6. PEDIGREE MATRIX'!$F$8)))))</f>
        <v>1</v>
      </c>
      <c r="U42" s="58">
        <f>IF(P42=1, '6. PEDIGREE MATRIX'!$B$10, IF(P42=2, '6. PEDIGREE MATRIX'!$C$10, IF(P42=3, '6. PEDIGREE MATRIX'!$D$10, IF(P42=4, '6. PEDIGREE MATRIX'!$E$10, IF(P42=5, '6. PEDIGREE MATRIX'!$F$10)))))</f>
        <v>1.0100501670841679</v>
      </c>
      <c r="V42" s="58">
        <f>IF(Q42=1, '6. PEDIGREE MATRIX'!$B$12, IF(Q42=2, '6. PEDIGREE MATRIX'!$C$12, IF(Q42=3, '6. PEDIGREE MATRIX'!$D$12, IF(Q42=4, '6. PEDIGREE MATRIX'!$E$12, IF(Q42=5, '6. PEDIGREE MATRIX'!$F$12)))))</f>
        <v>1.0247973619913604</v>
      </c>
      <c r="W42" s="58">
        <v>5.9999999999999995E-4</v>
      </c>
      <c r="X42" s="63">
        <f t="shared" si="3"/>
        <v>1.0247973619913604</v>
      </c>
    </row>
    <row r="43" spans="1:24" x14ac:dyDescent="0.3">
      <c r="A43" s="344" t="s">
        <v>430</v>
      </c>
      <c r="B43" s="297">
        <f>'13. WET CLEAN'!$D$9</f>
        <v>1.70574636507445E-3</v>
      </c>
      <c r="C43" s="3" t="s">
        <v>153</v>
      </c>
      <c r="D43" s="3" t="s">
        <v>385</v>
      </c>
      <c r="E43" s="58" t="s">
        <v>161</v>
      </c>
      <c r="F43" s="3" t="s">
        <v>371</v>
      </c>
      <c r="G43" s="3" t="s">
        <v>429</v>
      </c>
      <c r="H43" s="3" t="s">
        <v>154</v>
      </c>
      <c r="I43" s="58">
        <v>2</v>
      </c>
      <c r="J43" s="58">
        <f t="shared" si="4"/>
        <v>-6.3737525132547725</v>
      </c>
      <c r="K43" s="58">
        <f t="shared" si="5"/>
        <v>0.32603904386951327</v>
      </c>
      <c r="L43" s="90">
        <f t="shared" si="6"/>
        <v>1.1121570947719619</v>
      </c>
      <c r="M43" s="58">
        <v>4</v>
      </c>
      <c r="N43" s="58">
        <v>4</v>
      </c>
      <c r="O43" s="58">
        <v>1</v>
      </c>
      <c r="P43" s="58">
        <v>3</v>
      </c>
      <c r="Q43" s="58">
        <v>2</v>
      </c>
      <c r="R43" s="58">
        <f>IF(M43=1, '6. PEDIGREE MATRIX'!$B$4, IF(M43=2, '6. PEDIGREE MATRIX'!$C$4, IF(M43=3, '6. PEDIGREE MATRIX'!$D$4, IF(M43=4, '6. PEDIGREE MATRIX'!$E$4, IF(M43=5, '6. PEDIGREE MATRIX'!$F$4)))))</f>
        <v>1.0935646911485417</v>
      </c>
      <c r="S43" s="58">
        <f>IF(N43=1, '6. PEDIGREE MATRIX'!$B$6, IF(N43=2, '6. PEDIGREE MATRIX'!$C$6, IF(N43=3, '6. PEDIGREE MATRIX'!$D$6, IF(N43=4, '6. PEDIGREE MATRIX'!$E$6, IF(N43=5, '6. PEDIGREE MATRIX'!$F$6)))))</f>
        <v>1.0457364348384068</v>
      </c>
      <c r="T43" s="58">
        <f>IF(O43=1, '6. PEDIGREE MATRIX'!$B$8, IF(O43=2, '6. PEDIGREE MATRIX'!$C$8, IF(O43=3, '6. PEDIGREE MATRIX'!$D$8, IF(O43=4, '6. PEDIGREE MATRIX'!$E$8, IF(O43=5, '6. PEDIGREE MATRIX'!$F$8)))))</f>
        <v>1</v>
      </c>
      <c r="U43" s="58">
        <f>IF(P43=1, '6. PEDIGREE MATRIX'!$B$10, IF(P43=2, '6. PEDIGREE MATRIX'!$C$10, IF(P43=3, '6. PEDIGREE MATRIX'!$D$10, IF(P43=4, '6. PEDIGREE MATRIX'!$E$10, IF(P43=5, '6. PEDIGREE MATRIX'!$F$10)))))</f>
        <v>1.0100501670841679</v>
      </c>
      <c r="V43" s="58">
        <f>IF(Q43=1, '6. PEDIGREE MATRIX'!$B$12, IF(Q43=2, '6. PEDIGREE MATRIX'!$C$12, IF(Q43=3, '6. PEDIGREE MATRIX'!$D$12, IF(Q43=4, '6. PEDIGREE MATRIX'!$E$12, IF(Q43=5, '6. PEDIGREE MATRIX'!$F$12)))))</f>
        <v>1.0247973619913604</v>
      </c>
      <c r="W43" s="58">
        <v>5.9999999999999995E-4</v>
      </c>
      <c r="X43" s="63">
        <f t="shared" si="3"/>
        <v>1.0247973619913604</v>
      </c>
    </row>
    <row r="44" spans="1:24" x14ac:dyDescent="0.3">
      <c r="A44" s="262" t="s">
        <v>431</v>
      </c>
      <c r="B44" s="297">
        <f>'13. WET CLEAN'!$D$10</f>
        <v>4.8691770301375606E-4</v>
      </c>
      <c r="C44" s="3" t="s">
        <v>153</v>
      </c>
      <c r="D44" s="3" t="s">
        <v>385</v>
      </c>
      <c r="E44" s="58" t="s">
        <v>162</v>
      </c>
      <c r="F44" s="3" t="s">
        <v>371</v>
      </c>
      <c r="G44" s="3" t="s">
        <v>429</v>
      </c>
      <c r="H44" s="3" t="s">
        <v>154</v>
      </c>
      <c r="I44" s="58">
        <v>2</v>
      </c>
      <c r="J44" s="58">
        <f t="shared" si="4"/>
        <v>-7.6274154368131315</v>
      </c>
      <c r="K44" s="58">
        <f t="shared" si="5"/>
        <v>0.32603904386951327</v>
      </c>
      <c r="L44" s="90">
        <f t="shared" si="6"/>
        <v>1.1121570947719619</v>
      </c>
      <c r="M44" s="58">
        <v>4</v>
      </c>
      <c r="N44" s="58">
        <v>4</v>
      </c>
      <c r="O44" s="58">
        <v>1</v>
      </c>
      <c r="P44" s="58">
        <v>3</v>
      </c>
      <c r="Q44" s="58">
        <v>2</v>
      </c>
      <c r="R44" s="58">
        <f>IF(M44=1, '6. PEDIGREE MATRIX'!$B$4, IF(M44=2, '6. PEDIGREE MATRIX'!$C$4, IF(M44=3, '6. PEDIGREE MATRIX'!$D$4, IF(M44=4, '6. PEDIGREE MATRIX'!$E$4, IF(M44=5, '6. PEDIGREE MATRIX'!$F$4)))))</f>
        <v>1.0935646911485417</v>
      </c>
      <c r="S44" s="58">
        <f>IF(N44=1, '6. PEDIGREE MATRIX'!$B$6, IF(N44=2, '6. PEDIGREE MATRIX'!$C$6, IF(N44=3, '6. PEDIGREE MATRIX'!$D$6, IF(N44=4, '6. PEDIGREE MATRIX'!$E$6, IF(N44=5, '6. PEDIGREE MATRIX'!$F$6)))))</f>
        <v>1.0457364348384068</v>
      </c>
      <c r="T44" s="58">
        <f>IF(O44=1, '6. PEDIGREE MATRIX'!$B$8, IF(O44=2, '6. PEDIGREE MATRIX'!$C$8, IF(O44=3, '6. PEDIGREE MATRIX'!$D$8, IF(O44=4, '6. PEDIGREE MATRIX'!$E$8, IF(O44=5, '6. PEDIGREE MATRIX'!$F$8)))))</f>
        <v>1</v>
      </c>
      <c r="U44" s="58">
        <f>IF(P44=1, '6. PEDIGREE MATRIX'!$B$10, IF(P44=2, '6. PEDIGREE MATRIX'!$C$10, IF(P44=3, '6. PEDIGREE MATRIX'!$D$10, IF(P44=4, '6. PEDIGREE MATRIX'!$E$10, IF(P44=5, '6. PEDIGREE MATRIX'!$F$10)))))</f>
        <v>1.0100501670841679</v>
      </c>
      <c r="V44" s="58">
        <f>IF(Q44=1, '6. PEDIGREE MATRIX'!$B$12, IF(Q44=2, '6. PEDIGREE MATRIX'!$C$12, IF(Q44=3, '6. PEDIGREE MATRIX'!$D$12, IF(Q44=4, '6. PEDIGREE MATRIX'!$E$12, IF(Q44=5, '6. PEDIGREE MATRIX'!$F$12)))))</f>
        <v>1.0247973619913604</v>
      </c>
      <c r="W44" s="58">
        <v>5.9999999999999995E-4</v>
      </c>
      <c r="X44" s="63">
        <f t="shared" si="3"/>
        <v>1.0247973619913604</v>
      </c>
    </row>
    <row r="45" spans="1:24" x14ac:dyDescent="0.3">
      <c r="A45" s="293" t="s">
        <v>962</v>
      </c>
      <c r="B45" s="297">
        <f>'13. WET CLEAN'!$D$11</f>
        <v>1.9011272080904736E-4</v>
      </c>
      <c r="C45" s="3" t="s">
        <v>153</v>
      </c>
      <c r="D45" s="3" t="s">
        <v>385</v>
      </c>
      <c r="E45" s="38" t="s">
        <v>433</v>
      </c>
      <c r="F45" s="3" t="s">
        <v>371</v>
      </c>
      <c r="G45" s="3" t="s">
        <v>429</v>
      </c>
      <c r="H45" s="3" t="s">
        <v>154</v>
      </c>
      <c r="I45" s="58">
        <v>2</v>
      </c>
      <c r="J45" s="58">
        <f t="shared" si="4"/>
        <v>-8.56789339430129</v>
      </c>
      <c r="K45" s="58">
        <f t="shared" si="5"/>
        <v>0.32603904386951327</v>
      </c>
      <c r="L45" s="90">
        <f t="shared" si="6"/>
        <v>1.1121570947719619</v>
      </c>
      <c r="M45" s="58">
        <v>4</v>
      </c>
      <c r="N45" s="58">
        <v>4</v>
      </c>
      <c r="O45" s="58">
        <v>1</v>
      </c>
      <c r="P45" s="58">
        <v>3</v>
      </c>
      <c r="Q45" s="58">
        <v>2</v>
      </c>
      <c r="R45" s="58">
        <f>IF(M45=1, '6. PEDIGREE MATRIX'!$B$4, IF(M45=2, '6. PEDIGREE MATRIX'!$C$4, IF(M45=3, '6. PEDIGREE MATRIX'!$D$4, IF(M45=4, '6. PEDIGREE MATRIX'!$E$4, IF(M45=5, '6. PEDIGREE MATRIX'!$F$4)))))</f>
        <v>1.0935646911485417</v>
      </c>
      <c r="S45" s="58">
        <f>IF(N45=1, '6. PEDIGREE MATRIX'!$B$6, IF(N45=2, '6. PEDIGREE MATRIX'!$C$6, IF(N45=3, '6. PEDIGREE MATRIX'!$D$6, IF(N45=4, '6. PEDIGREE MATRIX'!$E$6, IF(N45=5, '6. PEDIGREE MATRIX'!$F$6)))))</f>
        <v>1.0457364348384068</v>
      </c>
      <c r="T45" s="58">
        <f>IF(O45=1, '6. PEDIGREE MATRIX'!$B$8, IF(O45=2, '6. PEDIGREE MATRIX'!$C$8, IF(O45=3, '6. PEDIGREE MATRIX'!$D$8, IF(O45=4, '6. PEDIGREE MATRIX'!$E$8, IF(O45=5, '6. PEDIGREE MATRIX'!$F$8)))))</f>
        <v>1</v>
      </c>
      <c r="U45" s="58">
        <f>IF(P45=1, '6. PEDIGREE MATRIX'!$B$10, IF(P45=2, '6. PEDIGREE MATRIX'!$C$10, IF(P45=3, '6. PEDIGREE MATRIX'!$D$10, IF(P45=4, '6. PEDIGREE MATRIX'!$E$10, IF(P45=5, '6. PEDIGREE MATRIX'!$F$10)))))</f>
        <v>1.0100501670841679</v>
      </c>
      <c r="V45" s="58">
        <f>IF(Q45=1, '6. PEDIGREE MATRIX'!$B$12, IF(Q45=2, '6. PEDIGREE MATRIX'!$C$12, IF(Q45=3, '6. PEDIGREE MATRIX'!$D$12, IF(Q45=4, '6. PEDIGREE MATRIX'!$E$12, IF(Q45=5, '6. PEDIGREE MATRIX'!$F$12)))))</f>
        <v>1.0247973619913604</v>
      </c>
      <c r="W45" s="58">
        <v>5.9999999999999995E-4</v>
      </c>
      <c r="X45" s="63">
        <f t="shared" si="3"/>
        <v>1.0247973619913604</v>
      </c>
    </row>
    <row r="46" spans="1:24" x14ac:dyDescent="0.3">
      <c r="A46" s="262" t="s">
        <v>158</v>
      </c>
      <c r="B46" s="297">
        <f>'13. WET CLEAN'!$D$12</f>
        <v>4.0116494872038798E-2</v>
      </c>
      <c r="C46" s="3" t="s">
        <v>153</v>
      </c>
      <c r="D46" s="3" t="s">
        <v>385</v>
      </c>
      <c r="E46" s="58" t="s">
        <v>159</v>
      </c>
      <c r="F46" s="3" t="s">
        <v>371</v>
      </c>
      <c r="G46" s="3" t="s">
        <v>429</v>
      </c>
      <c r="H46" s="3" t="s">
        <v>154</v>
      </c>
      <c r="I46" s="58">
        <v>2</v>
      </c>
      <c r="J46" s="58">
        <f t="shared" si="4"/>
        <v>-3.2159676858057704</v>
      </c>
      <c r="K46" s="58">
        <f t="shared" si="5"/>
        <v>0.32603904386951327</v>
      </c>
      <c r="L46" s="90">
        <f t="shared" si="6"/>
        <v>1.1121570947719619</v>
      </c>
      <c r="M46" s="58">
        <v>4</v>
      </c>
      <c r="N46" s="58">
        <v>4</v>
      </c>
      <c r="O46" s="58">
        <v>1</v>
      </c>
      <c r="P46" s="58">
        <v>3</v>
      </c>
      <c r="Q46" s="58">
        <v>2</v>
      </c>
      <c r="R46" s="58">
        <f>IF(M46=1, '6. PEDIGREE MATRIX'!$B$4, IF(M46=2, '6. PEDIGREE MATRIX'!$C$4, IF(M46=3, '6. PEDIGREE MATRIX'!$D$4, IF(M46=4, '6. PEDIGREE MATRIX'!$E$4, IF(M46=5, '6. PEDIGREE MATRIX'!$F$4)))))</f>
        <v>1.0935646911485417</v>
      </c>
      <c r="S46" s="58">
        <f>IF(N46=1, '6. PEDIGREE MATRIX'!$B$6, IF(N46=2, '6. PEDIGREE MATRIX'!$C$6, IF(N46=3, '6. PEDIGREE MATRIX'!$D$6, IF(N46=4, '6. PEDIGREE MATRIX'!$E$6, IF(N46=5, '6. PEDIGREE MATRIX'!$F$6)))))</f>
        <v>1.0457364348384068</v>
      </c>
      <c r="T46" s="58">
        <f>IF(O46=1, '6. PEDIGREE MATRIX'!$B$8, IF(O46=2, '6. PEDIGREE MATRIX'!$C$8, IF(O46=3, '6. PEDIGREE MATRIX'!$D$8, IF(O46=4, '6. PEDIGREE MATRIX'!$E$8, IF(O46=5, '6. PEDIGREE MATRIX'!$F$8)))))</f>
        <v>1</v>
      </c>
      <c r="U46" s="58">
        <f>IF(P46=1, '6. PEDIGREE MATRIX'!$B$10, IF(P46=2, '6. PEDIGREE MATRIX'!$C$10, IF(P46=3, '6. PEDIGREE MATRIX'!$D$10, IF(P46=4, '6. PEDIGREE MATRIX'!$E$10, IF(P46=5, '6. PEDIGREE MATRIX'!$F$10)))))</f>
        <v>1.0100501670841679</v>
      </c>
      <c r="V46" s="58">
        <f>IF(Q46=1, '6. PEDIGREE MATRIX'!$B$12, IF(Q46=2, '6. PEDIGREE MATRIX'!$C$12, IF(Q46=3, '6. PEDIGREE MATRIX'!$D$12, IF(Q46=4, '6. PEDIGREE MATRIX'!$E$12, IF(Q46=5, '6. PEDIGREE MATRIX'!$F$12)))))</f>
        <v>1.0247973619913604</v>
      </c>
      <c r="W46" s="58">
        <v>5.9999999999999995E-4</v>
      </c>
      <c r="X46" s="63">
        <f t="shared" si="3"/>
        <v>1.0247973619913604</v>
      </c>
    </row>
    <row r="47" spans="1:24" x14ac:dyDescent="0.3">
      <c r="A47" s="262" t="s">
        <v>1494</v>
      </c>
      <c r="B47" s="297">
        <f>'13. WET CLEAN'!$D$13</f>
        <v>4.4971146205994008E-3</v>
      </c>
      <c r="C47" s="841" t="s">
        <v>153</v>
      </c>
      <c r="D47" s="3" t="s">
        <v>385</v>
      </c>
      <c r="E47" s="58" t="s">
        <v>1578</v>
      </c>
      <c r="F47" s="3" t="s">
        <v>371</v>
      </c>
      <c r="G47" s="3" t="s">
        <v>429</v>
      </c>
      <c r="H47" s="3" t="s">
        <v>154</v>
      </c>
      <c r="I47" s="58">
        <v>2</v>
      </c>
      <c r="J47" s="58">
        <f t="shared" si="4"/>
        <v>-5.4043192832819171</v>
      </c>
      <c r="K47" s="58">
        <f t="shared" si="5"/>
        <v>0.32603904386951327</v>
      </c>
      <c r="L47" s="90">
        <f t="shared" si="6"/>
        <v>1.1121570947719619</v>
      </c>
      <c r="M47" s="58">
        <v>4</v>
      </c>
      <c r="N47" s="58">
        <v>4</v>
      </c>
      <c r="O47" s="58">
        <v>1</v>
      </c>
      <c r="P47" s="58">
        <v>3</v>
      </c>
      <c r="Q47" s="58">
        <v>2</v>
      </c>
      <c r="R47" s="58">
        <f>IF(M47=1, '6. PEDIGREE MATRIX'!$B$4, IF(M47=2, '6. PEDIGREE MATRIX'!$C$4, IF(M47=3, '6. PEDIGREE MATRIX'!$D$4, IF(M47=4, '6. PEDIGREE MATRIX'!$E$4, IF(M47=5, '6. PEDIGREE MATRIX'!$F$4)))))</f>
        <v>1.0935646911485417</v>
      </c>
      <c r="S47" s="58">
        <f>IF(N47=1, '6. PEDIGREE MATRIX'!$B$6, IF(N47=2, '6. PEDIGREE MATRIX'!$C$6, IF(N47=3, '6. PEDIGREE MATRIX'!$D$6, IF(N47=4, '6. PEDIGREE MATRIX'!$E$6, IF(N47=5, '6. PEDIGREE MATRIX'!$F$6)))))</f>
        <v>1.0457364348384068</v>
      </c>
      <c r="T47" s="58">
        <f>IF(O47=1, '6. PEDIGREE MATRIX'!$B$8, IF(O47=2, '6. PEDIGREE MATRIX'!$C$8, IF(O47=3, '6. PEDIGREE MATRIX'!$D$8, IF(O47=4, '6. PEDIGREE MATRIX'!$E$8, IF(O47=5, '6. PEDIGREE MATRIX'!$F$8)))))</f>
        <v>1</v>
      </c>
      <c r="U47" s="58">
        <f>IF(P47=1, '6. PEDIGREE MATRIX'!$B$10, IF(P47=2, '6. PEDIGREE MATRIX'!$C$10, IF(P47=3, '6. PEDIGREE MATRIX'!$D$10, IF(P47=4, '6. PEDIGREE MATRIX'!$E$10, IF(P47=5, '6. PEDIGREE MATRIX'!$F$10)))))</f>
        <v>1.0100501670841679</v>
      </c>
      <c r="V47" s="58">
        <f>IF(Q47=1, '6. PEDIGREE MATRIX'!$B$12, IF(Q47=2, '6. PEDIGREE MATRIX'!$C$12, IF(Q47=3, '6. PEDIGREE MATRIX'!$D$12, IF(Q47=4, '6. PEDIGREE MATRIX'!$E$12, IF(Q47=5, '6. PEDIGREE MATRIX'!$F$12)))))</f>
        <v>1.0247973619913604</v>
      </c>
      <c r="W47" s="58">
        <v>5.9999999999999995E-4</v>
      </c>
      <c r="X47" s="63">
        <f t="shared" ref="X47" si="7">EXP(SQRT(W47))</f>
        <v>1.0247973619913604</v>
      </c>
    </row>
    <row r="48" spans="1:24" x14ac:dyDescent="0.3">
      <c r="A48" s="545" t="s">
        <v>1956</v>
      </c>
      <c r="B48" s="297">
        <f>'24. WAFER FAB'!$D$72</f>
        <v>-4.5627052994171372E-7</v>
      </c>
      <c r="C48" s="112" t="s">
        <v>521</v>
      </c>
      <c r="D48" s="244" t="s">
        <v>385</v>
      </c>
      <c r="E48" s="522" t="s">
        <v>1957</v>
      </c>
      <c r="F48" s="244" t="s">
        <v>371</v>
      </c>
      <c r="G48" s="244" t="s">
        <v>429</v>
      </c>
      <c r="H48" s="244" t="s">
        <v>154</v>
      </c>
      <c r="I48" s="522">
        <v>2</v>
      </c>
      <c r="J48" s="522">
        <f t="shared" ref="J48:J52" si="8">IF(B48=0,"(Unknown)",LN((ABS(B48))))</f>
        <v>-14.600179935929527</v>
      </c>
      <c r="K48" s="522" t="str">
        <f t="shared" ref="K48:K52" si="9">IF(B48&gt;0,SQRT(LN(L48)),"(Unknown)")</f>
        <v>(Unknown)</v>
      </c>
      <c r="L48" s="523" t="str">
        <f t="shared" ref="L48:L52" si="10">IF(B48&gt;0,(EXP(SQRT((LN(X48))^2+(LN(R48))^2+(LN(S48))^2+(LN(T48))^2+(LN(U48))^2+(LN(V48))^2))),"(Unknown)")</f>
        <v>(Unknown)</v>
      </c>
      <c r="M48" s="522">
        <v>4</v>
      </c>
      <c r="N48" s="522">
        <v>4</v>
      </c>
      <c r="O48" s="522">
        <v>1</v>
      </c>
      <c r="P48" s="522">
        <v>3</v>
      </c>
      <c r="Q48" s="522">
        <v>2</v>
      </c>
      <c r="R48" s="522">
        <f>IF(M48=1, '6. PEDIGREE MATRIX'!$B$4, IF(M48=2, '6. PEDIGREE MATRIX'!$C$4, IF(M48=3, '6. PEDIGREE MATRIX'!$D$4, IF(M48=4, '6. PEDIGREE MATRIX'!$E$4, IF(M48=5, '6. PEDIGREE MATRIX'!$F$4)))))</f>
        <v>1.0935646911485417</v>
      </c>
      <c r="S48" s="522">
        <f>IF(N48=1, '6. PEDIGREE MATRIX'!$B$6, IF(N48=2, '6. PEDIGREE MATRIX'!$C$6, IF(N48=3, '6. PEDIGREE MATRIX'!$D$6, IF(N48=4, '6. PEDIGREE MATRIX'!$E$6, IF(N48=5, '6. PEDIGREE MATRIX'!$F$6)))))</f>
        <v>1.0457364348384068</v>
      </c>
      <c r="T48" s="522">
        <f>IF(O48=1, '6. PEDIGREE MATRIX'!$B$8, IF(O48=2, '6. PEDIGREE MATRIX'!$C$8, IF(O48=3, '6. PEDIGREE MATRIX'!$D$8, IF(O48=4, '6. PEDIGREE MATRIX'!$E$8, IF(O48=5, '6. PEDIGREE MATRIX'!$F$8)))))</f>
        <v>1</v>
      </c>
      <c r="U48" s="522">
        <f>IF(P48=1, '6. PEDIGREE MATRIX'!$B$10, IF(P48=2, '6. PEDIGREE MATRIX'!$C$10, IF(P48=3, '6. PEDIGREE MATRIX'!$D$10, IF(P48=4, '6. PEDIGREE MATRIX'!$E$10, IF(P48=5, '6. PEDIGREE MATRIX'!$F$10)))))</f>
        <v>1.0100501670841679</v>
      </c>
      <c r="V48" s="522">
        <f>IF(Q48=1, '6. PEDIGREE MATRIX'!$B$12, IF(Q48=2, '6. PEDIGREE MATRIX'!$C$12, IF(Q48=3, '6. PEDIGREE MATRIX'!$D$12, IF(Q48=4, '6. PEDIGREE MATRIX'!$E$12, IF(Q48=5, '6. PEDIGREE MATRIX'!$F$12)))))</f>
        <v>1.0247973619913604</v>
      </c>
      <c r="W48" s="522">
        <v>5.9999999999999995E-4</v>
      </c>
      <c r="X48" s="524">
        <f t="shared" ref="X48:X52" si="11">EXP(SQRT(W48))</f>
        <v>1.0247973619913604</v>
      </c>
    </row>
    <row r="49" spans="1:24" x14ac:dyDescent="0.3">
      <c r="A49" s="284" t="s">
        <v>1968</v>
      </c>
      <c r="B49" s="297">
        <f>'24. WAFER FAB'!$D$73</f>
        <v>-2.2813526497085686E-7</v>
      </c>
      <c r="C49" s="112" t="s">
        <v>521</v>
      </c>
      <c r="D49" s="244" t="s">
        <v>385</v>
      </c>
      <c r="E49" s="522" t="s">
        <v>1969</v>
      </c>
      <c r="F49" s="244" t="s">
        <v>371</v>
      </c>
      <c r="G49" s="244" t="s">
        <v>429</v>
      </c>
      <c r="H49" s="244" t="s">
        <v>154</v>
      </c>
      <c r="I49" s="522">
        <v>2</v>
      </c>
      <c r="J49" s="522">
        <f t="shared" si="8"/>
        <v>-15.293327116489472</v>
      </c>
      <c r="K49" s="522" t="str">
        <f t="shared" si="9"/>
        <v>(Unknown)</v>
      </c>
      <c r="L49" s="523" t="str">
        <f t="shared" si="10"/>
        <v>(Unknown)</v>
      </c>
      <c r="M49" s="522">
        <v>4</v>
      </c>
      <c r="N49" s="522">
        <v>4</v>
      </c>
      <c r="O49" s="522">
        <v>1</v>
      </c>
      <c r="P49" s="522">
        <v>3</v>
      </c>
      <c r="Q49" s="522">
        <v>2</v>
      </c>
      <c r="R49" s="522">
        <f>IF(M49=1, '6. PEDIGREE MATRIX'!$B$4, IF(M49=2, '6. PEDIGREE MATRIX'!$C$4, IF(M49=3, '6. PEDIGREE MATRIX'!$D$4, IF(M49=4, '6. PEDIGREE MATRIX'!$E$4, IF(M49=5, '6. PEDIGREE MATRIX'!$F$4)))))</f>
        <v>1.0935646911485417</v>
      </c>
      <c r="S49" s="522">
        <f>IF(N49=1, '6. PEDIGREE MATRIX'!$B$6, IF(N49=2, '6. PEDIGREE MATRIX'!$C$6, IF(N49=3, '6. PEDIGREE MATRIX'!$D$6, IF(N49=4, '6. PEDIGREE MATRIX'!$E$6, IF(N49=5, '6. PEDIGREE MATRIX'!$F$6)))))</f>
        <v>1.0457364348384068</v>
      </c>
      <c r="T49" s="522">
        <f>IF(O49=1, '6. PEDIGREE MATRIX'!$B$8, IF(O49=2, '6. PEDIGREE MATRIX'!$C$8, IF(O49=3, '6. PEDIGREE MATRIX'!$D$8, IF(O49=4, '6. PEDIGREE MATRIX'!$E$8, IF(O49=5, '6. PEDIGREE MATRIX'!$F$8)))))</f>
        <v>1</v>
      </c>
      <c r="U49" s="522">
        <f>IF(P49=1, '6. PEDIGREE MATRIX'!$B$10, IF(P49=2, '6. PEDIGREE MATRIX'!$C$10, IF(P49=3, '6. PEDIGREE MATRIX'!$D$10, IF(P49=4, '6. PEDIGREE MATRIX'!$E$10, IF(P49=5, '6. PEDIGREE MATRIX'!$F$10)))))</f>
        <v>1.0100501670841679</v>
      </c>
      <c r="V49" s="522">
        <f>IF(Q49=1, '6. PEDIGREE MATRIX'!$B$12, IF(Q49=2, '6. PEDIGREE MATRIX'!$C$12, IF(Q49=3, '6. PEDIGREE MATRIX'!$D$12, IF(Q49=4, '6. PEDIGREE MATRIX'!$E$12, IF(Q49=5, '6. PEDIGREE MATRIX'!$F$12)))))</f>
        <v>1.0247973619913604</v>
      </c>
      <c r="W49" s="522">
        <v>5.9999999999999995E-4</v>
      </c>
      <c r="X49" s="524">
        <f t="shared" si="11"/>
        <v>1.0247973619913604</v>
      </c>
    </row>
    <row r="50" spans="1:24" x14ac:dyDescent="0.3">
      <c r="A50" s="284" t="s">
        <v>1956</v>
      </c>
      <c r="B50" s="297">
        <f>'24. WAFER FAB'!$D$74</f>
        <v>-3.7666562311706985E-5</v>
      </c>
      <c r="C50" s="112" t="s">
        <v>521</v>
      </c>
      <c r="D50" s="244" t="s">
        <v>385</v>
      </c>
      <c r="E50" s="522" t="s">
        <v>1957</v>
      </c>
      <c r="F50" s="244" t="s">
        <v>371</v>
      </c>
      <c r="G50" s="244" t="s">
        <v>429</v>
      </c>
      <c r="H50" s="244" t="s">
        <v>154</v>
      </c>
      <c r="I50" s="522">
        <v>2</v>
      </c>
      <c r="J50" s="522">
        <f t="shared" si="8"/>
        <v>-10.186737798409537</v>
      </c>
      <c r="K50" s="522" t="str">
        <f t="shared" si="9"/>
        <v>(Unknown)</v>
      </c>
      <c r="L50" s="523" t="str">
        <f t="shared" si="10"/>
        <v>(Unknown)</v>
      </c>
      <c r="M50" s="522">
        <v>4</v>
      </c>
      <c r="N50" s="522">
        <v>4</v>
      </c>
      <c r="O50" s="522">
        <v>1</v>
      </c>
      <c r="P50" s="522">
        <v>3</v>
      </c>
      <c r="Q50" s="522">
        <v>2</v>
      </c>
      <c r="R50" s="522">
        <f>IF(M50=1, '6. PEDIGREE MATRIX'!$B$4, IF(M50=2, '6. PEDIGREE MATRIX'!$C$4, IF(M50=3, '6. PEDIGREE MATRIX'!$D$4, IF(M50=4, '6. PEDIGREE MATRIX'!$E$4, IF(M50=5, '6. PEDIGREE MATRIX'!$F$4)))))</f>
        <v>1.0935646911485417</v>
      </c>
      <c r="S50" s="522">
        <f>IF(N50=1, '6. PEDIGREE MATRIX'!$B$6, IF(N50=2, '6. PEDIGREE MATRIX'!$C$6, IF(N50=3, '6. PEDIGREE MATRIX'!$D$6, IF(N50=4, '6. PEDIGREE MATRIX'!$E$6, IF(N50=5, '6. PEDIGREE MATRIX'!$F$6)))))</f>
        <v>1.0457364348384068</v>
      </c>
      <c r="T50" s="522">
        <f>IF(O50=1, '6. PEDIGREE MATRIX'!$B$8, IF(O50=2, '6. PEDIGREE MATRIX'!$C$8, IF(O50=3, '6. PEDIGREE MATRIX'!$D$8, IF(O50=4, '6. PEDIGREE MATRIX'!$E$8, IF(O50=5, '6. PEDIGREE MATRIX'!$F$8)))))</f>
        <v>1</v>
      </c>
      <c r="U50" s="522">
        <f>IF(P50=1, '6. PEDIGREE MATRIX'!$B$10, IF(P50=2, '6. PEDIGREE MATRIX'!$C$10, IF(P50=3, '6. PEDIGREE MATRIX'!$D$10, IF(P50=4, '6. PEDIGREE MATRIX'!$E$10, IF(P50=5, '6. PEDIGREE MATRIX'!$F$10)))))</f>
        <v>1.0100501670841679</v>
      </c>
      <c r="V50" s="522">
        <f>IF(Q50=1, '6. PEDIGREE MATRIX'!$B$12, IF(Q50=2, '6. PEDIGREE MATRIX'!$C$12, IF(Q50=3, '6. PEDIGREE MATRIX'!$D$12, IF(Q50=4, '6. PEDIGREE MATRIX'!$E$12, IF(Q50=5, '6. PEDIGREE MATRIX'!$F$12)))))</f>
        <v>1.0247973619913604</v>
      </c>
      <c r="W50" s="522">
        <v>5.9999999999999995E-4</v>
      </c>
      <c r="X50" s="524">
        <f t="shared" si="11"/>
        <v>1.0247973619913604</v>
      </c>
    </row>
    <row r="51" spans="1:24" x14ac:dyDescent="0.3">
      <c r="A51" s="284" t="s">
        <v>1968</v>
      </c>
      <c r="B51" s="297">
        <f>'24. WAFER FAB'!$D$75</f>
        <v>-1.8833281155853493E-5</v>
      </c>
      <c r="C51" s="113" t="s">
        <v>521</v>
      </c>
      <c r="D51" s="244" t="s">
        <v>385</v>
      </c>
      <c r="E51" s="522" t="s">
        <v>1969</v>
      </c>
      <c r="F51" s="244" t="s">
        <v>371</v>
      </c>
      <c r="G51" s="244" t="s">
        <v>429</v>
      </c>
      <c r="H51" s="244" t="s">
        <v>154</v>
      </c>
      <c r="I51" s="522">
        <v>2</v>
      </c>
      <c r="J51" s="522">
        <f t="shared" si="8"/>
        <v>-10.879884978969482</v>
      </c>
      <c r="K51" s="522" t="str">
        <f t="shared" si="9"/>
        <v>(Unknown)</v>
      </c>
      <c r="L51" s="523" t="str">
        <f t="shared" si="10"/>
        <v>(Unknown)</v>
      </c>
      <c r="M51" s="522">
        <v>4</v>
      </c>
      <c r="N51" s="522">
        <v>4</v>
      </c>
      <c r="O51" s="522">
        <v>1</v>
      </c>
      <c r="P51" s="522">
        <v>3</v>
      </c>
      <c r="Q51" s="522">
        <v>2</v>
      </c>
      <c r="R51" s="522">
        <f>IF(M51=1, '6. PEDIGREE MATRIX'!$B$4, IF(M51=2, '6. PEDIGREE MATRIX'!$C$4, IF(M51=3, '6. PEDIGREE MATRIX'!$D$4, IF(M51=4, '6. PEDIGREE MATRIX'!$E$4, IF(M51=5, '6. PEDIGREE MATRIX'!$F$4)))))</f>
        <v>1.0935646911485417</v>
      </c>
      <c r="S51" s="522">
        <f>IF(N51=1, '6. PEDIGREE MATRIX'!$B$6, IF(N51=2, '6. PEDIGREE MATRIX'!$C$6, IF(N51=3, '6. PEDIGREE MATRIX'!$D$6, IF(N51=4, '6. PEDIGREE MATRIX'!$E$6, IF(N51=5, '6. PEDIGREE MATRIX'!$F$6)))))</f>
        <v>1.0457364348384068</v>
      </c>
      <c r="T51" s="522">
        <f>IF(O51=1, '6. PEDIGREE MATRIX'!$B$8, IF(O51=2, '6. PEDIGREE MATRIX'!$C$8, IF(O51=3, '6. PEDIGREE MATRIX'!$D$8, IF(O51=4, '6. PEDIGREE MATRIX'!$E$8, IF(O51=5, '6. PEDIGREE MATRIX'!$F$8)))))</f>
        <v>1</v>
      </c>
      <c r="U51" s="522">
        <f>IF(P51=1, '6. PEDIGREE MATRIX'!$B$10, IF(P51=2, '6. PEDIGREE MATRIX'!$C$10, IF(P51=3, '6. PEDIGREE MATRIX'!$D$10, IF(P51=4, '6. PEDIGREE MATRIX'!$E$10, IF(P51=5, '6. PEDIGREE MATRIX'!$F$10)))))</f>
        <v>1.0100501670841679</v>
      </c>
      <c r="V51" s="522">
        <f>IF(Q51=1, '6. PEDIGREE MATRIX'!$B$12, IF(Q51=2, '6. PEDIGREE MATRIX'!$C$12, IF(Q51=3, '6. PEDIGREE MATRIX'!$D$12, IF(Q51=4, '6. PEDIGREE MATRIX'!$E$12, IF(Q51=5, '6. PEDIGREE MATRIX'!$F$12)))))</f>
        <v>1.0247973619913604</v>
      </c>
      <c r="W51" s="522">
        <v>5.9999999999999995E-4</v>
      </c>
      <c r="X51" s="524">
        <f t="shared" si="11"/>
        <v>1.0247973619913604</v>
      </c>
    </row>
    <row r="52" spans="1:24" x14ac:dyDescent="0.3">
      <c r="A52" s="43" t="s">
        <v>816</v>
      </c>
      <c r="B52" s="297">
        <f>'24. WAFER FAB'!$D$76</f>
        <v>9.505636040452377E-6</v>
      </c>
      <c r="C52" s="528" t="s">
        <v>153</v>
      </c>
      <c r="D52" s="516" t="s">
        <v>515</v>
      </c>
      <c r="E52" s="517" t="s">
        <v>371</v>
      </c>
      <c r="F52" s="518" t="s">
        <v>516</v>
      </c>
      <c r="G52" s="516" t="s">
        <v>371</v>
      </c>
      <c r="H52" s="516" t="s">
        <v>514</v>
      </c>
      <c r="I52" s="517">
        <v>2</v>
      </c>
      <c r="J52" s="517">
        <f t="shared" si="8"/>
        <v>-11.56362566785528</v>
      </c>
      <c r="K52" s="517">
        <f t="shared" si="9"/>
        <v>0.32603904386951327</v>
      </c>
      <c r="L52" s="517">
        <f t="shared" si="10"/>
        <v>1.1121570947719619</v>
      </c>
      <c r="M52" s="517">
        <v>4</v>
      </c>
      <c r="N52" s="517">
        <v>4</v>
      </c>
      <c r="O52" s="517">
        <v>1</v>
      </c>
      <c r="P52" s="517">
        <v>3</v>
      </c>
      <c r="Q52" s="517">
        <v>2</v>
      </c>
      <c r="R52" s="517">
        <f>IF(M52=1, '6. PEDIGREE MATRIX'!$B$4, IF(M52=2, '6. PEDIGREE MATRIX'!$C$4, IF(M52=3, '6. PEDIGREE MATRIX'!$D$4, IF(M52=4, '6. PEDIGREE MATRIX'!$E$4, IF(M52=5, '6. PEDIGREE MATRIX'!$F$4)))))</f>
        <v>1.0935646911485417</v>
      </c>
      <c r="S52" s="517">
        <f>IF(N52=1, '6. PEDIGREE MATRIX'!$B$6, IF(N52=2, '6. PEDIGREE MATRIX'!$C$6, IF(N52=3, '6. PEDIGREE MATRIX'!$D$6, IF(N52=4, '6. PEDIGREE MATRIX'!$E$6, IF(N52=5, '6. PEDIGREE MATRIX'!$F$6)))))</f>
        <v>1.0457364348384068</v>
      </c>
      <c r="T52" s="517">
        <f>IF(O52=1, '6. PEDIGREE MATRIX'!$B$8, IF(O52=2, '6. PEDIGREE MATRIX'!$C$8, IF(O52=3, '6. PEDIGREE MATRIX'!$D$8, IF(O52=4, '6. PEDIGREE MATRIX'!$E$8, IF(O52=5, '6. PEDIGREE MATRIX'!$F$8)))))</f>
        <v>1</v>
      </c>
      <c r="U52" s="517">
        <f>IF(P52=1, '6. PEDIGREE MATRIX'!$B$10, IF(P52=2, '6. PEDIGREE MATRIX'!$C$10, IF(P52=3, '6. PEDIGREE MATRIX'!$D$10, IF(P52=4, '6. PEDIGREE MATRIX'!$E$10, IF(P52=5, '6. PEDIGREE MATRIX'!$F$10)))))</f>
        <v>1.0100501670841679</v>
      </c>
      <c r="V52" s="517">
        <f>IF(Q52=1, '6. PEDIGREE MATRIX'!$B$12, IF(Q52=2, '6. PEDIGREE MATRIX'!$C$12, IF(Q52=3, '6. PEDIGREE MATRIX'!$D$12, IF(Q52=4, '6. PEDIGREE MATRIX'!$E$12, IF(Q52=5, '6. PEDIGREE MATRIX'!$F$12)))))</f>
        <v>1.0247973619913604</v>
      </c>
      <c r="W52" s="517">
        <v>5.9999999999999995E-4</v>
      </c>
      <c r="X52" s="520">
        <f t="shared" si="11"/>
        <v>1.0247973619913604</v>
      </c>
    </row>
    <row r="53" spans="1:24" ht="15" thickBot="1" x14ac:dyDescent="0.35">
      <c r="A53" s="70" t="str">
        <f>B31</f>
        <v>WET CLEAN</v>
      </c>
      <c r="B53" s="71">
        <v>1</v>
      </c>
      <c r="C53" s="72" t="s">
        <v>224</v>
      </c>
      <c r="D53" s="72" t="str">
        <f>$B$1</f>
        <v>IGBT LCI dtb</v>
      </c>
      <c r="E53" s="71" t="str">
        <f>B35</f>
        <v>Processed cm² of Si IGBT good die</v>
      </c>
      <c r="F53" s="72" t="s">
        <v>371</v>
      </c>
      <c r="G53" s="72" t="s">
        <v>156</v>
      </c>
      <c r="H53" s="72" t="s">
        <v>383</v>
      </c>
      <c r="I53" s="71">
        <v>0</v>
      </c>
      <c r="J53" s="71" t="s">
        <v>371</v>
      </c>
      <c r="K53" s="71" t="s">
        <v>371</v>
      </c>
      <c r="L53" s="91" t="s">
        <v>371</v>
      </c>
      <c r="M53" s="71">
        <v>0</v>
      </c>
      <c r="N53" s="71">
        <v>0</v>
      </c>
      <c r="O53" s="71">
        <v>0</v>
      </c>
      <c r="P53" s="71">
        <v>0</v>
      </c>
      <c r="Q53" s="71">
        <v>0</v>
      </c>
      <c r="R53" s="71">
        <v>0</v>
      </c>
      <c r="S53" s="71">
        <v>0</v>
      </c>
      <c r="T53" s="71">
        <v>0</v>
      </c>
      <c r="U53" s="71">
        <v>0</v>
      </c>
      <c r="V53" s="71">
        <v>0</v>
      </c>
      <c r="W53" s="71">
        <v>0</v>
      </c>
      <c r="X53" s="92">
        <v>0</v>
      </c>
    </row>
    <row r="55" spans="1:24" ht="15" thickBot="1" x14ac:dyDescent="0.35">
      <c r="B55" s="64"/>
    </row>
    <row r="56" spans="1:24" s="14" customFormat="1" ht="30" customHeight="1" thickBot="1" x14ac:dyDescent="0.35">
      <c r="A56" s="178" t="s">
        <v>326</v>
      </c>
      <c r="B56" s="179" t="s">
        <v>267</v>
      </c>
      <c r="C56" s="180"/>
      <c r="D56" s="180"/>
      <c r="E56" s="181"/>
      <c r="F56" s="180"/>
      <c r="G56" s="180"/>
      <c r="H56" s="180"/>
      <c r="I56" s="181"/>
      <c r="J56" s="181"/>
      <c r="K56" s="181"/>
      <c r="L56" s="181"/>
      <c r="M56" s="181"/>
      <c r="N56" s="181"/>
      <c r="O56" s="181"/>
      <c r="P56" s="181"/>
      <c r="Q56" s="181"/>
      <c r="R56" s="181"/>
      <c r="S56" s="181"/>
      <c r="T56" s="181"/>
      <c r="U56" s="181"/>
      <c r="V56" s="181"/>
      <c r="W56" s="181"/>
      <c r="X56" s="182"/>
    </row>
    <row r="57" spans="1:24" x14ac:dyDescent="0.3">
      <c r="A57" s="54" t="s">
        <v>163</v>
      </c>
      <c r="B57" s="56" t="s">
        <v>371</v>
      </c>
      <c r="C57" s="56"/>
      <c r="D57" s="56"/>
      <c r="E57" s="61"/>
      <c r="F57" s="56"/>
      <c r="G57" s="56"/>
      <c r="H57" s="56"/>
      <c r="I57" s="61"/>
      <c r="J57" s="61"/>
      <c r="K57" s="61"/>
      <c r="L57" s="61"/>
      <c r="M57" s="61"/>
      <c r="N57" s="61"/>
      <c r="O57" s="61"/>
      <c r="P57" s="61"/>
      <c r="Q57" s="61"/>
      <c r="R57" s="61"/>
      <c r="S57" s="61"/>
      <c r="T57" s="61"/>
      <c r="U57" s="61"/>
      <c r="V57" s="61"/>
      <c r="W57" s="61"/>
      <c r="X57" s="62"/>
    </row>
    <row r="58" spans="1:24" x14ac:dyDescent="0.3">
      <c r="A58" s="54" t="s">
        <v>227</v>
      </c>
      <c r="B58" s="56" t="s">
        <v>156</v>
      </c>
      <c r="C58" s="56"/>
      <c r="D58" s="56"/>
      <c r="E58" s="61"/>
      <c r="F58" s="56"/>
      <c r="G58" s="56"/>
      <c r="H58" s="56"/>
      <c r="I58" s="61"/>
      <c r="J58" s="61"/>
      <c r="K58" s="61"/>
      <c r="L58" s="61"/>
      <c r="M58" s="61"/>
      <c r="N58" s="61"/>
      <c r="O58" s="61"/>
      <c r="P58" s="61"/>
      <c r="Q58" s="61"/>
      <c r="R58" s="61"/>
      <c r="S58" s="61"/>
      <c r="T58" s="61"/>
      <c r="U58" s="61"/>
      <c r="V58" s="61"/>
      <c r="W58" s="61"/>
      <c r="X58" s="62"/>
    </row>
    <row r="59" spans="1:24" x14ac:dyDescent="0.3">
      <c r="A59" s="54" t="s">
        <v>428</v>
      </c>
      <c r="B59" s="61">
        <v>1</v>
      </c>
      <c r="C59" s="56"/>
      <c r="D59" s="56"/>
      <c r="E59" s="61"/>
      <c r="F59" s="56"/>
      <c r="G59" s="56"/>
      <c r="H59" s="56"/>
      <c r="I59" s="61"/>
      <c r="J59" s="61"/>
      <c r="K59" s="61"/>
      <c r="L59" s="61"/>
      <c r="M59" s="61"/>
      <c r="N59" s="61"/>
      <c r="O59" s="61"/>
      <c r="P59" s="61"/>
      <c r="Q59" s="61"/>
      <c r="R59" s="61"/>
      <c r="S59" s="61"/>
      <c r="T59" s="61"/>
      <c r="U59" s="61"/>
      <c r="V59" s="61"/>
      <c r="W59" s="61"/>
      <c r="X59" s="62"/>
    </row>
    <row r="60" spans="1:24" x14ac:dyDescent="0.3">
      <c r="A60" s="54" t="s">
        <v>147</v>
      </c>
      <c r="B60" s="56" t="s">
        <v>717</v>
      </c>
      <c r="C60" s="56"/>
      <c r="D60" s="56"/>
      <c r="E60" s="61"/>
      <c r="F60" s="56"/>
      <c r="G60" s="56"/>
      <c r="H60" s="56"/>
      <c r="I60" s="61"/>
      <c r="J60" s="61"/>
      <c r="K60" s="61"/>
      <c r="L60" s="61"/>
      <c r="M60" s="61"/>
      <c r="N60" s="61"/>
      <c r="O60" s="61"/>
      <c r="P60" s="61"/>
      <c r="Q60" s="61"/>
      <c r="R60" s="61"/>
      <c r="S60" s="61"/>
      <c r="T60" s="61"/>
      <c r="U60" s="61"/>
      <c r="V60" s="61"/>
      <c r="W60" s="61"/>
      <c r="X60" s="62"/>
    </row>
    <row r="61" spans="1:24" x14ac:dyDescent="0.3">
      <c r="A61" s="54" t="s">
        <v>327</v>
      </c>
      <c r="B61" s="61" t="s">
        <v>134</v>
      </c>
      <c r="C61" s="56"/>
      <c r="D61" s="56"/>
      <c r="E61" s="61"/>
      <c r="F61" s="56"/>
      <c r="G61" s="56"/>
      <c r="H61" s="56"/>
      <c r="I61" s="61"/>
      <c r="J61" s="61"/>
      <c r="K61" s="61"/>
      <c r="L61" s="61"/>
      <c r="M61" s="61"/>
      <c r="N61" s="61"/>
      <c r="O61" s="61"/>
      <c r="P61" s="61"/>
      <c r="Q61" s="61"/>
      <c r="R61" s="61"/>
      <c r="S61" s="61"/>
      <c r="T61" s="61"/>
      <c r="U61" s="61"/>
      <c r="V61" s="61"/>
      <c r="W61" s="61"/>
      <c r="X61" s="62"/>
    </row>
    <row r="62" spans="1:24" x14ac:dyDescent="0.3">
      <c r="A62" s="54" t="s">
        <v>224</v>
      </c>
      <c r="B62" s="56" t="s">
        <v>224</v>
      </c>
      <c r="C62" s="56"/>
      <c r="D62" s="56"/>
      <c r="E62" s="61"/>
      <c r="F62" s="56"/>
      <c r="G62" s="56"/>
      <c r="H62" s="56"/>
      <c r="I62" s="61"/>
      <c r="J62" s="61"/>
      <c r="K62" s="61"/>
      <c r="L62" s="61"/>
      <c r="M62" s="61"/>
      <c r="N62" s="61"/>
      <c r="O62" s="61"/>
      <c r="P62" s="61"/>
      <c r="Q62" s="61"/>
      <c r="R62" s="61"/>
      <c r="S62" s="61"/>
      <c r="T62" s="61"/>
      <c r="U62" s="61"/>
      <c r="V62" s="61"/>
      <c r="W62" s="61"/>
      <c r="X62" s="62"/>
    </row>
    <row r="63" spans="1:24" ht="15.6" x14ac:dyDescent="0.3">
      <c r="A63" s="55" t="s">
        <v>328</v>
      </c>
      <c r="B63" s="61"/>
      <c r="C63" s="56"/>
      <c r="D63" s="56"/>
      <c r="E63" s="61"/>
      <c r="F63" s="56"/>
      <c r="G63" s="56"/>
      <c r="H63" s="56"/>
      <c r="I63" s="61"/>
      <c r="J63" s="61"/>
      <c r="K63" s="61"/>
      <c r="L63" s="61"/>
      <c r="M63" s="61"/>
      <c r="N63" s="61"/>
      <c r="O63" s="61"/>
      <c r="P63" s="61"/>
      <c r="Q63" s="61"/>
      <c r="R63" s="61"/>
      <c r="S63" s="61"/>
      <c r="T63" s="61"/>
      <c r="U63" s="61"/>
      <c r="V63" s="61"/>
      <c r="W63" s="61"/>
      <c r="X63" s="62"/>
    </row>
    <row r="64" spans="1:24" x14ac:dyDescent="0.3">
      <c r="A64" s="54" t="s">
        <v>329</v>
      </c>
      <c r="B64" s="61" t="s">
        <v>330</v>
      </c>
      <c r="C64" s="56" t="s">
        <v>224</v>
      </c>
      <c r="D64" s="56" t="s">
        <v>331</v>
      </c>
      <c r="E64" s="61" t="s">
        <v>147</v>
      </c>
      <c r="F64" s="56" t="s">
        <v>332</v>
      </c>
      <c r="G64" s="56" t="s">
        <v>227</v>
      </c>
      <c r="H64" s="56" t="s">
        <v>327</v>
      </c>
      <c r="I64" s="61" t="s">
        <v>372</v>
      </c>
      <c r="J64" s="61" t="s">
        <v>373</v>
      </c>
      <c r="K64" s="61" t="s">
        <v>374</v>
      </c>
      <c r="L64" s="61" t="s">
        <v>148</v>
      </c>
      <c r="M64" s="61" t="s">
        <v>585</v>
      </c>
      <c r="N64" s="61" t="s">
        <v>586</v>
      </c>
      <c r="O64" s="61" t="s">
        <v>587</v>
      </c>
      <c r="P64" s="61" t="s">
        <v>220</v>
      </c>
      <c r="Q64" s="61" t="s">
        <v>588</v>
      </c>
      <c r="R64" s="61" t="s">
        <v>590</v>
      </c>
      <c r="S64" s="61" t="s">
        <v>591</v>
      </c>
      <c r="T64" s="61" t="s">
        <v>592</v>
      </c>
      <c r="U64" s="61" t="s">
        <v>593</v>
      </c>
      <c r="V64" s="61" t="s">
        <v>594</v>
      </c>
      <c r="W64" s="61" t="s">
        <v>595</v>
      </c>
      <c r="X64" s="62" t="s">
        <v>589</v>
      </c>
    </row>
    <row r="65" spans="1:24" x14ac:dyDescent="0.3">
      <c r="A65" s="285" t="str">
        <f>IF($G$65='4. INPUTS LIST'!$B$3,'4. INPUTS LIST'!$C$3, IF($G$65='4. INPUTS LIST'!$B$4,'4. INPUTS LIST'!$C$4, IF($G$65='4. INPUTS LIST'!$B$5,'4. INPUTS LIST'!$C$5, IF($G$65='4. INPUTS LIST'!$B$6,'4. INPUTS LIST'!$C$6, IF($G$65='4. INPUTS LIST'!$B$7,'4. INPUTS LIST'!$C$7, IF($G$65='4. INPUTS LIST'!$B$8,'4. INPUTS LIST'!$C$8, IF($G$65='4. INPUTS LIST'!$B$9,'4. INPUTS LIST'!$C$9, IF($G$65='4. INPUTS LIST'!$B$10,'4. INPUTS LIST'!$C$10, IF($G$65='4. INPUTS LIST'!$B$11,'4. INPUTS LIST'!$C$11, IF($G$65='4. INPUTS LIST'!$B$12,'4. INPUTS LIST'!$C$12))))))))))</f>
        <v>market for electricity, medium voltage</v>
      </c>
      <c r="B65" s="297">
        <f>'14. PHOTOLITHO.'!$D$6</f>
        <v>0.16855945189623259</v>
      </c>
      <c r="C65" s="3" t="s">
        <v>342</v>
      </c>
      <c r="D65" s="3" t="s">
        <v>385</v>
      </c>
      <c r="E65" s="58" t="str">
        <f>IF($A$65='4. INPUTS LIST'!$C$3,'4. INPUTS LIST'!$D$3, IF($A$65='4. INPUTS LIST'!$C$7, '4. INPUTS LIST'!$D$7, IF($A$65='4. INPUTS LIST'!$C$12,'4. INPUTS LIST'!$D$12)))</f>
        <v>electricity, medium voltage</v>
      </c>
      <c r="F65" s="3" t="s">
        <v>371</v>
      </c>
      <c r="G65" s="3" t="str">
        <f>'1. USER INPUTS'!$E$24</f>
        <v>JP</v>
      </c>
      <c r="H65" s="3" t="s">
        <v>154</v>
      </c>
      <c r="I65" s="58">
        <v>2</v>
      </c>
      <c r="J65" s="58">
        <f>IF(B65=0,"(Unknown)",LN((ABS(B65))))</f>
        <v>-1.7804667611749703</v>
      </c>
      <c r="K65" s="58">
        <f>IF(B65&gt;0,SQRT(LN(L65)),"(Unknown)")</f>
        <v>0.32603904386951327</v>
      </c>
      <c r="L65" s="90">
        <f>IF(B65&gt;0,(EXP(SQRT((LN(X65))^2+(LN(R65))^2+(LN(S65))^2+(LN(T65))^2+(LN(U65))^2+(LN(V65))^2))),"(Unknown)")</f>
        <v>1.1121570947719619</v>
      </c>
      <c r="M65" s="58">
        <v>4</v>
      </c>
      <c r="N65" s="58">
        <v>4</v>
      </c>
      <c r="O65" s="58">
        <v>1</v>
      </c>
      <c r="P65" s="58">
        <v>3</v>
      </c>
      <c r="Q65" s="58">
        <v>2</v>
      </c>
      <c r="R65" s="58">
        <f>IF(M65=1, '6. PEDIGREE MATRIX'!$B$4, IF(M65=2, '6. PEDIGREE MATRIX'!$C$4, IF(M65=3, '6. PEDIGREE MATRIX'!$D$4, IF(M65=4, '6. PEDIGREE MATRIX'!$E$4, IF(M65=5, '6. PEDIGREE MATRIX'!$F$4)))))</f>
        <v>1.0935646911485417</v>
      </c>
      <c r="S65" s="58">
        <f>IF(N65=1, '6. PEDIGREE MATRIX'!$B$6, IF(N65=2, '6. PEDIGREE MATRIX'!$C$6, IF(N65=3, '6. PEDIGREE MATRIX'!$D$6, IF(N65=4, '6. PEDIGREE MATRIX'!$E$6, IF(N65=5, '6. PEDIGREE MATRIX'!$F$6)))))</f>
        <v>1.0457364348384068</v>
      </c>
      <c r="T65" s="58">
        <f>IF(O65=1, '6. PEDIGREE MATRIX'!$B$8, IF(O65=2, '6. PEDIGREE MATRIX'!$C$8, IF(O65=3, '6. PEDIGREE MATRIX'!$D$8, IF(O65=4, '6. PEDIGREE MATRIX'!$E$8, IF(O65=5, '6. PEDIGREE MATRIX'!$F$8)))))</f>
        <v>1</v>
      </c>
      <c r="U65" s="58">
        <f>IF(P65=1, '6. PEDIGREE MATRIX'!$B$10, IF(P65=2, '6. PEDIGREE MATRIX'!$C$10, IF(P65=3, '6. PEDIGREE MATRIX'!$D$10, IF(P65=4, '6. PEDIGREE MATRIX'!$E$10, IF(P65=5, '6. PEDIGREE MATRIX'!$F$10)))))</f>
        <v>1.0100501670841679</v>
      </c>
      <c r="V65" s="58">
        <f>IF(Q65=1, '6. PEDIGREE MATRIX'!$B$12, IF(Q65=2, '6. PEDIGREE MATRIX'!$C$12, IF(Q65=3, '6. PEDIGREE MATRIX'!$D$12, IF(Q65=4, '6. PEDIGREE MATRIX'!$E$12, IF(Q65=5, '6. PEDIGREE MATRIX'!$F$12)))))</f>
        <v>1.0247973619913604</v>
      </c>
      <c r="W65" s="58">
        <v>5.9999999999999995E-4</v>
      </c>
      <c r="X65" s="63">
        <f>EXP(SQRT(W65))</f>
        <v>1.0247973619913604</v>
      </c>
    </row>
    <row r="66" spans="1:24" x14ac:dyDescent="0.3">
      <c r="A66" s="15" t="s">
        <v>692</v>
      </c>
      <c r="B66" s="297">
        <f>'14. PHOTOLITHO.'!$D$7</f>
        <v>2.4863696317040796E-5</v>
      </c>
      <c r="C66" s="3" t="s">
        <v>153</v>
      </c>
      <c r="D66" s="3" t="s">
        <v>385</v>
      </c>
      <c r="E66" s="58" t="s">
        <v>390</v>
      </c>
      <c r="F66" s="3" t="s">
        <v>371</v>
      </c>
      <c r="G66" s="3" t="s">
        <v>346</v>
      </c>
      <c r="H66" s="3" t="s">
        <v>154</v>
      </c>
      <c r="I66" s="58">
        <v>2</v>
      </c>
      <c r="J66" s="58">
        <f t="shared" ref="J66:J72" si="12">IF(B66=0,"(Unknown)",LN((ABS(B66))))</f>
        <v>-10.602101797614855</v>
      </c>
      <c r="K66" s="58">
        <f t="shared" ref="K66:K72" si="13">IF(B66&gt;0,SQRT(LN(L66)),"(Unknown)")</f>
        <v>0.32603904386951327</v>
      </c>
      <c r="L66" s="90">
        <f t="shared" ref="L66:L72" si="14">IF(B66&gt;0,(EXP(SQRT((LN(X66))^2+(LN(R66))^2+(LN(S66))^2+(LN(T66))^2+(LN(U66))^2+(LN(V66))^2))),"(Unknown)")</f>
        <v>1.1121570947719619</v>
      </c>
      <c r="M66" s="58">
        <v>4</v>
      </c>
      <c r="N66" s="58">
        <v>4</v>
      </c>
      <c r="O66" s="58">
        <v>1</v>
      </c>
      <c r="P66" s="58">
        <v>3</v>
      </c>
      <c r="Q66" s="58">
        <v>2</v>
      </c>
      <c r="R66" s="58">
        <f>IF(M66=1, '6. PEDIGREE MATRIX'!$B$4, IF(M66=2, '6. PEDIGREE MATRIX'!$C$4, IF(M66=3, '6. PEDIGREE MATRIX'!$D$4, IF(M66=4, '6. PEDIGREE MATRIX'!$E$4, IF(M66=5, '6. PEDIGREE MATRIX'!$F$4)))))</f>
        <v>1.0935646911485417</v>
      </c>
      <c r="S66" s="58">
        <f>IF(N66=1, '6. PEDIGREE MATRIX'!$B$6, IF(N66=2, '6. PEDIGREE MATRIX'!$C$6, IF(N66=3, '6. PEDIGREE MATRIX'!$D$6, IF(N66=4, '6. PEDIGREE MATRIX'!$E$6, IF(N66=5, '6. PEDIGREE MATRIX'!$F$6)))))</f>
        <v>1.0457364348384068</v>
      </c>
      <c r="T66" s="58">
        <f>IF(O66=1, '6. PEDIGREE MATRIX'!$B$8, IF(O66=2, '6. PEDIGREE MATRIX'!$C$8, IF(O66=3, '6. PEDIGREE MATRIX'!$D$8, IF(O66=4, '6. PEDIGREE MATRIX'!$E$8, IF(O66=5, '6. PEDIGREE MATRIX'!$F$8)))))</f>
        <v>1</v>
      </c>
      <c r="U66" s="58">
        <f>IF(P66=1, '6. PEDIGREE MATRIX'!$B$10, IF(P66=2, '6. PEDIGREE MATRIX'!$C$10, IF(P66=3, '6. PEDIGREE MATRIX'!$D$10, IF(P66=4, '6. PEDIGREE MATRIX'!$E$10, IF(P66=5, '6. PEDIGREE MATRIX'!$F$10)))))</f>
        <v>1.0100501670841679</v>
      </c>
      <c r="V66" s="58">
        <f>IF(Q66=1, '6. PEDIGREE MATRIX'!$B$12, IF(Q66=2, '6. PEDIGREE MATRIX'!$C$12, IF(Q66=3, '6. PEDIGREE MATRIX'!$D$12, IF(Q66=4, '6. PEDIGREE MATRIX'!$E$12, IF(Q66=5, '6. PEDIGREE MATRIX'!$F$12)))))</f>
        <v>1.0247973619913604</v>
      </c>
      <c r="W66" s="58">
        <v>5.9999999999999995E-4</v>
      </c>
      <c r="X66" s="63">
        <f t="shared" ref="X66:X72" si="15">EXP(SQRT(W66))</f>
        <v>1.0247973619913604</v>
      </c>
    </row>
    <row r="67" spans="1:24" x14ac:dyDescent="0.3">
      <c r="A67" s="15" t="s">
        <v>693</v>
      </c>
      <c r="B67" s="297">
        <f>'14. PHOTOLITHO.'!$D$8</f>
        <v>1.9305861677626377E-3</v>
      </c>
      <c r="C67" s="3" t="s">
        <v>153</v>
      </c>
      <c r="D67" s="3" t="s">
        <v>385</v>
      </c>
      <c r="E67" s="58" t="s">
        <v>376</v>
      </c>
      <c r="F67" s="3" t="s">
        <v>371</v>
      </c>
      <c r="G67" s="3" t="s">
        <v>429</v>
      </c>
      <c r="H67" s="3" t="s">
        <v>154</v>
      </c>
      <c r="I67" s="58">
        <v>2</v>
      </c>
      <c r="J67" s="58">
        <f t="shared" si="12"/>
        <v>-6.2499316083104111</v>
      </c>
      <c r="K67" s="58">
        <f t="shared" si="13"/>
        <v>0.32603904386951327</v>
      </c>
      <c r="L67" s="90">
        <f t="shared" si="14"/>
        <v>1.1121570947719619</v>
      </c>
      <c r="M67" s="58">
        <v>4</v>
      </c>
      <c r="N67" s="58">
        <v>4</v>
      </c>
      <c r="O67" s="58">
        <v>1</v>
      </c>
      <c r="P67" s="58">
        <v>3</v>
      </c>
      <c r="Q67" s="58">
        <v>2</v>
      </c>
      <c r="R67" s="58">
        <f>IF(M67=1, '6. PEDIGREE MATRIX'!$B$4, IF(M67=2, '6. PEDIGREE MATRIX'!$C$4, IF(M67=3, '6. PEDIGREE MATRIX'!$D$4, IF(M67=4, '6. PEDIGREE MATRIX'!$E$4, IF(M67=5, '6. PEDIGREE MATRIX'!$F$4)))))</f>
        <v>1.0935646911485417</v>
      </c>
      <c r="S67" s="58">
        <f>IF(N67=1, '6. PEDIGREE MATRIX'!$B$6, IF(N67=2, '6. PEDIGREE MATRIX'!$C$6, IF(N67=3, '6. PEDIGREE MATRIX'!$D$6, IF(N67=4, '6. PEDIGREE MATRIX'!$E$6, IF(N67=5, '6. PEDIGREE MATRIX'!$F$6)))))</f>
        <v>1.0457364348384068</v>
      </c>
      <c r="T67" s="58">
        <f>IF(O67=1, '6. PEDIGREE MATRIX'!$B$8, IF(O67=2, '6. PEDIGREE MATRIX'!$C$8, IF(O67=3, '6. PEDIGREE MATRIX'!$D$8, IF(O67=4, '6. PEDIGREE MATRIX'!$E$8, IF(O67=5, '6. PEDIGREE MATRIX'!$F$8)))))</f>
        <v>1</v>
      </c>
      <c r="U67" s="58">
        <f>IF(P67=1, '6. PEDIGREE MATRIX'!$B$10, IF(P67=2, '6. PEDIGREE MATRIX'!$C$10, IF(P67=3, '6. PEDIGREE MATRIX'!$D$10, IF(P67=4, '6. PEDIGREE MATRIX'!$E$10, IF(P67=5, '6. PEDIGREE MATRIX'!$F$10)))))</f>
        <v>1.0100501670841679</v>
      </c>
      <c r="V67" s="58">
        <f>IF(Q67=1, '6. PEDIGREE MATRIX'!$B$12, IF(Q67=2, '6. PEDIGREE MATRIX'!$C$12, IF(Q67=3, '6. PEDIGREE MATRIX'!$D$12, IF(Q67=4, '6. PEDIGREE MATRIX'!$E$12, IF(Q67=5, '6. PEDIGREE MATRIX'!$F$12)))))</f>
        <v>1.0247973619913604</v>
      </c>
      <c r="W67" s="58">
        <v>5.9999999999999995E-4</v>
      </c>
      <c r="X67" s="63">
        <f t="shared" si="15"/>
        <v>1.0247973619913604</v>
      </c>
    </row>
    <row r="68" spans="1:24" x14ac:dyDescent="0.3">
      <c r="A68" s="15" t="s">
        <v>694</v>
      </c>
      <c r="B68" s="297">
        <f>'14. PHOTOLITHO.'!$D$9</f>
        <v>5.2234656128236969E-5</v>
      </c>
      <c r="C68" s="3" t="s">
        <v>153</v>
      </c>
      <c r="D68" s="3" t="s">
        <v>385</v>
      </c>
      <c r="E68" s="49" t="s">
        <v>391</v>
      </c>
      <c r="F68" s="3" t="s">
        <v>371</v>
      </c>
      <c r="G68" s="3" t="s">
        <v>429</v>
      </c>
      <c r="H68" s="3" t="s">
        <v>154</v>
      </c>
      <c r="I68" s="58">
        <v>2</v>
      </c>
      <c r="J68" s="58">
        <f t="shared" si="12"/>
        <v>-9.859764372864138</v>
      </c>
      <c r="K68" s="58">
        <f t="shared" si="13"/>
        <v>0.32603904386951327</v>
      </c>
      <c r="L68" s="90">
        <f t="shared" si="14"/>
        <v>1.1121570947719619</v>
      </c>
      <c r="M68" s="58">
        <v>4</v>
      </c>
      <c r="N68" s="58">
        <v>4</v>
      </c>
      <c r="O68" s="58">
        <v>1</v>
      </c>
      <c r="P68" s="58">
        <v>3</v>
      </c>
      <c r="Q68" s="58">
        <v>2</v>
      </c>
      <c r="R68" s="58">
        <f>IF(M68=1, '6. PEDIGREE MATRIX'!$B$4, IF(M68=2, '6. PEDIGREE MATRIX'!$C$4, IF(M68=3, '6. PEDIGREE MATRIX'!$D$4, IF(M68=4, '6. PEDIGREE MATRIX'!$E$4, IF(M68=5, '6. PEDIGREE MATRIX'!$F$4)))))</f>
        <v>1.0935646911485417</v>
      </c>
      <c r="S68" s="58">
        <f>IF(N68=1, '6. PEDIGREE MATRIX'!$B$6, IF(N68=2, '6. PEDIGREE MATRIX'!$C$6, IF(N68=3, '6. PEDIGREE MATRIX'!$D$6, IF(N68=4, '6. PEDIGREE MATRIX'!$E$6, IF(N68=5, '6. PEDIGREE MATRIX'!$F$6)))))</f>
        <v>1.0457364348384068</v>
      </c>
      <c r="T68" s="58">
        <f>IF(O68=1, '6. PEDIGREE MATRIX'!$B$8, IF(O68=2, '6. PEDIGREE MATRIX'!$C$8, IF(O68=3, '6. PEDIGREE MATRIX'!$D$8, IF(O68=4, '6. PEDIGREE MATRIX'!$E$8, IF(O68=5, '6. PEDIGREE MATRIX'!$F$8)))))</f>
        <v>1</v>
      </c>
      <c r="U68" s="58">
        <f>IF(P68=1, '6. PEDIGREE MATRIX'!$B$10, IF(P68=2, '6. PEDIGREE MATRIX'!$C$10, IF(P68=3, '6. PEDIGREE MATRIX'!$D$10, IF(P68=4, '6. PEDIGREE MATRIX'!$E$10, IF(P68=5, '6. PEDIGREE MATRIX'!$F$10)))))</f>
        <v>1.0100501670841679</v>
      </c>
      <c r="V68" s="58">
        <f>IF(Q68=1, '6. PEDIGREE MATRIX'!$B$12, IF(Q68=2, '6. PEDIGREE MATRIX'!$C$12, IF(Q68=3, '6. PEDIGREE MATRIX'!$D$12, IF(Q68=4, '6. PEDIGREE MATRIX'!$E$12, IF(Q68=5, '6. PEDIGREE MATRIX'!$F$12)))))</f>
        <v>1.0247973619913604</v>
      </c>
      <c r="W68" s="58">
        <v>5.9999999999999995E-4</v>
      </c>
      <c r="X68" s="63">
        <f t="shared" si="15"/>
        <v>1.0247973619913604</v>
      </c>
    </row>
    <row r="69" spans="1:24" x14ac:dyDescent="0.3">
      <c r="A69" s="15" t="s">
        <v>447</v>
      </c>
      <c r="B69" s="297">
        <f>'14. PHOTOLITHO.'!$D$10</f>
        <v>1.1412441682031545E-4</v>
      </c>
      <c r="C69" s="3" t="s">
        <v>153</v>
      </c>
      <c r="D69" s="3" t="s">
        <v>385</v>
      </c>
      <c r="E69" s="49" t="s">
        <v>386</v>
      </c>
      <c r="F69" s="3" t="s">
        <v>371</v>
      </c>
      <c r="G69" s="3" t="s">
        <v>429</v>
      </c>
      <c r="H69" s="3" t="s">
        <v>154</v>
      </c>
      <c r="I69" s="58">
        <v>2</v>
      </c>
      <c r="J69" s="58">
        <f t="shared" si="12"/>
        <v>-9.0782213290703861</v>
      </c>
      <c r="K69" s="58">
        <f t="shared" si="13"/>
        <v>0.32603904386951327</v>
      </c>
      <c r="L69" s="90">
        <f t="shared" si="14"/>
        <v>1.1121570947719619</v>
      </c>
      <c r="M69" s="58">
        <v>4</v>
      </c>
      <c r="N69" s="58">
        <v>4</v>
      </c>
      <c r="O69" s="58">
        <v>1</v>
      </c>
      <c r="P69" s="58">
        <v>3</v>
      </c>
      <c r="Q69" s="58">
        <v>2</v>
      </c>
      <c r="R69" s="58">
        <f>IF(M69=1, '6. PEDIGREE MATRIX'!$B$4, IF(M69=2, '6. PEDIGREE MATRIX'!$C$4, IF(M69=3, '6. PEDIGREE MATRIX'!$D$4, IF(M69=4, '6. PEDIGREE MATRIX'!$E$4, IF(M69=5, '6. PEDIGREE MATRIX'!$F$4)))))</f>
        <v>1.0935646911485417</v>
      </c>
      <c r="S69" s="58">
        <f>IF(N69=1, '6. PEDIGREE MATRIX'!$B$6, IF(N69=2, '6. PEDIGREE MATRIX'!$C$6, IF(N69=3, '6. PEDIGREE MATRIX'!$D$6, IF(N69=4, '6. PEDIGREE MATRIX'!$E$6, IF(N69=5, '6. PEDIGREE MATRIX'!$F$6)))))</f>
        <v>1.0457364348384068</v>
      </c>
      <c r="T69" s="58">
        <f>IF(O69=1, '6. PEDIGREE MATRIX'!$B$8, IF(O69=2, '6. PEDIGREE MATRIX'!$C$8, IF(O69=3, '6. PEDIGREE MATRIX'!$D$8, IF(O69=4, '6. PEDIGREE MATRIX'!$E$8, IF(O69=5, '6. PEDIGREE MATRIX'!$F$8)))))</f>
        <v>1</v>
      </c>
      <c r="U69" s="58">
        <f>IF(P69=1, '6. PEDIGREE MATRIX'!$B$10, IF(P69=2, '6. PEDIGREE MATRIX'!$C$10, IF(P69=3, '6. PEDIGREE MATRIX'!$D$10, IF(P69=4, '6. PEDIGREE MATRIX'!$E$10, IF(P69=5, '6. PEDIGREE MATRIX'!$F$10)))))</f>
        <v>1.0100501670841679</v>
      </c>
      <c r="V69" s="58">
        <f>IF(Q69=1, '6. PEDIGREE MATRIX'!$B$12, IF(Q69=2, '6. PEDIGREE MATRIX'!$C$12, IF(Q69=3, '6. PEDIGREE MATRIX'!$D$12, IF(Q69=4, '6. PEDIGREE MATRIX'!$E$12, IF(Q69=5, '6. PEDIGREE MATRIX'!$F$12)))))</f>
        <v>1.0247973619913604</v>
      </c>
      <c r="W69" s="58">
        <v>5.9999999999999995E-4</v>
      </c>
      <c r="X69" s="63">
        <f t="shared" si="15"/>
        <v>1.0247973619913604</v>
      </c>
    </row>
    <row r="70" spans="1:24" x14ac:dyDescent="0.3">
      <c r="A70" s="262" t="s">
        <v>158</v>
      </c>
      <c r="B70" s="297">
        <f>'14. PHOTOLITHO.'!$D$11</f>
        <v>1.8789739347243151E-2</v>
      </c>
      <c r="C70" s="3" t="s">
        <v>153</v>
      </c>
      <c r="D70" s="3" t="s">
        <v>385</v>
      </c>
      <c r="E70" s="38" t="s">
        <v>159</v>
      </c>
      <c r="F70" s="3" t="s">
        <v>371</v>
      </c>
      <c r="G70" s="3" t="s">
        <v>429</v>
      </c>
      <c r="H70" s="3" t="s">
        <v>154</v>
      </c>
      <c r="I70" s="58">
        <v>2</v>
      </c>
      <c r="J70" s="58">
        <f t="shared" si="12"/>
        <v>-3.9744443375399849</v>
      </c>
      <c r="K70" s="58">
        <f t="shared" si="13"/>
        <v>0.32603904386951327</v>
      </c>
      <c r="L70" s="90">
        <f t="shared" si="14"/>
        <v>1.1121570947719619</v>
      </c>
      <c r="M70" s="58">
        <v>4</v>
      </c>
      <c r="N70" s="58">
        <v>4</v>
      </c>
      <c r="O70" s="58">
        <v>1</v>
      </c>
      <c r="P70" s="58">
        <v>3</v>
      </c>
      <c r="Q70" s="58">
        <v>2</v>
      </c>
      <c r="R70" s="58">
        <f>IF(M70=1, '6. PEDIGREE MATRIX'!$B$4, IF(M70=2, '6. PEDIGREE MATRIX'!$C$4, IF(M70=3, '6. PEDIGREE MATRIX'!$D$4, IF(M70=4, '6. PEDIGREE MATRIX'!$E$4, IF(M70=5, '6. PEDIGREE MATRIX'!$F$4)))))</f>
        <v>1.0935646911485417</v>
      </c>
      <c r="S70" s="58">
        <f>IF(N70=1, '6. PEDIGREE MATRIX'!$B$6, IF(N70=2, '6. PEDIGREE MATRIX'!$C$6, IF(N70=3, '6. PEDIGREE MATRIX'!$D$6, IF(N70=4, '6. PEDIGREE MATRIX'!$E$6, IF(N70=5, '6. PEDIGREE MATRIX'!$F$6)))))</f>
        <v>1.0457364348384068</v>
      </c>
      <c r="T70" s="58">
        <f>IF(O70=1, '6. PEDIGREE MATRIX'!$B$8, IF(O70=2, '6. PEDIGREE MATRIX'!$C$8, IF(O70=3, '6. PEDIGREE MATRIX'!$D$8, IF(O70=4, '6. PEDIGREE MATRIX'!$E$8, IF(O70=5, '6. PEDIGREE MATRIX'!$F$8)))))</f>
        <v>1</v>
      </c>
      <c r="U70" s="58">
        <f>IF(P70=1, '6. PEDIGREE MATRIX'!$B$10, IF(P70=2, '6. PEDIGREE MATRIX'!$C$10, IF(P70=3, '6. PEDIGREE MATRIX'!$D$10, IF(P70=4, '6. PEDIGREE MATRIX'!$E$10, IF(P70=5, '6. PEDIGREE MATRIX'!$F$10)))))</f>
        <v>1.0100501670841679</v>
      </c>
      <c r="V70" s="58">
        <f>IF(Q70=1, '6. PEDIGREE MATRIX'!$B$12, IF(Q70=2, '6. PEDIGREE MATRIX'!$C$12, IF(Q70=3, '6. PEDIGREE MATRIX'!$D$12, IF(Q70=4, '6. PEDIGREE MATRIX'!$E$12, IF(Q70=5, '6. PEDIGREE MATRIX'!$F$12)))))</f>
        <v>1.0247973619913604</v>
      </c>
      <c r="W70" s="58">
        <v>5.9999999999999995E-4</v>
      </c>
      <c r="X70" s="63">
        <f t="shared" si="15"/>
        <v>1.0247973619913604</v>
      </c>
    </row>
    <row r="71" spans="1:24" x14ac:dyDescent="0.3">
      <c r="A71" s="293" t="s">
        <v>962</v>
      </c>
      <c r="B71" s="297">
        <f>'14. PHOTOLITHO.'!$D$12</f>
        <v>8.3649597155980825E-3</v>
      </c>
      <c r="C71" s="3" t="s">
        <v>153</v>
      </c>
      <c r="D71" s="3" t="s">
        <v>385</v>
      </c>
      <c r="E71" s="38" t="s">
        <v>433</v>
      </c>
      <c r="F71" s="3" t="s">
        <v>371</v>
      </c>
      <c r="G71" s="3" t="s">
        <v>429</v>
      </c>
      <c r="H71" s="3" t="s">
        <v>154</v>
      </c>
      <c r="I71" s="58">
        <v>2</v>
      </c>
      <c r="J71" s="58">
        <f t="shared" si="12"/>
        <v>-4.7837037603830295</v>
      </c>
      <c r="K71" s="58">
        <f t="shared" si="13"/>
        <v>0.32603904386951327</v>
      </c>
      <c r="L71" s="90">
        <f t="shared" si="14"/>
        <v>1.1121570947719619</v>
      </c>
      <c r="M71" s="58">
        <v>4</v>
      </c>
      <c r="N71" s="58">
        <v>4</v>
      </c>
      <c r="O71" s="58">
        <v>1</v>
      </c>
      <c r="P71" s="58">
        <v>3</v>
      </c>
      <c r="Q71" s="58">
        <v>2</v>
      </c>
      <c r="R71" s="58">
        <f>IF(M71=1, '6. PEDIGREE MATRIX'!$B$4, IF(M71=2, '6. PEDIGREE MATRIX'!$C$4, IF(M71=3, '6. PEDIGREE MATRIX'!$D$4, IF(M71=4, '6. PEDIGREE MATRIX'!$E$4, IF(M71=5, '6. PEDIGREE MATRIX'!$F$4)))))</f>
        <v>1.0935646911485417</v>
      </c>
      <c r="S71" s="58">
        <f>IF(N71=1, '6. PEDIGREE MATRIX'!$B$6, IF(N71=2, '6. PEDIGREE MATRIX'!$C$6, IF(N71=3, '6. PEDIGREE MATRIX'!$D$6, IF(N71=4, '6. PEDIGREE MATRIX'!$E$6, IF(N71=5, '6. PEDIGREE MATRIX'!$F$6)))))</f>
        <v>1.0457364348384068</v>
      </c>
      <c r="T71" s="58">
        <f>IF(O71=1, '6. PEDIGREE MATRIX'!$B$8, IF(O71=2, '6. PEDIGREE MATRIX'!$C$8, IF(O71=3, '6. PEDIGREE MATRIX'!$D$8, IF(O71=4, '6. PEDIGREE MATRIX'!$E$8, IF(O71=5, '6. PEDIGREE MATRIX'!$F$8)))))</f>
        <v>1</v>
      </c>
      <c r="U71" s="58">
        <f>IF(P71=1, '6. PEDIGREE MATRIX'!$B$10, IF(P71=2, '6. PEDIGREE MATRIX'!$C$10, IF(P71=3, '6. PEDIGREE MATRIX'!$D$10, IF(P71=4, '6. PEDIGREE MATRIX'!$E$10, IF(P71=5, '6. PEDIGREE MATRIX'!$F$10)))))</f>
        <v>1.0100501670841679</v>
      </c>
      <c r="V71" s="58">
        <f>IF(Q71=1, '6. PEDIGREE MATRIX'!$B$12, IF(Q71=2, '6. PEDIGREE MATRIX'!$C$12, IF(Q71=3, '6. PEDIGREE MATRIX'!$D$12, IF(Q71=4, '6. PEDIGREE MATRIX'!$E$12, IF(Q71=5, '6. PEDIGREE MATRIX'!$F$12)))))</f>
        <v>1.0247973619913604</v>
      </c>
      <c r="W71" s="58">
        <v>5.9999999999999995E-4</v>
      </c>
      <c r="X71" s="63">
        <f t="shared" si="15"/>
        <v>1.0247973619913604</v>
      </c>
    </row>
    <row r="72" spans="1:24" x14ac:dyDescent="0.3">
      <c r="A72" s="112" t="s">
        <v>830</v>
      </c>
      <c r="B72" s="297">
        <f>-'14. PHOTOLITHO.'!$D$15</f>
        <v>-2.0076845202079154E-3</v>
      </c>
      <c r="C72" s="244" t="s">
        <v>153</v>
      </c>
      <c r="D72" s="244" t="s">
        <v>385</v>
      </c>
      <c r="E72" s="522" t="s">
        <v>927</v>
      </c>
      <c r="F72" s="244" t="s">
        <v>371</v>
      </c>
      <c r="G72" s="244" t="s">
        <v>429</v>
      </c>
      <c r="H72" s="244" t="s">
        <v>154</v>
      </c>
      <c r="I72" s="522">
        <v>2</v>
      </c>
      <c r="J72" s="522">
        <f t="shared" si="12"/>
        <v>-6.2107732009461927</v>
      </c>
      <c r="K72" s="522" t="str">
        <f t="shared" si="13"/>
        <v>(Unknown)</v>
      </c>
      <c r="L72" s="522" t="str">
        <f t="shared" si="14"/>
        <v>(Unknown)</v>
      </c>
      <c r="M72" s="522">
        <v>4</v>
      </c>
      <c r="N72" s="522">
        <v>4</v>
      </c>
      <c r="O72" s="522">
        <v>1</v>
      </c>
      <c r="P72" s="522">
        <v>3</v>
      </c>
      <c r="Q72" s="522">
        <v>2</v>
      </c>
      <c r="R72" s="522">
        <f>IF(M72=1, '6. PEDIGREE MATRIX'!$B$4, IF(M72=2, '6. PEDIGREE MATRIX'!$C$4, IF(M72=3, '6. PEDIGREE MATRIX'!$D$4, IF(M72=4, '6. PEDIGREE MATRIX'!$E$4, IF(M72=5, '6. PEDIGREE MATRIX'!$F$4)))))</f>
        <v>1.0935646911485417</v>
      </c>
      <c r="S72" s="522">
        <f>IF(N72=1, '6. PEDIGREE MATRIX'!$B$6, IF(N72=2, '6. PEDIGREE MATRIX'!$C$6, IF(N72=3, '6. PEDIGREE MATRIX'!$D$6, IF(N72=4, '6. PEDIGREE MATRIX'!$E$6, IF(N72=5, '6. PEDIGREE MATRIX'!$F$6)))))</f>
        <v>1.0457364348384068</v>
      </c>
      <c r="T72" s="522">
        <f>IF(O72=1, '6. PEDIGREE MATRIX'!$B$8, IF(O72=2, '6. PEDIGREE MATRIX'!$C$8, IF(O72=3, '6. PEDIGREE MATRIX'!$D$8, IF(O72=4, '6. PEDIGREE MATRIX'!$E$8, IF(O72=5, '6. PEDIGREE MATRIX'!$F$8)))))</f>
        <v>1</v>
      </c>
      <c r="U72" s="522">
        <f>IF(P72=1, '6. PEDIGREE MATRIX'!$B$10, IF(P72=2, '6. PEDIGREE MATRIX'!$C$10, IF(P72=3, '6. PEDIGREE MATRIX'!$D$10, IF(P72=4, '6. PEDIGREE MATRIX'!$E$10, IF(P72=5, '6. PEDIGREE MATRIX'!$F$10)))))</f>
        <v>1.0100501670841679</v>
      </c>
      <c r="V72" s="522">
        <f>IF(Q72=1, '6. PEDIGREE MATRIX'!$B$12, IF(Q72=2, '6. PEDIGREE MATRIX'!$C$12, IF(Q72=3, '6. PEDIGREE MATRIX'!$D$12, IF(Q72=4, '6. PEDIGREE MATRIX'!$E$12, IF(Q72=5, '6. PEDIGREE MATRIX'!$F$12)))))</f>
        <v>1.0247973619913604</v>
      </c>
      <c r="W72" s="522">
        <v>5.9999999999999995E-4</v>
      </c>
      <c r="X72" s="524">
        <f t="shared" si="15"/>
        <v>1.0247973619913604</v>
      </c>
    </row>
    <row r="73" spans="1:24" x14ac:dyDescent="0.3">
      <c r="A73" s="545" t="s">
        <v>1956</v>
      </c>
      <c r="B73" s="297">
        <f>'24. WAFER FAB'!$D$77</f>
        <v>-4.3221109702767925E-5</v>
      </c>
      <c r="C73" s="112" t="s">
        <v>521</v>
      </c>
      <c r="D73" s="244" t="s">
        <v>385</v>
      </c>
      <c r="E73" s="522" t="s">
        <v>1957</v>
      </c>
      <c r="F73" s="244" t="s">
        <v>371</v>
      </c>
      <c r="G73" s="244" t="s">
        <v>429</v>
      </c>
      <c r="H73" s="244" t="s">
        <v>154</v>
      </c>
      <c r="I73" s="522">
        <v>2</v>
      </c>
      <c r="J73" s="522">
        <f t="shared" ref="J73:J76" si="16">IF(B73=0,"(Unknown)",LN((ABS(B73))))</f>
        <v>-10.049181531537965</v>
      </c>
      <c r="K73" s="522" t="str">
        <f t="shared" ref="K73:K76" si="17">IF(B73&gt;0,SQRT(LN(L73)),"(Unknown)")</f>
        <v>(Unknown)</v>
      </c>
      <c r="L73" s="522" t="str">
        <f t="shared" ref="L73:L76" si="18">IF(B73&gt;0,(EXP(SQRT((LN(X73))^2+(LN(R73))^2+(LN(S73))^2+(LN(T73))^2+(LN(U73))^2+(LN(V73))^2))),"(Unknown)")</f>
        <v>(Unknown)</v>
      </c>
      <c r="M73" s="522">
        <v>4</v>
      </c>
      <c r="N73" s="522">
        <v>4</v>
      </c>
      <c r="O73" s="522">
        <v>1</v>
      </c>
      <c r="P73" s="522">
        <v>3</v>
      </c>
      <c r="Q73" s="522">
        <v>2</v>
      </c>
      <c r="R73" s="522">
        <f>IF(M73=1, '6. PEDIGREE MATRIX'!$B$4, IF(M73=2, '6. PEDIGREE MATRIX'!$C$4, IF(M73=3, '6. PEDIGREE MATRIX'!$D$4, IF(M73=4, '6. PEDIGREE MATRIX'!$E$4, IF(M73=5, '6. PEDIGREE MATRIX'!$F$4)))))</f>
        <v>1.0935646911485417</v>
      </c>
      <c r="S73" s="522">
        <f>IF(N73=1, '6. PEDIGREE MATRIX'!$B$6, IF(N73=2, '6. PEDIGREE MATRIX'!$C$6, IF(N73=3, '6. PEDIGREE MATRIX'!$D$6, IF(N73=4, '6. PEDIGREE MATRIX'!$E$6, IF(N73=5, '6. PEDIGREE MATRIX'!$F$6)))))</f>
        <v>1.0457364348384068</v>
      </c>
      <c r="T73" s="522">
        <f>IF(O73=1, '6. PEDIGREE MATRIX'!$B$8, IF(O73=2, '6. PEDIGREE MATRIX'!$C$8, IF(O73=3, '6. PEDIGREE MATRIX'!$D$8, IF(O73=4, '6. PEDIGREE MATRIX'!$E$8, IF(O73=5, '6. PEDIGREE MATRIX'!$F$8)))))</f>
        <v>1</v>
      </c>
      <c r="U73" s="522">
        <f>IF(P73=1, '6. PEDIGREE MATRIX'!$B$10, IF(P73=2, '6. PEDIGREE MATRIX'!$C$10, IF(P73=3, '6. PEDIGREE MATRIX'!$D$10, IF(P73=4, '6. PEDIGREE MATRIX'!$E$10, IF(P73=5, '6. PEDIGREE MATRIX'!$F$10)))))</f>
        <v>1.0100501670841679</v>
      </c>
      <c r="V73" s="522">
        <f>IF(Q73=1, '6. PEDIGREE MATRIX'!$B$12, IF(Q73=2, '6. PEDIGREE MATRIX'!$C$12, IF(Q73=3, '6. PEDIGREE MATRIX'!$D$12, IF(Q73=4, '6. PEDIGREE MATRIX'!$E$12, IF(Q73=5, '6. PEDIGREE MATRIX'!$F$12)))))</f>
        <v>1.0247973619913604</v>
      </c>
      <c r="W73" s="522">
        <v>5.9999999999999995E-4</v>
      </c>
      <c r="X73" s="524">
        <f t="shared" ref="X73:X76" si="19">EXP(SQRT(W73))</f>
        <v>1.0247973619913604</v>
      </c>
    </row>
    <row r="74" spans="1:24" x14ac:dyDescent="0.3">
      <c r="A74" s="284" t="s">
        <v>1968</v>
      </c>
      <c r="B74" s="297">
        <f>'24. WAFER FAB'!$D$78</f>
        <v>-2.1610554851383963E-5</v>
      </c>
      <c r="C74" s="112" t="s">
        <v>521</v>
      </c>
      <c r="D74" s="244" t="s">
        <v>385</v>
      </c>
      <c r="E74" s="522" t="s">
        <v>1969</v>
      </c>
      <c r="F74" s="244" t="s">
        <v>371</v>
      </c>
      <c r="G74" s="244" t="s">
        <v>429</v>
      </c>
      <c r="H74" s="244" t="s">
        <v>154</v>
      </c>
      <c r="I74" s="522">
        <v>2</v>
      </c>
      <c r="J74" s="522">
        <f t="shared" si="16"/>
        <v>-10.74232871209791</v>
      </c>
      <c r="K74" s="522" t="str">
        <f t="shared" si="17"/>
        <v>(Unknown)</v>
      </c>
      <c r="L74" s="522" t="str">
        <f t="shared" si="18"/>
        <v>(Unknown)</v>
      </c>
      <c r="M74" s="522">
        <v>4</v>
      </c>
      <c r="N74" s="522">
        <v>4</v>
      </c>
      <c r="O74" s="522">
        <v>1</v>
      </c>
      <c r="P74" s="522">
        <v>3</v>
      </c>
      <c r="Q74" s="522">
        <v>2</v>
      </c>
      <c r="R74" s="522">
        <f>IF(M74=1, '6. PEDIGREE MATRIX'!$B$4, IF(M74=2, '6. PEDIGREE MATRIX'!$C$4, IF(M74=3, '6. PEDIGREE MATRIX'!$D$4, IF(M74=4, '6. PEDIGREE MATRIX'!$E$4, IF(M74=5, '6. PEDIGREE MATRIX'!$F$4)))))</f>
        <v>1.0935646911485417</v>
      </c>
      <c r="S74" s="522">
        <f>IF(N74=1, '6. PEDIGREE MATRIX'!$B$6, IF(N74=2, '6. PEDIGREE MATRIX'!$C$6, IF(N74=3, '6. PEDIGREE MATRIX'!$D$6, IF(N74=4, '6. PEDIGREE MATRIX'!$E$6, IF(N74=5, '6. PEDIGREE MATRIX'!$F$6)))))</f>
        <v>1.0457364348384068</v>
      </c>
      <c r="T74" s="522">
        <f>IF(O74=1, '6. PEDIGREE MATRIX'!$B$8, IF(O74=2, '6. PEDIGREE MATRIX'!$C$8, IF(O74=3, '6. PEDIGREE MATRIX'!$D$8, IF(O74=4, '6. PEDIGREE MATRIX'!$E$8, IF(O74=5, '6. PEDIGREE MATRIX'!$F$8)))))</f>
        <v>1</v>
      </c>
      <c r="U74" s="522">
        <f>IF(P74=1, '6. PEDIGREE MATRIX'!$B$10, IF(P74=2, '6. PEDIGREE MATRIX'!$C$10, IF(P74=3, '6. PEDIGREE MATRIX'!$D$10, IF(P74=4, '6. PEDIGREE MATRIX'!$E$10, IF(P74=5, '6. PEDIGREE MATRIX'!$F$10)))))</f>
        <v>1.0100501670841679</v>
      </c>
      <c r="V74" s="522">
        <f>IF(Q74=1, '6. PEDIGREE MATRIX'!$B$12, IF(Q74=2, '6. PEDIGREE MATRIX'!$C$12, IF(Q74=3, '6. PEDIGREE MATRIX'!$D$12, IF(Q74=4, '6. PEDIGREE MATRIX'!$E$12, IF(Q74=5, '6. PEDIGREE MATRIX'!$F$12)))))</f>
        <v>1.0247973619913604</v>
      </c>
      <c r="W74" s="522">
        <v>5.9999999999999995E-4</v>
      </c>
      <c r="X74" s="524">
        <f t="shared" si="19"/>
        <v>1.0247973619913604</v>
      </c>
    </row>
    <row r="75" spans="1:24" x14ac:dyDescent="0.3">
      <c r="A75" s="284" t="s">
        <v>1956</v>
      </c>
      <c r="B75" s="297">
        <f>'24. WAFER FAB'!$D$79</f>
        <v>-2.4703857298787407E-7</v>
      </c>
      <c r="C75" s="112" t="s">
        <v>521</v>
      </c>
      <c r="D75" s="244" t="s">
        <v>385</v>
      </c>
      <c r="E75" s="522" t="s">
        <v>1957</v>
      </c>
      <c r="F75" s="244" t="s">
        <v>371</v>
      </c>
      <c r="G75" s="244" t="s">
        <v>429</v>
      </c>
      <c r="H75" s="244" t="s">
        <v>154</v>
      </c>
      <c r="I75" s="522">
        <v>2</v>
      </c>
      <c r="J75" s="522">
        <f t="shared" si="16"/>
        <v>-15.213721346568255</v>
      </c>
      <c r="K75" s="522" t="str">
        <f t="shared" si="17"/>
        <v>(Unknown)</v>
      </c>
      <c r="L75" s="522" t="str">
        <f t="shared" si="18"/>
        <v>(Unknown)</v>
      </c>
      <c r="M75" s="522">
        <v>4</v>
      </c>
      <c r="N75" s="522">
        <v>4</v>
      </c>
      <c r="O75" s="522">
        <v>1</v>
      </c>
      <c r="P75" s="522">
        <v>3</v>
      </c>
      <c r="Q75" s="522">
        <v>2</v>
      </c>
      <c r="R75" s="522">
        <f>IF(M75=1, '6. PEDIGREE MATRIX'!$B$4, IF(M75=2, '6. PEDIGREE MATRIX'!$C$4, IF(M75=3, '6. PEDIGREE MATRIX'!$D$4, IF(M75=4, '6. PEDIGREE MATRIX'!$E$4, IF(M75=5, '6. PEDIGREE MATRIX'!$F$4)))))</f>
        <v>1.0935646911485417</v>
      </c>
      <c r="S75" s="522">
        <f>IF(N75=1, '6. PEDIGREE MATRIX'!$B$6, IF(N75=2, '6. PEDIGREE MATRIX'!$C$6, IF(N75=3, '6. PEDIGREE MATRIX'!$D$6, IF(N75=4, '6. PEDIGREE MATRIX'!$E$6, IF(N75=5, '6. PEDIGREE MATRIX'!$F$6)))))</f>
        <v>1.0457364348384068</v>
      </c>
      <c r="T75" s="522">
        <f>IF(O75=1, '6. PEDIGREE MATRIX'!$B$8, IF(O75=2, '6. PEDIGREE MATRIX'!$C$8, IF(O75=3, '6. PEDIGREE MATRIX'!$D$8, IF(O75=4, '6. PEDIGREE MATRIX'!$E$8, IF(O75=5, '6. PEDIGREE MATRIX'!$F$8)))))</f>
        <v>1</v>
      </c>
      <c r="U75" s="522">
        <f>IF(P75=1, '6. PEDIGREE MATRIX'!$B$10, IF(P75=2, '6. PEDIGREE MATRIX'!$C$10, IF(P75=3, '6. PEDIGREE MATRIX'!$D$10, IF(P75=4, '6. PEDIGREE MATRIX'!$E$10, IF(P75=5, '6. PEDIGREE MATRIX'!$F$10)))))</f>
        <v>1.0100501670841679</v>
      </c>
      <c r="V75" s="522">
        <f>IF(Q75=1, '6. PEDIGREE MATRIX'!$B$12, IF(Q75=2, '6. PEDIGREE MATRIX'!$C$12, IF(Q75=3, '6. PEDIGREE MATRIX'!$D$12, IF(Q75=4, '6. PEDIGREE MATRIX'!$E$12, IF(Q75=5, '6. PEDIGREE MATRIX'!$F$12)))))</f>
        <v>1.0247973619913604</v>
      </c>
      <c r="W75" s="522">
        <v>5.9999999999999995E-4</v>
      </c>
      <c r="X75" s="524">
        <f t="shared" si="19"/>
        <v>1.0247973619913604</v>
      </c>
    </row>
    <row r="76" spans="1:24" x14ac:dyDescent="0.3">
      <c r="A76" s="284" t="s">
        <v>1968</v>
      </c>
      <c r="B76" s="297">
        <f>'24. WAFER FAB'!$D$80</f>
        <v>-1.2351928649393703E-7</v>
      </c>
      <c r="C76" s="112" t="s">
        <v>521</v>
      </c>
      <c r="D76" s="244" t="s">
        <v>385</v>
      </c>
      <c r="E76" s="522" t="s">
        <v>1969</v>
      </c>
      <c r="F76" s="244" t="s">
        <v>371</v>
      </c>
      <c r="G76" s="244" t="s">
        <v>429</v>
      </c>
      <c r="H76" s="244" t="s">
        <v>154</v>
      </c>
      <c r="I76" s="522">
        <v>2</v>
      </c>
      <c r="J76" s="522">
        <f t="shared" si="16"/>
        <v>-15.9068685271282</v>
      </c>
      <c r="K76" s="522" t="str">
        <f t="shared" si="17"/>
        <v>(Unknown)</v>
      </c>
      <c r="L76" s="522" t="str">
        <f t="shared" si="18"/>
        <v>(Unknown)</v>
      </c>
      <c r="M76" s="522">
        <v>4</v>
      </c>
      <c r="N76" s="522">
        <v>4</v>
      </c>
      <c r="O76" s="522">
        <v>1</v>
      </c>
      <c r="P76" s="522">
        <v>3</v>
      </c>
      <c r="Q76" s="522">
        <v>2</v>
      </c>
      <c r="R76" s="522">
        <f>IF(M76=1, '6. PEDIGREE MATRIX'!$B$4, IF(M76=2, '6. PEDIGREE MATRIX'!$C$4, IF(M76=3, '6. PEDIGREE MATRIX'!$D$4, IF(M76=4, '6. PEDIGREE MATRIX'!$E$4, IF(M76=5, '6. PEDIGREE MATRIX'!$F$4)))))</f>
        <v>1.0935646911485417</v>
      </c>
      <c r="S76" s="522">
        <f>IF(N76=1, '6. PEDIGREE MATRIX'!$B$6, IF(N76=2, '6. PEDIGREE MATRIX'!$C$6, IF(N76=3, '6. PEDIGREE MATRIX'!$D$6, IF(N76=4, '6. PEDIGREE MATRIX'!$E$6, IF(N76=5, '6. PEDIGREE MATRIX'!$F$6)))))</f>
        <v>1.0457364348384068</v>
      </c>
      <c r="T76" s="522">
        <f>IF(O76=1, '6. PEDIGREE MATRIX'!$B$8, IF(O76=2, '6. PEDIGREE MATRIX'!$C$8, IF(O76=3, '6. PEDIGREE MATRIX'!$D$8, IF(O76=4, '6. PEDIGREE MATRIX'!$E$8, IF(O76=5, '6. PEDIGREE MATRIX'!$F$8)))))</f>
        <v>1</v>
      </c>
      <c r="U76" s="522">
        <f>IF(P76=1, '6. PEDIGREE MATRIX'!$B$10, IF(P76=2, '6. PEDIGREE MATRIX'!$C$10, IF(P76=3, '6. PEDIGREE MATRIX'!$D$10, IF(P76=4, '6. PEDIGREE MATRIX'!$E$10, IF(P76=5, '6. PEDIGREE MATRIX'!$F$10)))))</f>
        <v>1.0100501670841679</v>
      </c>
      <c r="V76" s="522">
        <f>IF(Q76=1, '6. PEDIGREE MATRIX'!$B$12, IF(Q76=2, '6. PEDIGREE MATRIX'!$C$12, IF(Q76=3, '6. PEDIGREE MATRIX'!$D$12, IF(Q76=4, '6. PEDIGREE MATRIX'!$E$12, IF(Q76=5, '6. PEDIGREE MATRIX'!$F$12)))))</f>
        <v>1.0247973619913604</v>
      </c>
      <c r="W76" s="522">
        <v>5.9999999999999995E-4</v>
      </c>
      <c r="X76" s="524">
        <f t="shared" si="19"/>
        <v>1.0247973619913604</v>
      </c>
    </row>
    <row r="77" spans="1:24" x14ac:dyDescent="0.3">
      <c r="A77" s="43" t="s">
        <v>816</v>
      </c>
      <c r="B77" s="297">
        <f>'24. WAFER FAB'!$D$81</f>
        <v>4.1824798577990449E-4</v>
      </c>
      <c r="C77" s="43" t="s">
        <v>153</v>
      </c>
      <c r="D77" s="516" t="s">
        <v>515</v>
      </c>
      <c r="E77" s="517" t="s">
        <v>371</v>
      </c>
      <c r="F77" s="518" t="s">
        <v>516</v>
      </c>
      <c r="G77" s="516" t="s">
        <v>371</v>
      </c>
      <c r="H77" s="516" t="s">
        <v>514</v>
      </c>
      <c r="I77" s="517">
        <v>2</v>
      </c>
      <c r="J77" s="517">
        <f t="shared" ref="J77" si="20">IF(B77=0,"(Unknown)",LN((ABS(B77))))</f>
        <v>-7.779436033937019</v>
      </c>
      <c r="K77" s="517">
        <f t="shared" ref="K77" si="21">IF(B77&gt;0,SQRT(LN(L77)),"(Unknown)")</f>
        <v>0.32603904386951327</v>
      </c>
      <c r="L77" s="517">
        <f t="shared" ref="L77" si="22">IF(B77&gt;0,(EXP(SQRT((LN(X77))^2+(LN(R77))^2+(LN(S77))^2+(LN(T77))^2+(LN(U77))^2+(LN(V77))^2))),"(Unknown)")</f>
        <v>1.1121570947719619</v>
      </c>
      <c r="M77" s="517">
        <v>4</v>
      </c>
      <c r="N77" s="517">
        <v>4</v>
      </c>
      <c r="O77" s="517">
        <v>1</v>
      </c>
      <c r="P77" s="517">
        <v>3</v>
      </c>
      <c r="Q77" s="517">
        <v>2</v>
      </c>
      <c r="R77" s="517">
        <f>IF(M77=1, '6. PEDIGREE MATRIX'!$B$4, IF(M77=2, '6. PEDIGREE MATRIX'!$C$4, IF(M77=3, '6. PEDIGREE MATRIX'!$D$4, IF(M77=4, '6. PEDIGREE MATRIX'!$E$4, IF(M77=5, '6. PEDIGREE MATRIX'!$F$4)))))</f>
        <v>1.0935646911485417</v>
      </c>
      <c r="S77" s="517">
        <f>IF(N77=1, '6. PEDIGREE MATRIX'!$B$6, IF(N77=2, '6. PEDIGREE MATRIX'!$C$6, IF(N77=3, '6. PEDIGREE MATRIX'!$D$6, IF(N77=4, '6. PEDIGREE MATRIX'!$E$6, IF(N77=5, '6. PEDIGREE MATRIX'!$F$6)))))</f>
        <v>1.0457364348384068</v>
      </c>
      <c r="T77" s="517">
        <f>IF(O77=1, '6. PEDIGREE MATRIX'!$B$8, IF(O77=2, '6. PEDIGREE MATRIX'!$C$8, IF(O77=3, '6. PEDIGREE MATRIX'!$D$8, IF(O77=4, '6. PEDIGREE MATRIX'!$E$8, IF(O77=5, '6. PEDIGREE MATRIX'!$F$8)))))</f>
        <v>1</v>
      </c>
      <c r="U77" s="517">
        <f>IF(P77=1, '6. PEDIGREE MATRIX'!$B$10, IF(P77=2, '6. PEDIGREE MATRIX'!$C$10, IF(P77=3, '6. PEDIGREE MATRIX'!$D$10, IF(P77=4, '6. PEDIGREE MATRIX'!$E$10, IF(P77=5, '6. PEDIGREE MATRIX'!$F$10)))))</f>
        <v>1.0100501670841679</v>
      </c>
      <c r="V77" s="517">
        <f>IF(Q77=1, '6. PEDIGREE MATRIX'!$B$12, IF(Q77=2, '6. PEDIGREE MATRIX'!$C$12, IF(Q77=3, '6. PEDIGREE MATRIX'!$D$12, IF(Q77=4, '6. PEDIGREE MATRIX'!$E$12, IF(Q77=5, '6. PEDIGREE MATRIX'!$F$12)))))</f>
        <v>1.0247973619913604</v>
      </c>
      <c r="W77" s="517">
        <v>5.9999999999999995E-4</v>
      </c>
      <c r="X77" s="520">
        <f t="shared" ref="X77" si="23">EXP(SQRT(W77))</f>
        <v>1.0247973619913604</v>
      </c>
    </row>
    <row r="78" spans="1:24" ht="15" thickBot="1" x14ac:dyDescent="0.35">
      <c r="A78" s="70" t="str">
        <f>B56</f>
        <v>PHOTOLITHOGRAPHY</v>
      </c>
      <c r="B78" s="71">
        <v>1</v>
      </c>
      <c r="C78" s="72" t="s">
        <v>224</v>
      </c>
      <c r="D78" s="72" t="str">
        <f>$B$1</f>
        <v>IGBT LCI dtb</v>
      </c>
      <c r="E78" s="71" t="str">
        <f>B60</f>
        <v>Processed cm² of Si IGBT good die</v>
      </c>
      <c r="F78" s="72" t="s">
        <v>371</v>
      </c>
      <c r="G78" s="72" t="s">
        <v>156</v>
      </c>
      <c r="H78" s="72" t="s">
        <v>383</v>
      </c>
      <c r="I78" s="71">
        <v>0</v>
      </c>
      <c r="J78" s="71" t="s">
        <v>371</v>
      </c>
      <c r="K78" s="71" t="s">
        <v>371</v>
      </c>
      <c r="L78" s="91" t="s">
        <v>371</v>
      </c>
      <c r="M78" s="71">
        <v>0</v>
      </c>
      <c r="N78" s="71">
        <v>0</v>
      </c>
      <c r="O78" s="71">
        <v>0</v>
      </c>
      <c r="P78" s="71">
        <v>0</v>
      </c>
      <c r="Q78" s="71">
        <v>0</v>
      </c>
      <c r="R78" s="71">
        <v>0</v>
      </c>
      <c r="S78" s="71">
        <v>0</v>
      </c>
      <c r="T78" s="71">
        <v>0</v>
      </c>
      <c r="U78" s="71">
        <v>0</v>
      </c>
      <c r="V78" s="71">
        <v>0</v>
      </c>
      <c r="W78" s="71">
        <v>0</v>
      </c>
      <c r="X78" s="92">
        <v>0</v>
      </c>
    </row>
    <row r="79" spans="1:24" x14ac:dyDescent="0.3">
      <c r="B79" s="64"/>
    </row>
    <row r="80" spans="1:24" ht="15" thickBot="1" x14ac:dyDescent="0.35">
      <c r="B80" s="64"/>
    </row>
    <row r="81" spans="1:24" s="14" customFormat="1" ht="30" customHeight="1" thickBot="1" x14ac:dyDescent="0.35">
      <c r="A81" s="178" t="s">
        <v>326</v>
      </c>
      <c r="B81" s="179" t="s">
        <v>347</v>
      </c>
      <c r="C81" s="180"/>
      <c r="D81" s="180"/>
      <c r="E81" s="181"/>
      <c r="F81" s="180"/>
      <c r="G81" s="180"/>
      <c r="H81" s="180"/>
      <c r="I81" s="181"/>
      <c r="J81" s="181"/>
      <c r="K81" s="181"/>
      <c r="L81" s="181"/>
      <c r="M81" s="181"/>
      <c r="N81" s="181"/>
      <c r="O81" s="181"/>
      <c r="P81" s="181"/>
      <c r="Q81" s="181"/>
      <c r="R81" s="181"/>
      <c r="S81" s="181"/>
      <c r="T81" s="181"/>
      <c r="U81" s="181"/>
      <c r="V81" s="181"/>
      <c r="W81" s="181"/>
      <c r="X81" s="182"/>
    </row>
    <row r="82" spans="1:24" x14ac:dyDescent="0.3">
      <c r="A82" s="54" t="s">
        <v>163</v>
      </c>
      <c r="B82" s="56" t="s">
        <v>371</v>
      </c>
      <c r="C82" s="56"/>
      <c r="D82" s="56"/>
      <c r="E82" s="61"/>
      <c r="F82" s="56"/>
      <c r="G82" s="56"/>
      <c r="H82" s="56"/>
      <c r="I82" s="61"/>
      <c r="J82" s="61"/>
      <c r="K82" s="61"/>
      <c r="L82" s="61"/>
      <c r="M82" s="61"/>
      <c r="N82" s="61"/>
      <c r="O82" s="61"/>
      <c r="P82" s="61"/>
      <c r="Q82" s="61"/>
      <c r="R82" s="61"/>
      <c r="S82" s="61"/>
      <c r="T82" s="61"/>
      <c r="U82" s="61"/>
      <c r="V82" s="61"/>
      <c r="W82" s="61"/>
      <c r="X82" s="62"/>
    </row>
    <row r="83" spans="1:24" x14ac:dyDescent="0.3">
      <c r="A83" s="54" t="s">
        <v>227</v>
      </c>
      <c r="B83" s="56" t="s">
        <v>156</v>
      </c>
      <c r="C83" s="56"/>
      <c r="D83" s="56"/>
      <c r="E83" s="61"/>
      <c r="F83" s="56"/>
      <c r="G83" s="56"/>
      <c r="H83" s="56"/>
      <c r="I83" s="61"/>
      <c r="J83" s="61"/>
      <c r="K83" s="61"/>
      <c r="L83" s="61"/>
      <c r="M83" s="61"/>
      <c r="N83" s="61"/>
      <c r="O83" s="61"/>
      <c r="P83" s="61"/>
      <c r="Q83" s="61"/>
      <c r="R83" s="61"/>
      <c r="S83" s="61"/>
      <c r="T83" s="61"/>
      <c r="U83" s="61"/>
      <c r="V83" s="61"/>
      <c r="W83" s="61"/>
      <c r="X83" s="62"/>
    </row>
    <row r="84" spans="1:24" x14ac:dyDescent="0.3">
      <c r="A84" s="54" t="s">
        <v>428</v>
      </c>
      <c r="B84" s="61">
        <v>1</v>
      </c>
      <c r="C84" s="56"/>
      <c r="D84" s="56"/>
      <c r="E84" s="61"/>
      <c r="F84" s="56"/>
      <c r="G84" s="56"/>
      <c r="H84" s="56"/>
      <c r="I84" s="61"/>
      <c r="J84" s="61"/>
      <c r="K84" s="61"/>
      <c r="L84" s="61"/>
      <c r="M84" s="61"/>
      <c r="N84" s="61"/>
      <c r="O84" s="61"/>
      <c r="P84" s="61"/>
      <c r="Q84" s="61"/>
      <c r="R84" s="61"/>
      <c r="S84" s="61"/>
      <c r="T84" s="61"/>
      <c r="U84" s="61"/>
      <c r="V84" s="61"/>
      <c r="W84" s="61"/>
      <c r="X84" s="62"/>
    </row>
    <row r="85" spans="1:24" x14ac:dyDescent="0.3">
      <c r="A85" s="54" t="s">
        <v>147</v>
      </c>
      <c r="B85" s="56" t="s">
        <v>717</v>
      </c>
      <c r="C85" s="56"/>
      <c r="D85" s="56"/>
      <c r="E85" s="61"/>
      <c r="F85" s="56"/>
      <c r="G85" s="56"/>
      <c r="H85" s="56"/>
      <c r="I85" s="61"/>
      <c r="J85" s="61"/>
      <c r="K85" s="61"/>
      <c r="L85" s="61"/>
      <c r="M85" s="61"/>
      <c r="N85" s="61"/>
      <c r="O85" s="61"/>
      <c r="P85" s="61"/>
      <c r="Q85" s="61"/>
      <c r="R85" s="61"/>
      <c r="S85" s="61"/>
      <c r="T85" s="61"/>
      <c r="U85" s="61"/>
      <c r="V85" s="61"/>
      <c r="W85" s="61"/>
      <c r="X85" s="62"/>
    </row>
    <row r="86" spans="1:24" x14ac:dyDescent="0.3">
      <c r="A86" s="54" t="s">
        <v>327</v>
      </c>
      <c r="B86" s="61" t="s">
        <v>134</v>
      </c>
      <c r="C86" s="56"/>
      <c r="D86" s="56"/>
      <c r="E86" s="61"/>
      <c r="F86" s="56"/>
      <c r="G86" s="56"/>
      <c r="H86" s="56"/>
      <c r="I86" s="61"/>
      <c r="J86" s="61"/>
      <c r="K86" s="61"/>
      <c r="L86" s="61"/>
      <c r="M86" s="61"/>
      <c r="N86" s="61"/>
      <c r="O86" s="61"/>
      <c r="P86" s="61"/>
      <c r="Q86" s="61"/>
      <c r="R86" s="61"/>
      <c r="S86" s="61"/>
      <c r="T86" s="61"/>
      <c r="U86" s="61"/>
      <c r="V86" s="61"/>
      <c r="W86" s="61"/>
      <c r="X86" s="62"/>
    </row>
    <row r="87" spans="1:24" x14ac:dyDescent="0.3">
      <c r="A87" s="54" t="s">
        <v>224</v>
      </c>
      <c r="B87" s="56" t="s">
        <v>224</v>
      </c>
      <c r="C87" s="56"/>
      <c r="D87" s="56"/>
      <c r="E87" s="61"/>
      <c r="F87" s="56"/>
      <c r="G87" s="56"/>
      <c r="H87" s="56"/>
      <c r="I87" s="61"/>
      <c r="J87" s="61"/>
      <c r="K87" s="61"/>
      <c r="L87" s="61"/>
      <c r="M87" s="61"/>
      <c r="N87" s="61"/>
      <c r="O87" s="61"/>
      <c r="P87" s="61"/>
      <c r="Q87" s="61"/>
      <c r="R87" s="61"/>
      <c r="S87" s="61"/>
      <c r="T87" s="61"/>
      <c r="U87" s="61"/>
      <c r="V87" s="61"/>
      <c r="W87" s="61"/>
      <c r="X87" s="62"/>
    </row>
    <row r="88" spans="1:24" ht="15.6" x14ac:dyDescent="0.3">
      <c r="A88" s="55" t="s">
        <v>328</v>
      </c>
      <c r="B88" s="61"/>
      <c r="C88" s="56"/>
      <c r="D88" s="56"/>
      <c r="E88" s="61"/>
      <c r="F88" s="56"/>
      <c r="G88" s="56"/>
      <c r="H88" s="56"/>
      <c r="I88" s="61"/>
      <c r="J88" s="61"/>
      <c r="K88" s="61"/>
      <c r="L88" s="61"/>
      <c r="M88" s="61"/>
      <c r="N88" s="61"/>
      <c r="O88" s="61"/>
      <c r="P88" s="61"/>
      <c r="Q88" s="61"/>
      <c r="R88" s="61"/>
      <c r="S88" s="61"/>
      <c r="T88" s="61"/>
      <c r="U88" s="61"/>
      <c r="V88" s="61"/>
      <c r="W88" s="61"/>
      <c r="X88" s="62"/>
    </row>
    <row r="89" spans="1:24" x14ac:dyDescent="0.3">
      <c r="A89" s="54" t="s">
        <v>329</v>
      </c>
      <c r="B89" s="61" t="s">
        <v>330</v>
      </c>
      <c r="C89" s="56" t="s">
        <v>224</v>
      </c>
      <c r="D89" s="56" t="s">
        <v>331</v>
      </c>
      <c r="E89" s="61" t="s">
        <v>147</v>
      </c>
      <c r="F89" s="56" t="s">
        <v>332</v>
      </c>
      <c r="G89" s="56" t="s">
        <v>227</v>
      </c>
      <c r="H89" s="56" t="s">
        <v>327</v>
      </c>
      <c r="I89" s="61" t="s">
        <v>372</v>
      </c>
      <c r="J89" s="61" t="s">
        <v>373</v>
      </c>
      <c r="K89" s="61" t="s">
        <v>374</v>
      </c>
      <c r="L89" s="61" t="s">
        <v>148</v>
      </c>
      <c r="M89" s="61" t="s">
        <v>585</v>
      </c>
      <c r="N89" s="61" t="s">
        <v>586</v>
      </c>
      <c r="O89" s="61" t="s">
        <v>587</v>
      </c>
      <c r="P89" s="61" t="s">
        <v>220</v>
      </c>
      <c r="Q89" s="61" t="s">
        <v>588</v>
      </c>
      <c r="R89" s="61" t="s">
        <v>590</v>
      </c>
      <c r="S89" s="61" t="s">
        <v>591</v>
      </c>
      <c r="T89" s="61" t="s">
        <v>592</v>
      </c>
      <c r="U89" s="61" t="s">
        <v>593</v>
      </c>
      <c r="V89" s="61" t="s">
        <v>594</v>
      </c>
      <c r="W89" s="61" t="s">
        <v>595</v>
      </c>
      <c r="X89" s="62" t="s">
        <v>589</v>
      </c>
    </row>
    <row r="90" spans="1:24" x14ac:dyDescent="0.3">
      <c r="A90" s="262" t="str">
        <f>IF($G$90='4. INPUTS LIST'!$B$3,'4. INPUTS LIST'!$C$3, IF($G$90='4. INPUTS LIST'!$B$4,'4. INPUTS LIST'!$C$4, IF($G$90='4. INPUTS LIST'!$B$5,'4. INPUTS LIST'!$C$5, IF($G$90='4. INPUTS LIST'!$B$6,'4. INPUTS LIST'!$C$6, IF($G$90='4. INPUTS LIST'!$B$7,'4. INPUTS LIST'!$C$7, IF($G$90='4. INPUTS LIST'!$B$8,'4. INPUTS LIST'!$C$8, IF($G$90='4. INPUTS LIST'!$B$9,'4. INPUTS LIST'!$C$9, IF($G$90='4. INPUTS LIST'!$B$10,'4. INPUTS LIST'!$C$10, IF($G$90='4. INPUTS LIST'!$B$11,'4. INPUTS LIST'!$C$11, IF($G$90='4. INPUTS LIST'!$B$12,'4. INPUTS LIST'!$C$12))))))))))</f>
        <v>market for electricity, medium voltage</v>
      </c>
      <c r="B90" s="445">
        <f>'12. WET ETCH'!$D$6</f>
        <v>1.64931437638483E-3</v>
      </c>
      <c r="C90" s="3" t="s">
        <v>342</v>
      </c>
      <c r="D90" s="3" t="s">
        <v>385</v>
      </c>
      <c r="E90" s="58" t="str">
        <f>IF($A$90='4. INPUTS LIST'!$C$3,'4. INPUTS LIST'!$D$3, IF($A$90='4. INPUTS LIST'!$C$7, '4. INPUTS LIST'!$D$7, IF($A$90='4. INPUTS LIST'!$C$12,'4. INPUTS LIST'!$D$12)))</f>
        <v>electricity, medium voltage</v>
      </c>
      <c r="F90" s="3" t="s">
        <v>371</v>
      </c>
      <c r="G90" s="3" t="str">
        <f>'1. USER INPUTS'!$E$24</f>
        <v>JP</v>
      </c>
      <c r="H90" s="3" t="s">
        <v>154</v>
      </c>
      <c r="I90" s="58">
        <v>2</v>
      </c>
      <c r="J90" s="58">
        <f>IF(B90=0,"(Unknown)",LN((ABS(B90))))</f>
        <v>-6.4073956068896782</v>
      </c>
      <c r="K90" s="58">
        <f>IF(B90&gt;0,SQRT(LN(L90)),"(Unknown)")</f>
        <v>0.32603904386951327</v>
      </c>
      <c r="L90" s="90">
        <f>IF(B90&gt;0,(EXP(SQRT((LN(X90))^2+(LN(R90))^2+(LN(S90))^2+(LN(T90))^2+(LN(U90))^2+(LN(V90))^2))),"(Unknown)")</f>
        <v>1.1121570947719619</v>
      </c>
      <c r="M90" s="58">
        <v>4</v>
      </c>
      <c r="N90" s="58">
        <v>4</v>
      </c>
      <c r="O90" s="58">
        <v>1</v>
      </c>
      <c r="P90" s="58">
        <v>3</v>
      </c>
      <c r="Q90" s="58">
        <v>2</v>
      </c>
      <c r="R90" s="58">
        <f>IF(M90=1, '6. PEDIGREE MATRIX'!$B$4, IF(M90=2, '6. PEDIGREE MATRIX'!$C$4, IF(M90=3, '6. PEDIGREE MATRIX'!$D$4, IF(M90=4, '6. PEDIGREE MATRIX'!$E$4, IF(M90=5, '6. PEDIGREE MATRIX'!$F$4)))))</f>
        <v>1.0935646911485417</v>
      </c>
      <c r="S90" s="58">
        <f>IF(N90=1, '6. PEDIGREE MATRIX'!$B$6, IF(N90=2, '6. PEDIGREE MATRIX'!$C$6, IF(N90=3, '6. PEDIGREE MATRIX'!$D$6, IF(N90=4, '6. PEDIGREE MATRIX'!$E$6, IF(N90=5, '6. PEDIGREE MATRIX'!$F$6)))))</f>
        <v>1.0457364348384068</v>
      </c>
      <c r="T90" s="58">
        <f>IF(O90=1, '6. PEDIGREE MATRIX'!$B$8, IF(O90=2, '6. PEDIGREE MATRIX'!$C$8, IF(O90=3, '6. PEDIGREE MATRIX'!$D$8, IF(O90=4, '6. PEDIGREE MATRIX'!$E$8, IF(O90=5, '6. PEDIGREE MATRIX'!$F$8)))))</f>
        <v>1</v>
      </c>
      <c r="U90" s="58">
        <f>IF(P90=1, '6. PEDIGREE MATRIX'!$B$10, IF(P90=2, '6. PEDIGREE MATRIX'!$C$10, IF(P90=3, '6. PEDIGREE MATRIX'!$D$10, IF(P90=4, '6. PEDIGREE MATRIX'!$E$10, IF(P90=5, '6. PEDIGREE MATRIX'!$F$10)))))</f>
        <v>1.0100501670841679</v>
      </c>
      <c r="V90" s="58">
        <f>IF(Q90=1, '6. PEDIGREE MATRIX'!$B$12, IF(Q90=2, '6. PEDIGREE MATRIX'!$C$12, IF(Q90=3, '6. PEDIGREE MATRIX'!$D$12, IF(Q90=4, '6. PEDIGREE MATRIX'!$E$12, IF(Q90=5, '6. PEDIGREE MATRIX'!$F$12)))))</f>
        <v>1.0247973619913604</v>
      </c>
      <c r="W90" s="58">
        <v>5.9999999999999995E-4</v>
      </c>
      <c r="X90" s="63">
        <f>EXP(SQRT(W90))</f>
        <v>1.0247973619913604</v>
      </c>
    </row>
    <row r="91" spans="1:24" x14ac:dyDescent="0.3">
      <c r="A91" s="15" t="s">
        <v>158</v>
      </c>
      <c r="B91" s="445">
        <f>'12. WET ETCH'!$D$7</f>
        <v>3.5049841172979321</v>
      </c>
      <c r="C91" s="3" t="s">
        <v>153</v>
      </c>
      <c r="D91" s="3" t="s">
        <v>385</v>
      </c>
      <c r="E91" s="58" t="s">
        <v>159</v>
      </c>
      <c r="F91" s="3" t="s">
        <v>371</v>
      </c>
      <c r="G91" s="3" t="s">
        <v>429</v>
      </c>
      <c r="H91" s="3" t="s">
        <v>154</v>
      </c>
      <c r="I91" s="58">
        <v>2</v>
      </c>
      <c r="J91" s="58">
        <f t="shared" ref="J91:J104" si="24">IF(B91=0,"(Unknown)",LN((ABS(B91))))</f>
        <v>1.2541859890348976</v>
      </c>
      <c r="K91" s="58">
        <f t="shared" ref="K91:K104" si="25">IF(B91&gt;0,SQRT(LN(L91)),"(Unknown)")</f>
        <v>0.32603904386951327</v>
      </c>
      <c r="L91" s="90">
        <f t="shared" ref="L91:L104" si="26">IF(B91&gt;0,(EXP(SQRT((LN(X91))^2+(LN(R91))^2+(LN(S91))^2+(LN(T91))^2+(LN(U91))^2+(LN(V91))^2))),"(Unknown)")</f>
        <v>1.1121570947719619</v>
      </c>
      <c r="M91" s="58">
        <v>4</v>
      </c>
      <c r="N91" s="58">
        <v>4</v>
      </c>
      <c r="O91" s="58">
        <v>1</v>
      </c>
      <c r="P91" s="58">
        <v>3</v>
      </c>
      <c r="Q91" s="58">
        <v>2</v>
      </c>
      <c r="R91" s="58">
        <f>IF(M91=1, '6. PEDIGREE MATRIX'!$B$4, IF(M91=2, '6. PEDIGREE MATRIX'!$C$4, IF(M91=3, '6. PEDIGREE MATRIX'!$D$4, IF(M91=4, '6. PEDIGREE MATRIX'!$E$4, IF(M91=5, '6. PEDIGREE MATRIX'!$F$4)))))</f>
        <v>1.0935646911485417</v>
      </c>
      <c r="S91" s="58">
        <f>IF(N91=1, '6. PEDIGREE MATRIX'!$B$6, IF(N91=2, '6. PEDIGREE MATRIX'!$C$6, IF(N91=3, '6. PEDIGREE MATRIX'!$D$6, IF(N91=4, '6. PEDIGREE MATRIX'!$E$6, IF(N91=5, '6. PEDIGREE MATRIX'!$F$6)))))</f>
        <v>1.0457364348384068</v>
      </c>
      <c r="T91" s="58">
        <f>IF(O91=1, '6. PEDIGREE MATRIX'!$B$8, IF(O91=2, '6. PEDIGREE MATRIX'!$C$8, IF(O91=3, '6. PEDIGREE MATRIX'!$D$8, IF(O91=4, '6. PEDIGREE MATRIX'!$E$8, IF(O91=5, '6. PEDIGREE MATRIX'!$F$8)))))</f>
        <v>1</v>
      </c>
      <c r="U91" s="58">
        <f>IF(P91=1, '6. PEDIGREE MATRIX'!$B$10, IF(P91=2, '6. PEDIGREE MATRIX'!$C$10, IF(P91=3, '6. PEDIGREE MATRIX'!$D$10, IF(P91=4, '6. PEDIGREE MATRIX'!$E$10, IF(P91=5, '6. PEDIGREE MATRIX'!$F$10)))))</f>
        <v>1.0100501670841679</v>
      </c>
      <c r="V91" s="58">
        <f>IF(Q91=1, '6. PEDIGREE MATRIX'!$B$12, IF(Q91=2, '6. PEDIGREE MATRIX'!$C$12, IF(Q91=3, '6. PEDIGREE MATRIX'!$D$12, IF(Q91=4, '6. PEDIGREE MATRIX'!$E$12, IF(Q91=5, '6. PEDIGREE MATRIX'!$F$12)))))</f>
        <v>1.0247973619913604</v>
      </c>
      <c r="W91" s="58">
        <v>5.9999999999999995E-4</v>
      </c>
      <c r="X91" s="63">
        <f t="shared" ref="X91:X94" si="27">EXP(SQRT(W91))</f>
        <v>1.0247973619913604</v>
      </c>
    </row>
    <row r="92" spans="1:24" x14ac:dyDescent="0.3">
      <c r="A92" s="15" t="s">
        <v>380</v>
      </c>
      <c r="B92" s="445">
        <f>'12. WET ETCH'!$D$8</f>
        <v>1.4464320001290984E-4</v>
      </c>
      <c r="C92" s="3" t="s">
        <v>153</v>
      </c>
      <c r="D92" s="3" t="s">
        <v>385</v>
      </c>
      <c r="E92" s="38" t="s">
        <v>155</v>
      </c>
      <c r="F92" s="3" t="s">
        <v>371</v>
      </c>
      <c r="G92" s="3" t="s">
        <v>429</v>
      </c>
      <c r="H92" s="3" t="s">
        <v>154</v>
      </c>
      <c r="I92" s="58">
        <v>2</v>
      </c>
      <c r="J92" s="58">
        <f t="shared" si="24"/>
        <v>-8.8412405375820793</v>
      </c>
      <c r="K92" s="58">
        <f t="shared" si="25"/>
        <v>0.32603904386951327</v>
      </c>
      <c r="L92" s="90">
        <f t="shared" si="26"/>
        <v>1.1121570947719619</v>
      </c>
      <c r="M92" s="58">
        <v>4</v>
      </c>
      <c r="N92" s="58">
        <v>4</v>
      </c>
      <c r="O92" s="58">
        <v>1</v>
      </c>
      <c r="P92" s="58">
        <v>3</v>
      </c>
      <c r="Q92" s="58">
        <v>2</v>
      </c>
      <c r="R92" s="58">
        <f>IF(M92=1, '6. PEDIGREE MATRIX'!$B$4, IF(M92=2, '6. PEDIGREE MATRIX'!$C$4, IF(M92=3, '6. PEDIGREE MATRIX'!$D$4, IF(M92=4, '6. PEDIGREE MATRIX'!$E$4, IF(M92=5, '6. PEDIGREE MATRIX'!$F$4)))))</f>
        <v>1.0935646911485417</v>
      </c>
      <c r="S92" s="58">
        <f>IF(N92=1, '6. PEDIGREE MATRIX'!$B$6, IF(N92=2, '6. PEDIGREE MATRIX'!$C$6, IF(N92=3, '6. PEDIGREE MATRIX'!$D$6, IF(N92=4, '6. PEDIGREE MATRIX'!$E$6, IF(N92=5, '6. PEDIGREE MATRIX'!$F$6)))))</f>
        <v>1.0457364348384068</v>
      </c>
      <c r="T92" s="58">
        <f>IF(O92=1, '6. PEDIGREE MATRIX'!$B$8, IF(O92=2, '6. PEDIGREE MATRIX'!$C$8, IF(O92=3, '6. PEDIGREE MATRIX'!$D$8, IF(O92=4, '6. PEDIGREE MATRIX'!$E$8, IF(O92=5, '6. PEDIGREE MATRIX'!$F$8)))))</f>
        <v>1</v>
      </c>
      <c r="U92" s="58">
        <f>IF(P92=1, '6. PEDIGREE MATRIX'!$B$10, IF(P92=2, '6. PEDIGREE MATRIX'!$C$10, IF(P92=3, '6. PEDIGREE MATRIX'!$D$10, IF(P92=4, '6. PEDIGREE MATRIX'!$E$10, IF(P92=5, '6. PEDIGREE MATRIX'!$F$10)))))</f>
        <v>1.0100501670841679</v>
      </c>
      <c r="V92" s="58">
        <f>IF(Q92=1, '6. PEDIGREE MATRIX'!$B$12, IF(Q92=2, '6. PEDIGREE MATRIX'!$C$12, IF(Q92=3, '6. PEDIGREE MATRIX'!$D$12, IF(Q92=4, '6. PEDIGREE MATRIX'!$E$12, IF(Q92=5, '6. PEDIGREE MATRIX'!$F$12)))))</f>
        <v>1.0247973619913604</v>
      </c>
      <c r="W92" s="58">
        <v>5.9999999999999995E-4</v>
      </c>
      <c r="X92" s="63">
        <f t="shared" si="27"/>
        <v>1.0247973619913604</v>
      </c>
    </row>
    <row r="93" spans="1:24" x14ac:dyDescent="0.3">
      <c r="A93" s="15" t="s">
        <v>695</v>
      </c>
      <c r="B93" s="445">
        <f>'12. WET ETCH'!$D$9</f>
        <v>1.5183304764631485E-3</v>
      </c>
      <c r="C93" s="3" t="s">
        <v>153</v>
      </c>
      <c r="D93" s="3" t="s">
        <v>385</v>
      </c>
      <c r="E93" s="38" t="s">
        <v>157</v>
      </c>
      <c r="F93" s="3" t="s">
        <v>371</v>
      </c>
      <c r="G93" s="3" t="s">
        <v>429</v>
      </c>
      <c r="H93" s="3" t="s">
        <v>154</v>
      </c>
      <c r="I93" s="58">
        <v>2</v>
      </c>
      <c r="J93" s="58">
        <f t="shared" si="24"/>
        <v>-6.4901439185230929</v>
      </c>
      <c r="K93" s="58">
        <f t="shared" si="25"/>
        <v>0.32603904386951327</v>
      </c>
      <c r="L93" s="90">
        <f t="shared" si="26"/>
        <v>1.1121570947719619</v>
      </c>
      <c r="M93" s="58">
        <v>4</v>
      </c>
      <c r="N93" s="58">
        <v>4</v>
      </c>
      <c r="O93" s="58">
        <v>1</v>
      </c>
      <c r="P93" s="58">
        <v>3</v>
      </c>
      <c r="Q93" s="58">
        <v>2</v>
      </c>
      <c r="R93" s="58">
        <f>IF(M93=1, '6. PEDIGREE MATRIX'!$B$4, IF(M93=2, '6. PEDIGREE MATRIX'!$C$4, IF(M93=3, '6. PEDIGREE MATRIX'!$D$4, IF(M93=4, '6. PEDIGREE MATRIX'!$E$4, IF(M93=5, '6. PEDIGREE MATRIX'!$F$4)))))</f>
        <v>1.0935646911485417</v>
      </c>
      <c r="S93" s="58">
        <f>IF(N93=1, '6. PEDIGREE MATRIX'!$B$6, IF(N93=2, '6. PEDIGREE MATRIX'!$C$6, IF(N93=3, '6. PEDIGREE MATRIX'!$D$6, IF(N93=4, '6. PEDIGREE MATRIX'!$E$6, IF(N93=5, '6. PEDIGREE MATRIX'!$F$6)))))</f>
        <v>1.0457364348384068</v>
      </c>
      <c r="T93" s="58">
        <f>IF(O93=1, '6. PEDIGREE MATRIX'!$B$8, IF(O93=2, '6. PEDIGREE MATRIX'!$C$8, IF(O93=3, '6. PEDIGREE MATRIX'!$D$8, IF(O93=4, '6. PEDIGREE MATRIX'!$E$8, IF(O93=5, '6. PEDIGREE MATRIX'!$F$8)))))</f>
        <v>1</v>
      </c>
      <c r="U93" s="58">
        <f>IF(P93=1, '6. PEDIGREE MATRIX'!$B$10, IF(P93=2, '6. PEDIGREE MATRIX'!$C$10, IF(P93=3, '6. PEDIGREE MATRIX'!$D$10, IF(P93=4, '6. PEDIGREE MATRIX'!$E$10, IF(P93=5, '6. PEDIGREE MATRIX'!$F$10)))))</f>
        <v>1.0100501670841679</v>
      </c>
      <c r="V93" s="58">
        <f>IF(Q93=1, '6. PEDIGREE MATRIX'!$B$12, IF(Q93=2, '6. PEDIGREE MATRIX'!$C$12, IF(Q93=3, '6. PEDIGREE MATRIX'!$D$12, IF(Q93=4, '6. PEDIGREE MATRIX'!$E$12, IF(Q93=5, '6. PEDIGREE MATRIX'!$F$12)))))</f>
        <v>1.0247973619913604</v>
      </c>
      <c r="W93" s="58">
        <v>5.9999999999999995E-4</v>
      </c>
      <c r="X93" s="63">
        <f t="shared" si="27"/>
        <v>1.0247973619913604</v>
      </c>
    </row>
    <row r="94" spans="1:24" x14ac:dyDescent="0.3">
      <c r="A94" s="15" t="s">
        <v>696</v>
      </c>
      <c r="B94" s="445">
        <f>'12. WET ETCH'!$D$10</f>
        <v>1.0248966688943553E-2</v>
      </c>
      <c r="C94" s="3" t="s">
        <v>153</v>
      </c>
      <c r="D94" s="3" t="s">
        <v>385</v>
      </c>
      <c r="E94" s="38" t="s">
        <v>160</v>
      </c>
      <c r="F94" s="3" t="s">
        <v>371</v>
      </c>
      <c r="G94" s="3" t="s">
        <v>429</v>
      </c>
      <c r="H94" s="3" t="s">
        <v>154</v>
      </c>
      <c r="I94" s="58">
        <v>2</v>
      </c>
      <c r="J94" s="58">
        <f t="shared" si="24"/>
        <v>-4.5805783893142493</v>
      </c>
      <c r="K94" s="58">
        <f t="shared" si="25"/>
        <v>0.32603904386951327</v>
      </c>
      <c r="L94" s="90">
        <f t="shared" si="26"/>
        <v>1.1121570947719619</v>
      </c>
      <c r="M94" s="58">
        <v>4</v>
      </c>
      <c r="N94" s="58">
        <v>4</v>
      </c>
      <c r="O94" s="58">
        <v>1</v>
      </c>
      <c r="P94" s="58">
        <v>3</v>
      </c>
      <c r="Q94" s="58">
        <v>2</v>
      </c>
      <c r="R94" s="58">
        <f>IF(M94=1, '6. PEDIGREE MATRIX'!$B$4, IF(M94=2, '6. PEDIGREE MATRIX'!$C$4, IF(M94=3, '6. PEDIGREE MATRIX'!$D$4, IF(M94=4, '6. PEDIGREE MATRIX'!$E$4, IF(M94=5, '6. PEDIGREE MATRIX'!$F$4)))))</f>
        <v>1.0935646911485417</v>
      </c>
      <c r="S94" s="58">
        <f>IF(N94=1, '6. PEDIGREE MATRIX'!$B$6, IF(N94=2, '6. PEDIGREE MATRIX'!$C$6, IF(N94=3, '6. PEDIGREE MATRIX'!$D$6, IF(N94=4, '6. PEDIGREE MATRIX'!$E$6, IF(N94=5, '6. PEDIGREE MATRIX'!$F$6)))))</f>
        <v>1.0457364348384068</v>
      </c>
      <c r="T94" s="58">
        <f>IF(O94=1, '6. PEDIGREE MATRIX'!$B$8, IF(O94=2, '6. PEDIGREE MATRIX'!$C$8, IF(O94=3, '6. PEDIGREE MATRIX'!$D$8, IF(O94=4, '6. PEDIGREE MATRIX'!$E$8, IF(O94=5, '6. PEDIGREE MATRIX'!$F$8)))))</f>
        <v>1</v>
      </c>
      <c r="U94" s="58">
        <f>IF(P94=1, '6. PEDIGREE MATRIX'!$B$10, IF(P94=2, '6. PEDIGREE MATRIX'!$C$10, IF(P94=3, '6. PEDIGREE MATRIX'!$D$10, IF(P94=4, '6. PEDIGREE MATRIX'!$E$10, IF(P94=5, '6. PEDIGREE MATRIX'!$F$10)))))</f>
        <v>1.0100501670841679</v>
      </c>
      <c r="V94" s="58">
        <f>IF(Q94=1, '6. PEDIGREE MATRIX'!$B$12, IF(Q94=2, '6. PEDIGREE MATRIX'!$C$12, IF(Q94=3, '6. PEDIGREE MATRIX'!$D$12, IF(Q94=4, '6. PEDIGREE MATRIX'!$E$12, IF(Q94=5, '6. PEDIGREE MATRIX'!$F$12)))))</f>
        <v>1.0247973619913604</v>
      </c>
      <c r="W94" s="58">
        <v>5.9999999999999995E-4</v>
      </c>
      <c r="X94" s="63">
        <f t="shared" si="27"/>
        <v>1.0247973619913604</v>
      </c>
    </row>
    <row r="95" spans="1:24" x14ac:dyDescent="0.3">
      <c r="A95" s="262" t="s">
        <v>698</v>
      </c>
      <c r="B95" s="445">
        <f>'12. WET ETCH'!$D$11</f>
        <v>3.0429752600375721E-3</v>
      </c>
      <c r="C95" s="3" t="s">
        <v>153</v>
      </c>
      <c r="D95" s="3" t="s">
        <v>385</v>
      </c>
      <c r="E95" s="38" t="s">
        <v>396</v>
      </c>
      <c r="F95" s="3" t="s">
        <v>371</v>
      </c>
      <c r="G95" s="3" t="s">
        <v>346</v>
      </c>
      <c r="H95" s="3" t="s">
        <v>154</v>
      </c>
      <c r="I95" s="58">
        <v>2</v>
      </c>
      <c r="J95" s="58">
        <f t="shared" si="24"/>
        <v>-5.7949195382227412</v>
      </c>
      <c r="K95" s="58">
        <f t="shared" si="25"/>
        <v>0.32603904386951327</v>
      </c>
      <c r="L95" s="90">
        <f t="shared" si="26"/>
        <v>1.1121570947719619</v>
      </c>
      <c r="M95" s="58">
        <v>4</v>
      </c>
      <c r="N95" s="58">
        <v>4</v>
      </c>
      <c r="O95" s="58">
        <v>1</v>
      </c>
      <c r="P95" s="58">
        <v>3</v>
      </c>
      <c r="Q95" s="58">
        <v>2</v>
      </c>
      <c r="R95" s="58">
        <f>IF(M95=1, '6. PEDIGREE MATRIX'!$B$4, IF(M95=2, '6. PEDIGREE MATRIX'!$C$4, IF(M95=3, '6. PEDIGREE MATRIX'!$D$4, IF(M95=4, '6. PEDIGREE MATRIX'!$E$4, IF(M95=5, '6. PEDIGREE MATRIX'!$F$4)))))</f>
        <v>1.0935646911485417</v>
      </c>
      <c r="S95" s="58">
        <f>IF(N95=1, '6. PEDIGREE MATRIX'!$B$6, IF(N95=2, '6. PEDIGREE MATRIX'!$C$6, IF(N95=3, '6. PEDIGREE MATRIX'!$D$6, IF(N95=4, '6. PEDIGREE MATRIX'!$E$6, IF(N95=5, '6. PEDIGREE MATRIX'!$F$6)))))</f>
        <v>1.0457364348384068</v>
      </c>
      <c r="T95" s="58">
        <f>IF(O95=1, '6. PEDIGREE MATRIX'!$B$8, IF(O95=2, '6. PEDIGREE MATRIX'!$C$8, IF(O95=3, '6. PEDIGREE MATRIX'!$D$8, IF(O95=4, '6. PEDIGREE MATRIX'!$E$8, IF(O95=5, '6. PEDIGREE MATRIX'!$F$8)))))</f>
        <v>1</v>
      </c>
      <c r="U95" s="58">
        <f>IF(P95=1, '6. PEDIGREE MATRIX'!$B$10, IF(P95=2, '6. PEDIGREE MATRIX'!$C$10, IF(P95=3, '6. PEDIGREE MATRIX'!$D$10, IF(P95=4, '6. PEDIGREE MATRIX'!$E$10, IF(P95=5, '6. PEDIGREE MATRIX'!$F$10)))))</f>
        <v>1.0100501670841679</v>
      </c>
      <c r="V95" s="58">
        <f>IF(Q95=1, '6. PEDIGREE MATRIX'!$B$12, IF(Q95=2, '6. PEDIGREE MATRIX'!$C$12, IF(Q95=3, '6. PEDIGREE MATRIX'!$D$12, IF(Q95=4, '6. PEDIGREE MATRIX'!$E$12, IF(Q95=5, '6. PEDIGREE MATRIX'!$F$12)))))</f>
        <v>1.0247973619913604</v>
      </c>
      <c r="W95" s="58">
        <v>5.9999999999999995E-4</v>
      </c>
      <c r="X95" s="63">
        <f t="shared" ref="X95" si="28">EXP(SQRT(W95))</f>
        <v>1.0247973619913604</v>
      </c>
    </row>
    <row r="96" spans="1:24" x14ac:dyDescent="0.3">
      <c r="A96" s="293" t="s">
        <v>798</v>
      </c>
      <c r="B96" s="302">
        <f>'12. WET ETCH'!$D$12</f>
        <v>1.3759005387366649E-2</v>
      </c>
      <c r="C96" s="3" t="s">
        <v>153</v>
      </c>
      <c r="D96" s="481" t="s">
        <v>385</v>
      </c>
      <c r="E96" s="15" t="s">
        <v>1650</v>
      </c>
      <c r="F96" s="3" t="s">
        <v>371</v>
      </c>
      <c r="G96" s="3" t="s">
        <v>429</v>
      </c>
      <c r="H96" s="3" t="s">
        <v>154</v>
      </c>
      <c r="I96" s="58">
        <v>2</v>
      </c>
      <c r="J96" s="58">
        <f t="shared" si="24"/>
        <v>-4.286061731984339</v>
      </c>
      <c r="K96" s="58">
        <f t="shared" si="25"/>
        <v>0.32603904386951327</v>
      </c>
      <c r="L96" s="90">
        <f t="shared" si="26"/>
        <v>1.1121570947719619</v>
      </c>
      <c r="M96" s="58">
        <v>4</v>
      </c>
      <c r="N96" s="58">
        <v>4</v>
      </c>
      <c r="O96" s="58">
        <v>1</v>
      </c>
      <c r="P96" s="58">
        <v>3</v>
      </c>
      <c r="Q96" s="58">
        <v>2</v>
      </c>
      <c r="R96" s="58">
        <f>IF(M96=1, '6. PEDIGREE MATRIX'!$B$4, IF(M96=2, '6. PEDIGREE MATRIX'!$C$4, IF(M96=3, '6. PEDIGREE MATRIX'!$D$4, IF(M96=4, '6. PEDIGREE MATRIX'!$E$4, IF(M96=5, '6. PEDIGREE MATRIX'!$F$4)))))</f>
        <v>1.0935646911485417</v>
      </c>
      <c r="S96" s="58">
        <f>IF(N96=1, '6. PEDIGREE MATRIX'!$B$6, IF(N96=2, '6. PEDIGREE MATRIX'!$C$6, IF(N96=3, '6. PEDIGREE MATRIX'!$D$6, IF(N96=4, '6. PEDIGREE MATRIX'!$E$6, IF(N96=5, '6. PEDIGREE MATRIX'!$F$6)))))</f>
        <v>1.0457364348384068</v>
      </c>
      <c r="T96" s="58">
        <f>IF(O96=1, '6. PEDIGREE MATRIX'!$B$8, IF(O96=2, '6. PEDIGREE MATRIX'!$C$8, IF(O96=3, '6. PEDIGREE MATRIX'!$D$8, IF(O96=4, '6. PEDIGREE MATRIX'!$E$8, IF(O96=5, '6. PEDIGREE MATRIX'!$F$8)))))</f>
        <v>1</v>
      </c>
      <c r="U96" s="58">
        <f>IF(P96=1, '6. PEDIGREE MATRIX'!$B$10, IF(P96=2, '6. PEDIGREE MATRIX'!$C$10, IF(P96=3, '6. PEDIGREE MATRIX'!$D$10, IF(P96=4, '6. PEDIGREE MATRIX'!$E$10, IF(P96=5, '6. PEDIGREE MATRIX'!$F$10)))))</f>
        <v>1.0100501670841679</v>
      </c>
      <c r="V96" s="58">
        <f>IF(Q96=1, '6. PEDIGREE MATRIX'!$B$12, IF(Q96=2, '6. PEDIGREE MATRIX'!$C$12, IF(Q96=3, '6. PEDIGREE MATRIX'!$D$12, IF(Q96=4, '6. PEDIGREE MATRIX'!$E$12, IF(Q96=5, '6. PEDIGREE MATRIX'!$F$12)))))</f>
        <v>1.0247973619913604</v>
      </c>
      <c r="W96" s="58">
        <v>5.9999999999999995E-4</v>
      </c>
      <c r="X96" s="63">
        <f t="shared" ref="X96:X98" si="29">EXP(SQRT(W96))</f>
        <v>1.0247973619913604</v>
      </c>
    </row>
    <row r="97" spans="1:24" x14ac:dyDescent="0.3">
      <c r="A97" s="285" t="s">
        <v>430</v>
      </c>
      <c r="B97" s="302">
        <f>'12. WET ETCH'!$D$13</f>
        <v>1.0901944159388873E-3</v>
      </c>
      <c r="C97" s="3" t="s">
        <v>153</v>
      </c>
      <c r="D97" s="481" t="s">
        <v>385</v>
      </c>
      <c r="E97" s="262" t="s">
        <v>161</v>
      </c>
      <c r="F97" s="3" t="s">
        <v>371</v>
      </c>
      <c r="G97" s="3" t="s">
        <v>429</v>
      </c>
      <c r="H97" s="3" t="s">
        <v>154</v>
      </c>
      <c r="I97" s="58">
        <v>2</v>
      </c>
      <c r="J97" s="58">
        <f t="shared" si="24"/>
        <v>-6.8213992353992321</v>
      </c>
      <c r="K97" s="58">
        <f t="shared" si="25"/>
        <v>0.32603904386951327</v>
      </c>
      <c r="L97" s="90">
        <f t="shared" si="26"/>
        <v>1.1121570947719619</v>
      </c>
      <c r="M97" s="58">
        <v>4</v>
      </c>
      <c r="N97" s="58">
        <v>4</v>
      </c>
      <c r="O97" s="58">
        <v>1</v>
      </c>
      <c r="P97" s="58">
        <v>3</v>
      </c>
      <c r="Q97" s="58">
        <v>2</v>
      </c>
      <c r="R97" s="58">
        <f>IF(M97=1, '6. PEDIGREE MATRIX'!$B$4, IF(M97=2, '6. PEDIGREE MATRIX'!$C$4, IF(M97=3, '6. PEDIGREE MATRIX'!$D$4, IF(M97=4, '6. PEDIGREE MATRIX'!$E$4, IF(M97=5, '6. PEDIGREE MATRIX'!$F$4)))))</f>
        <v>1.0935646911485417</v>
      </c>
      <c r="S97" s="58">
        <f>IF(N97=1, '6. PEDIGREE MATRIX'!$B$6, IF(N97=2, '6. PEDIGREE MATRIX'!$C$6, IF(N97=3, '6. PEDIGREE MATRIX'!$D$6, IF(N97=4, '6. PEDIGREE MATRIX'!$E$6, IF(N97=5, '6. PEDIGREE MATRIX'!$F$6)))))</f>
        <v>1.0457364348384068</v>
      </c>
      <c r="T97" s="58">
        <f>IF(O97=1, '6. PEDIGREE MATRIX'!$B$8, IF(O97=2, '6. PEDIGREE MATRIX'!$C$8, IF(O97=3, '6. PEDIGREE MATRIX'!$D$8, IF(O97=4, '6. PEDIGREE MATRIX'!$E$8, IF(O97=5, '6. PEDIGREE MATRIX'!$F$8)))))</f>
        <v>1</v>
      </c>
      <c r="U97" s="58">
        <f>IF(P97=1, '6. PEDIGREE MATRIX'!$B$10, IF(P97=2, '6. PEDIGREE MATRIX'!$C$10, IF(P97=3, '6. PEDIGREE MATRIX'!$D$10, IF(P97=4, '6. PEDIGREE MATRIX'!$E$10, IF(P97=5, '6. PEDIGREE MATRIX'!$F$10)))))</f>
        <v>1.0100501670841679</v>
      </c>
      <c r="V97" s="58">
        <f>IF(Q97=1, '6. PEDIGREE MATRIX'!$B$12, IF(Q97=2, '6. PEDIGREE MATRIX'!$C$12, IF(Q97=3, '6. PEDIGREE MATRIX'!$D$12, IF(Q97=4, '6. PEDIGREE MATRIX'!$E$12, IF(Q97=5, '6. PEDIGREE MATRIX'!$F$12)))))</f>
        <v>1.0247973619913604</v>
      </c>
      <c r="W97" s="58">
        <v>5.9999999999999995E-4</v>
      </c>
      <c r="X97" s="63">
        <f t="shared" si="29"/>
        <v>1.0247973619913604</v>
      </c>
    </row>
    <row r="98" spans="1:24" x14ac:dyDescent="0.3">
      <c r="A98" s="293" t="s">
        <v>1812</v>
      </c>
      <c r="B98" s="302">
        <f>'12. WET ETCH'!$D$14</f>
        <v>3.1792861785015828E-3</v>
      </c>
      <c r="C98" s="3" t="s">
        <v>153</v>
      </c>
      <c r="D98" s="481" t="s">
        <v>385</v>
      </c>
      <c r="E98" s="15" t="s">
        <v>1814</v>
      </c>
      <c r="F98" s="3" t="s">
        <v>371</v>
      </c>
      <c r="G98" s="3" t="s">
        <v>346</v>
      </c>
      <c r="H98" s="3" t="s">
        <v>154</v>
      </c>
      <c r="I98" s="58">
        <v>2</v>
      </c>
      <c r="J98" s="58">
        <f t="shared" si="24"/>
        <v>-5.7510985795570138</v>
      </c>
      <c r="K98" s="58">
        <f t="shared" si="25"/>
        <v>0.32603904386951327</v>
      </c>
      <c r="L98" s="90">
        <f t="shared" si="26"/>
        <v>1.1121570947719619</v>
      </c>
      <c r="M98" s="58">
        <v>4</v>
      </c>
      <c r="N98" s="58">
        <v>4</v>
      </c>
      <c r="O98" s="58">
        <v>1</v>
      </c>
      <c r="P98" s="58">
        <v>3</v>
      </c>
      <c r="Q98" s="58">
        <v>2</v>
      </c>
      <c r="R98" s="58">
        <f>IF(M98=1, '6. PEDIGREE MATRIX'!$B$4, IF(M98=2, '6. PEDIGREE MATRIX'!$C$4, IF(M98=3, '6. PEDIGREE MATRIX'!$D$4, IF(M98=4, '6. PEDIGREE MATRIX'!$E$4, IF(M98=5, '6. PEDIGREE MATRIX'!$F$4)))))</f>
        <v>1.0935646911485417</v>
      </c>
      <c r="S98" s="58">
        <f>IF(N98=1, '6. PEDIGREE MATRIX'!$B$6, IF(N98=2, '6. PEDIGREE MATRIX'!$C$6, IF(N98=3, '6. PEDIGREE MATRIX'!$D$6, IF(N98=4, '6. PEDIGREE MATRIX'!$E$6, IF(N98=5, '6. PEDIGREE MATRIX'!$F$6)))))</f>
        <v>1.0457364348384068</v>
      </c>
      <c r="T98" s="58">
        <f>IF(O98=1, '6. PEDIGREE MATRIX'!$B$8, IF(O98=2, '6. PEDIGREE MATRIX'!$C$8, IF(O98=3, '6. PEDIGREE MATRIX'!$D$8, IF(O98=4, '6. PEDIGREE MATRIX'!$E$8, IF(O98=5, '6. PEDIGREE MATRIX'!$F$8)))))</f>
        <v>1</v>
      </c>
      <c r="U98" s="58">
        <f>IF(P98=1, '6. PEDIGREE MATRIX'!$B$10, IF(P98=2, '6. PEDIGREE MATRIX'!$C$10, IF(P98=3, '6. PEDIGREE MATRIX'!$D$10, IF(P98=4, '6. PEDIGREE MATRIX'!$E$10, IF(P98=5, '6. PEDIGREE MATRIX'!$F$10)))))</f>
        <v>1.0100501670841679</v>
      </c>
      <c r="V98" s="58">
        <f>IF(Q98=1, '6. PEDIGREE MATRIX'!$B$12, IF(Q98=2, '6. PEDIGREE MATRIX'!$C$12, IF(Q98=3, '6. PEDIGREE MATRIX'!$D$12, IF(Q98=4, '6. PEDIGREE MATRIX'!$E$12, IF(Q98=5, '6. PEDIGREE MATRIX'!$F$12)))))</f>
        <v>1.0247973619913604</v>
      </c>
      <c r="W98" s="58">
        <v>5.9999999999999995E-4</v>
      </c>
      <c r="X98" s="63">
        <f t="shared" si="29"/>
        <v>1.0247973619913604</v>
      </c>
    </row>
    <row r="99" spans="1:24" x14ac:dyDescent="0.3">
      <c r="A99" s="293" t="s">
        <v>962</v>
      </c>
      <c r="B99" s="445">
        <f>'12. WET ETCH'!$D$15</f>
        <v>7.6045088323618945E-4</v>
      </c>
      <c r="C99" s="3" t="s">
        <v>153</v>
      </c>
      <c r="D99" s="3" t="s">
        <v>385</v>
      </c>
      <c r="E99" s="38" t="s">
        <v>392</v>
      </c>
      <c r="F99" s="3" t="s">
        <v>371</v>
      </c>
      <c r="G99" s="3" t="s">
        <v>429</v>
      </c>
      <c r="H99" s="3" t="s">
        <v>154</v>
      </c>
      <c r="I99" s="58">
        <v>2</v>
      </c>
      <c r="J99" s="58">
        <f t="shared" si="24"/>
        <v>-7.1815990331813992</v>
      </c>
      <c r="K99" s="58">
        <f t="shared" si="25"/>
        <v>0.32603904386951327</v>
      </c>
      <c r="L99" s="90">
        <f t="shared" si="26"/>
        <v>1.1121570947719619</v>
      </c>
      <c r="M99" s="58">
        <v>4</v>
      </c>
      <c r="N99" s="58">
        <v>4</v>
      </c>
      <c r="O99" s="58">
        <v>1</v>
      </c>
      <c r="P99" s="58">
        <v>3</v>
      </c>
      <c r="Q99" s="58">
        <v>2</v>
      </c>
      <c r="R99" s="58">
        <f>IF(M99=1, '6. PEDIGREE MATRIX'!$B$4, IF(M99=2, '6. PEDIGREE MATRIX'!$C$4, IF(M99=3, '6. PEDIGREE MATRIX'!$D$4, IF(M99=4, '6. PEDIGREE MATRIX'!$E$4, IF(M99=5, '6. PEDIGREE MATRIX'!$F$4)))))</f>
        <v>1.0935646911485417</v>
      </c>
      <c r="S99" s="58">
        <f>IF(N99=1, '6. PEDIGREE MATRIX'!$B$6, IF(N99=2, '6. PEDIGREE MATRIX'!$C$6, IF(N99=3, '6. PEDIGREE MATRIX'!$D$6, IF(N99=4, '6. PEDIGREE MATRIX'!$E$6, IF(N99=5, '6. PEDIGREE MATRIX'!$F$6)))))</f>
        <v>1.0457364348384068</v>
      </c>
      <c r="T99" s="58">
        <f>IF(O99=1, '6. PEDIGREE MATRIX'!$B$8, IF(O99=2, '6. PEDIGREE MATRIX'!$C$8, IF(O99=3, '6. PEDIGREE MATRIX'!$D$8, IF(O99=4, '6. PEDIGREE MATRIX'!$E$8, IF(O99=5, '6. PEDIGREE MATRIX'!$F$8)))))</f>
        <v>1</v>
      </c>
      <c r="U99" s="58">
        <f>IF(P99=1, '6. PEDIGREE MATRIX'!$B$10, IF(P99=2, '6. PEDIGREE MATRIX'!$C$10, IF(P99=3, '6. PEDIGREE MATRIX'!$D$10, IF(P99=4, '6. PEDIGREE MATRIX'!$E$10, IF(P99=5, '6. PEDIGREE MATRIX'!$F$10)))))</f>
        <v>1.0100501670841679</v>
      </c>
      <c r="V99" s="58">
        <f>IF(Q99=1, '6. PEDIGREE MATRIX'!$B$12, IF(Q99=2, '6. PEDIGREE MATRIX'!$C$12, IF(Q99=3, '6. PEDIGREE MATRIX'!$D$12, IF(Q99=4, '6. PEDIGREE MATRIX'!$E$12, IF(Q99=5, '6. PEDIGREE MATRIX'!$F$12)))))</f>
        <v>1.0247973619913604</v>
      </c>
      <c r="W99" s="58">
        <v>5.9999999999999995E-4</v>
      </c>
      <c r="X99" s="63">
        <f>EXP(SQRT(W99))</f>
        <v>1.0247973619913604</v>
      </c>
    </row>
    <row r="100" spans="1:24" x14ac:dyDescent="0.3">
      <c r="A100" s="545" t="s">
        <v>1956</v>
      </c>
      <c r="B100" s="297">
        <f>'24. WAFER FAB'!$D$67</f>
        <v>-1.8250821197668549E-6</v>
      </c>
      <c r="C100" s="112" t="s">
        <v>521</v>
      </c>
      <c r="D100" s="244" t="s">
        <v>385</v>
      </c>
      <c r="E100" s="522" t="s">
        <v>1957</v>
      </c>
      <c r="F100" s="244" t="s">
        <v>371</v>
      </c>
      <c r="G100" s="244" t="s">
        <v>429</v>
      </c>
      <c r="H100" s="244" t="s">
        <v>154</v>
      </c>
      <c r="I100" s="522">
        <v>2</v>
      </c>
      <c r="J100" s="522">
        <f t="shared" si="24"/>
        <v>-13.213885574809638</v>
      </c>
      <c r="K100" s="522" t="str">
        <f t="shared" si="25"/>
        <v>(Unknown)</v>
      </c>
      <c r="L100" s="522" t="str">
        <f t="shared" si="26"/>
        <v>(Unknown)</v>
      </c>
      <c r="M100" s="522">
        <v>4</v>
      </c>
      <c r="N100" s="522">
        <v>4</v>
      </c>
      <c r="O100" s="522">
        <v>1</v>
      </c>
      <c r="P100" s="522">
        <v>3</v>
      </c>
      <c r="Q100" s="522">
        <v>2</v>
      </c>
      <c r="R100" s="522">
        <f>IF(M100=1, '6. PEDIGREE MATRIX'!$B$4, IF(M100=2, '6. PEDIGREE MATRIX'!$C$4, IF(M100=3, '6. PEDIGREE MATRIX'!$D$4, IF(M100=4, '6. PEDIGREE MATRIX'!$E$4, IF(M100=5, '6. PEDIGREE MATRIX'!$F$4)))))</f>
        <v>1.0935646911485417</v>
      </c>
      <c r="S100" s="522">
        <f>IF(N100=1, '6. PEDIGREE MATRIX'!$B$6, IF(N100=2, '6. PEDIGREE MATRIX'!$C$6, IF(N100=3, '6. PEDIGREE MATRIX'!$D$6, IF(N100=4, '6. PEDIGREE MATRIX'!$E$6, IF(N100=5, '6. PEDIGREE MATRIX'!$F$6)))))</f>
        <v>1.0457364348384068</v>
      </c>
      <c r="T100" s="522">
        <f>IF(O100=1, '6. PEDIGREE MATRIX'!$B$8, IF(O100=2, '6. PEDIGREE MATRIX'!$C$8, IF(O100=3, '6. PEDIGREE MATRIX'!$D$8, IF(O100=4, '6. PEDIGREE MATRIX'!$E$8, IF(O100=5, '6. PEDIGREE MATRIX'!$F$8)))))</f>
        <v>1</v>
      </c>
      <c r="U100" s="522">
        <f>IF(P100=1, '6. PEDIGREE MATRIX'!$B$10, IF(P100=2, '6. PEDIGREE MATRIX'!$C$10, IF(P100=3, '6. PEDIGREE MATRIX'!$D$10, IF(P100=4, '6. PEDIGREE MATRIX'!$E$10, IF(P100=5, '6. PEDIGREE MATRIX'!$F$10)))))</f>
        <v>1.0100501670841679</v>
      </c>
      <c r="V100" s="522">
        <f>IF(Q100=1, '6. PEDIGREE MATRIX'!$B$12, IF(Q100=2, '6. PEDIGREE MATRIX'!$C$12, IF(Q100=3, '6. PEDIGREE MATRIX'!$D$12, IF(Q100=4, '6. PEDIGREE MATRIX'!$E$12, IF(Q100=5, '6. PEDIGREE MATRIX'!$F$12)))))</f>
        <v>1.0247973619913604</v>
      </c>
      <c r="W100" s="522">
        <v>5.9999999999999995E-4</v>
      </c>
      <c r="X100" s="524">
        <f t="shared" ref="X100:X104" si="30">EXP(SQRT(W100))</f>
        <v>1.0247973619913604</v>
      </c>
    </row>
    <row r="101" spans="1:24" x14ac:dyDescent="0.3">
      <c r="A101" s="284" t="s">
        <v>1968</v>
      </c>
      <c r="B101" s="297">
        <f>'24. WAFER FAB'!$D$68</f>
        <v>-9.1254105988342743E-7</v>
      </c>
      <c r="C101" s="112" t="s">
        <v>521</v>
      </c>
      <c r="D101" s="244" t="s">
        <v>385</v>
      </c>
      <c r="E101" s="522" t="s">
        <v>1969</v>
      </c>
      <c r="F101" s="244" t="s">
        <v>371</v>
      </c>
      <c r="G101" s="244" t="s">
        <v>429</v>
      </c>
      <c r="H101" s="244" t="s">
        <v>154</v>
      </c>
      <c r="I101" s="522">
        <v>2</v>
      </c>
      <c r="J101" s="522">
        <f t="shared" si="24"/>
        <v>-13.907032755369581</v>
      </c>
      <c r="K101" s="522" t="str">
        <f t="shared" si="25"/>
        <v>(Unknown)</v>
      </c>
      <c r="L101" s="522" t="str">
        <f t="shared" si="26"/>
        <v>(Unknown)</v>
      </c>
      <c r="M101" s="522">
        <v>4</v>
      </c>
      <c r="N101" s="522">
        <v>4</v>
      </c>
      <c r="O101" s="522">
        <v>1</v>
      </c>
      <c r="P101" s="522">
        <v>3</v>
      </c>
      <c r="Q101" s="522">
        <v>2</v>
      </c>
      <c r="R101" s="522">
        <f>IF(M101=1, '6. PEDIGREE MATRIX'!$B$4, IF(M101=2, '6. PEDIGREE MATRIX'!$C$4, IF(M101=3, '6. PEDIGREE MATRIX'!$D$4, IF(M101=4, '6. PEDIGREE MATRIX'!$E$4, IF(M101=5, '6. PEDIGREE MATRIX'!$F$4)))))</f>
        <v>1.0935646911485417</v>
      </c>
      <c r="S101" s="522">
        <f>IF(N101=1, '6. PEDIGREE MATRIX'!$B$6, IF(N101=2, '6. PEDIGREE MATRIX'!$C$6, IF(N101=3, '6. PEDIGREE MATRIX'!$D$6, IF(N101=4, '6. PEDIGREE MATRIX'!$E$6, IF(N101=5, '6. PEDIGREE MATRIX'!$F$6)))))</f>
        <v>1.0457364348384068</v>
      </c>
      <c r="T101" s="522">
        <f>IF(O101=1, '6. PEDIGREE MATRIX'!$B$8, IF(O101=2, '6. PEDIGREE MATRIX'!$C$8, IF(O101=3, '6. PEDIGREE MATRIX'!$D$8, IF(O101=4, '6. PEDIGREE MATRIX'!$E$8, IF(O101=5, '6. PEDIGREE MATRIX'!$F$8)))))</f>
        <v>1</v>
      </c>
      <c r="U101" s="522">
        <f>IF(P101=1, '6. PEDIGREE MATRIX'!$B$10, IF(P101=2, '6. PEDIGREE MATRIX'!$C$10, IF(P101=3, '6. PEDIGREE MATRIX'!$D$10, IF(P101=4, '6. PEDIGREE MATRIX'!$E$10, IF(P101=5, '6. PEDIGREE MATRIX'!$F$10)))))</f>
        <v>1.0100501670841679</v>
      </c>
      <c r="V101" s="522">
        <f>IF(Q101=1, '6. PEDIGREE MATRIX'!$B$12, IF(Q101=2, '6. PEDIGREE MATRIX'!$C$12, IF(Q101=3, '6. PEDIGREE MATRIX'!$D$12, IF(Q101=4, '6. PEDIGREE MATRIX'!$E$12, IF(Q101=5, '6. PEDIGREE MATRIX'!$F$12)))))</f>
        <v>1.0247973619913604</v>
      </c>
      <c r="W101" s="522">
        <v>5.9999999999999995E-4</v>
      </c>
      <c r="X101" s="524">
        <f t="shared" si="30"/>
        <v>1.0247973619913604</v>
      </c>
    </row>
    <row r="102" spans="1:24" x14ac:dyDescent="0.3">
      <c r="A102" s="284" t="s">
        <v>1956</v>
      </c>
      <c r="B102" s="297">
        <f>'24. WAFER FAB'!$D$69</f>
        <v>-3.5709509205124608E-3</v>
      </c>
      <c r="C102" s="112" t="s">
        <v>521</v>
      </c>
      <c r="D102" s="244" t="s">
        <v>385</v>
      </c>
      <c r="E102" s="522" t="s">
        <v>1957</v>
      </c>
      <c r="F102" s="244" t="s">
        <v>371</v>
      </c>
      <c r="G102" s="244" t="s">
        <v>429</v>
      </c>
      <c r="H102" s="244" t="s">
        <v>154</v>
      </c>
      <c r="I102" s="522">
        <v>2</v>
      </c>
      <c r="J102" s="522">
        <f t="shared" si="24"/>
        <v>-5.6349233543700539</v>
      </c>
      <c r="K102" s="522" t="str">
        <f t="shared" si="25"/>
        <v>(Unknown)</v>
      </c>
      <c r="L102" s="522" t="str">
        <f t="shared" si="26"/>
        <v>(Unknown)</v>
      </c>
      <c r="M102" s="522">
        <v>4</v>
      </c>
      <c r="N102" s="522">
        <v>4</v>
      </c>
      <c r="O102" s="522">
        <v>1</v>
      </c>
      <c r="P102" s="522">
        <v>3</v>
      </c>
      <c r="Q102" s="522">
        <v>2</v>
      </c>
      <c r="R102" s="522">
        <f>IF(M102=1, '6. PEDIGREE MATRIX'!$B$4, IF(M102=2, '6. PEDIGREE MATRIX'!$C$4, IF(M102=3, '6. PEDIGREE MATRIX'!$D$4, IF(M102=4, '6. PEDIGREE MATRIX'!$E$4, IF(M102=5, '6. PEDIGREE MATRIX'!$F$4)))))</f>
        <v>1.0935646911485417</v>
      </c>
      <c r="S102" s="522">
        <f>IF(N102=1, '6. PEDIGREE MATRIX'!$B$6, IF(N102=2, '6. PEDIGREE MATRIX'!$C$6, IF(N102=3, '6. PEDIGREE MATRIX'!$D$6, IF(N102=4, '6. PEDIGREE MATRIX'!$E$6, IF(N102=5, '6. PEDIGREE MATRIX'!$F$6)))))</f>
        <v>1.0457364348384068</v>
      </c>
      <c r="T102" s="522">
        <f>IF(O102=1, '6. PEDIGREE MATRIX'!$B$8, IF(O102=2, '6. PEDIGREE MATRIX'!$C$8, IF(O102=3, '6. PEDIGREE MATRIX'!$D$8, IF(O102=4, '6. PEDIGREE MATRIX'!$E$8, IF(O102=5, '6. PEDIGREE MATRIX'!$F$8)))))</f>
        <v>1</v>
      </c>
      <c r="U102" s="522">
        <f>IF(P102=1, '6. PEDIGREE MATRIX'!$B$10, IF(P102=2, '6. PEDIGREE MATRIX'!$C$10, IF(P102=3, '6. PEDIGREE MATRIX'!$D$10, IF(P102=4, '6. PEDIGREE MATRIX'!$E$10, IF(P102=5, '6. PEDIGREE MATRIX'!$F$10)))))</f>
        <v>1.0100501670841679</v>
      </c>
      <c r="V102" s="522">
        <f>IF(Q102=1, '6. PEDIGREE MATRIX'!$B$12, IF(Q102=2, '6. PEDIGREE MATRIX'!$C$12, IF(Q102=3, '6. PEDIGREE MATRIX'!$D$12, IF(Q102=4, '6. PEDIGREE MATRIX'!$E$12, IF(Q102=5, '6. PEDIGREE MATRIX'!$F$12)))))</f>
        <v>1.0247973619913604</v>
      </c>
      <c r="W102" s="522">
        <v>5.9999999999999995E-4</v>
      </c>
      <c r="X102" s="524">
        <f t="shared" si="30"/>
        <v>1.0247973619913604</v>
      </c>
    </row>
    <row r="103" spans="1:24" x14ac:dyDescent="0.3">
      <c r="A103" s="284" t="s">
        <v>1968</v>
      </c>
      <c r="B103" s="297">
        <f>'24. WAFER FAB'!$D$70</f>
        <v>-1.7854754602562304E-3</v>
      </c>
      <c r="C103" s="112" t="s">
        <v>521</v>
      </c>
      <c r="D103" s="244" t="s">
        <v>385</v>
      </c>
      <c r="E103" s="522" t="s">
        <v>1969</v>
      </c>
      <c r="F103" s="244" t="s">
        <v>371</v>
      </c>
      <c r="G103" s="244" t="s">
        <v>429</v>
      </c>
      <c r="H103" s="244" t="s">
        <v>154</v>
      </c>
      <c r="I103" s="522">
        <v>2</v>
      </c>
      <c r="J103" s="522">
        <f t="shared" si="24"/>
        <v>-6.3280705349299993</v>
      </c>
      <c r="K103" s="522" t="str">
        <f t="shared" si="25"/>
        <v>(Unknown)</v>
      </c>
      <c r="L103" s="522" t="str">
        <f t="shared" si="26"/>
        <v>(Unknown)</v>
      </c>
      <c r="M103" s="522">
        <v>4</v>
      </c>
      <c r="N103" s="522">
        <v>4</v>
      </c>
      <c r="O103" s="522">
        <v>1</v>
      </c>
      <c r="P103" s="522">
        <v>3</v>
      </c>
      <c r="Q103" s="522">
        <v>2</v>
      </c>
      <c r="R103" s="522">
        <f>IF(M103=1, '6. PEDIGREE MATRIX'!$B$4, IF(M103=2, '6. PEDIGREE MATRIX'!$C$4, IF(M103=3, '6. PEDIGREE MATRIX'!$D$4, IF(M103=4, '6. PEDIGREE MATRIX'!$E$4, IF(M103=5, '6. PEDIGREE MATRIX'!$F$4)))))</f>
        <v>1.0935646911485417</v>
      </c>
      <c r="S103" s="522">
        <f>IF(N103=1, '6. PEDIGREE MATRIX'!$B$6, IF(N103=2, '6. PEDIGREE MATRIX'!$C$6, IF(N103=3, '6. PEDIGREE MATRIX'!$D$6, IF(N103=4, '6. PEDIGREE MATRIX'!$E$6, IF(N103=5, '6. PEDIGREE MATRIX'!$F$6)))))</f>
        <v>1.0457364348384068</v>
      </c>
      <c r="T103" s="522">
        <f>IF(O103=1, '6. PEDIGREE MATRIX'!$B$8, IF(O103=2, '6. PEDIGREE MATRIX'!$C$8, IF(O103=3, '6. PEDIGREE MATRIX'!$D$8, IF(O103=4, '6. PEDIGREE MATRIX'!$E$8, IF(O103=5, '6. PEDIGREE MATRIX'!$F$8)))))</f>
        <v>1</v>
      </c>
      <c r="U103" s="522">
        <f>IF(P103=1, '6. PEDIGREE MATRIX'!$B$10, IF(P103=2, '6. PEDIGREE MATRIX'!$C$10, IF(P103=3, '6. PEDIGREE MATRIX'!$D$10, IF(P103=4, '6. PEDIGREE MATRIX'!$E$10, IF(P103=5, '6. PEDIGREE MATRIX'!$F$10)))))</f>
        <v>1.0100501670841679</v>
      </c>
      <c r="V103" s="522">
        <f>IF(Q103=1, '6. PEDIGREE MATRIX'!$B$12, IF(Q103=2, '6. PEDIGREE MATRIX'!$C$12, IF(Q103=3, '6. PEDIGREE MATRIX'!$D$12, IF(Q103=4, '6. PEDIGREE MATRIX'!$E$12, IF(Q103=5, '6. PEDIGREE MATRIX'!$F$12)))))</f>
        <v>1.0247973619913604</v>
      </c>
      <c r="W103" s="522">
        <v>5.9999999999999995E-4</v>
      </c>
      <c r="X103" s="524">
        <f t="shared" si="30"/>
        <v>1.0247973619913604</v>
      </c>
    </row>
    <row r="104" spans="1:24" x14ac:dyDescent="0.3">
      <c r="A104" s="43" t="s">
        <v>816</v>
      </c>
      <c r="B104" s="297">
        <f>'24. WAFER FAB'!$D$71</f>
        <v>3.8022544161809508E-5</v>
      </c>
      <c r="C104" s="43" t="s">
        <v>153</v>
      </c>
      <c r="D104" s="516" t="s">
        <v>515</v>
      </c>
      <c r="E104" s="517" t="s">
        <v>371</v>
      </c>
      <c r="F104" s="518" t="s">
        <v>516</v>
      </c>
      <c r="G104" s="516" t="s">
        <v>371</v>
      </c>
      <c r="H104" s="516" t="s">
        <v>514</v>
      </c>
      <c r="I104" s="517">
        <v>2</v>
      </c>
      <c r="J104" s="517">
        <f t="shared" si="24"/>
        <v>-10.17733130673539</v>
      </c>
      <c r="K104" s="517">
        <f t="shared" si="25"/>
        <v>0.32603904386951327</v>
      </c>
      <c r="L104" s="517">
        <f t="shared" si="26"/>
        <v>1.1121570947719619</v>
      </c>
      <c r="M104" s="517">
        <v>4</v>
      </c>
      <c r="N104" s="517">
        <v>4</v>
      </c>
      <c r="O104" s="517">
        <v>1</v>
      </c>
      <c r="P104" s="517">
        <v>3</v>
      </c>
      <c r="Q104" s="517">
        <v>2</v>
      </c>
      <c r="R104" s="517">
        <f>IF(M104=1, '6. PEDIGREE MATRIX'!$B$4, IF(M104=2, '6. PEDIGREE MATRIX'!$C$4, IF(M104=3, '6. PEDIGREE MATRIX'!$D$4, IF(M104=4, '6. PEDIGREE MATRIX'!$E$4, IF(M104=5, '6. PEDIGREE MATRIX'!$F$4)))))</f>
        <v>1.0935646911485417</v>
      </c>
      <c r="S104" s="517">
        <f>IF(N104=1, '6. PEDIGREE MATRIX'!$B$6, IF(N104=2, '6. PEDIGREE MATRIX'!$C$6, IF(N104=3, '6. PEDIGREE MATRIX'!$D$6, IF(N104=4, '6. PEDIGREE MATRIX'!$E$6, IF(N104=5, '6. PEDIGREE MATRIX'!$F$6)))))</f>
        <v>1.0457364348384068</v>
      </c>
      <c r="T104" s="517">
        <f>IF(O104=1, '6. PEDIGREE MATRIX'!$B$8, IF(O104=2, '6. PEDIGREE MATRIX'!$C$8, IF(O104=3, '6. PEDIGREE MATRIX'!$D$8, IF(O104=4, '6. PEDIGREE MATRIX'!$E$8, IF(O104=5, '6. PEDIGREE MATRIX'!$F$8)))))</f>
        <v>1</v>
      </c>
      <c r="U104" s="517">
        <f>IF(P104=1, '6. PEDIGREE MATRIX'!$B$10, IF(P104=2, '6. PEDIGREE MATRIX'!$C$10, IF(P104=3, '6. PEDIGREE MATRIX'!$D$10, IF(P104=4, '6. PEDIGREE MATRIX'!$E$10, IF(P104=5, '6. PEDIGREE MATRIX'!$F$10)))))</f>
        <v>1.0100501670841679</v>
      </c>
      <c r="V104" s="517">
        <f>IF(Q104=1, '6. PEDIGREE MATRIX'!$B$12, IF(Q104=2, '6. PEDIGREE MATRIX'!$C$12, IF(Q104=3, '6. PEDIGREE MATRIX'!$D$12, IF(Q104=4, '6. PEDIGREE MATRIX'!$E$12, IF(Q104=5, '6. PEDIGREE MATRIX'!$F$12)))))</f>
        <v>1.0247973619913604</v>
      </c>
      <c r="W104" s="517">
        <v>5.9999999999999995E-4</v>
      </c>
      <c r="X104" s="520">
        <f t="shared" si="30"/>
        <v>1.0247973619913604</v>
      </c>
    </row>
    <row r="105" spans="1:24" ht="15" thickBot="1" x14ac:dyDescent="0.35">
      <c r="A105" s="70" t="str">
        <f>B81</f>
        <v>WET ETCH</v>
      </c>
      <c r="B105" s="71">
        <v>1</v>
      </c>
      <c r="C105" s="72" t="s">
        <v>224</v>
      </c>
      <c r="D105" s="72" t="str">
        <f>$B$1</f>
        <v>IGBT LCI dtb</v>
      </c>
      <c r="E105" s="71" t="str">
        <f>B85</f>
        <v>Processed cm² of Si IGBT good die</v>
      </c>
      <c r="F105" s="72" t="s">
        <v>371</v>
      </c>
      <c r="G105" s="72" t="s">
        <v>156</v>
      </c>
      <c r="H105" s="72" t="s">
        <v>383</v>
      </c>
      <c r="I105" s="71">
        <v>0</v>
      </c>
      <c r="J105" s="71" t="s">
        <v>371</v>
      </c>
      <c r="K105" s="71" t="s">
        <v>371</v>
      </c>
      <c r="L105" s="91" t="s">
        <v>371</v>
      </c>
      <c r="M105" s="89">
        <v>0</v>
      </c>
      <c r="N105" s="89">
        <v>0</v>
      </c>
      <c r="O105" s="89">
        <v>0</v>
      </c>
      <c r="P105" s="89">
        <v>0</v>
      </c>
      <c r="Q105" s="89">
        <v>0</v>
      </c>
      <c r="R105" s="89">
        <v>0</v>
      </c>
      <c r="S105" s="89">
        <v>0</v>
      </c>
      <c r="T105" s="89">
        <v>0</v>
      </c>
      <c r="U105" s="89">
        <v>0</v>
      </c>
      <c r="V105" s="89">
        <v>0</v>
      </c>
      <c r="W105" s="89">
        <v>0</v>
      </c>
      <c r="X105" s="92">
        <v>0</v>
      </c>
    </row>
    <row r="107" spans="1:24" ht="15" thickBot="1" x14ac:dyDescent="0.35"/>
    <row r="108" spans="1:24" s="14" customFormat="1" ht="30" customHeight="1" thickBot="1" x14ac:dyDescent="0.35">
      <c r="A108" s="178" t="s">
        <v>326</v>
      </c>
      <c r="B108" s="179" t="s">
        <v>348</v>
      </c>
      <c r="C108" s="180"/>
      <c r="D108" s="180"/>
      <c r="E108" s="181"/>
      <c r="F108" s="180"/>
      <c r="G108" s="180"/>
      <c r="H108" s="180"/>
      <c r="I108" s="181"/>
      <c r="J108" s="181"/>
      <c r="K108" s="181"/>
      <c r="L108" s="181"/>
      <c r="M108" s="181"/>
      <c r="N108" s="181"/>
      <c r="O108" s="181"/>
      <c r="P108" s="181"/>
      <c r="Q108" s="181"/>
      <c r="R108" s="181"/>
      <c r="S108" s="181"/>
      <c r="T108" s="181"/>
      <c r="U108" s="181"/>
      <c r="V108" s="181"/>
      <c r="W108" s="181"/>
      <c r="X108" s="182"/>
    </row>
    <row r="109" spans="1:24" x14ac:dyDescent="0.3">
      <c r="A109" s="54" t="s">
        <v>163</v>
      </c>
      <c r="B109" s="56" t="s">
        <v>371</v>
      </c>
      <c r="C109" s="56"/>
      <c r="D109" s="56"/>
      <c r="E109" s="61"/>
      <c r="F109" s="56"/>
      <c r="G109" s="56"/>
      <c r="H109" s="56"/>
      <c r="I109" s="61"/>
      <c r="J109" s="61"/>
      <c r="K109" s="61"/>
      <c r="L109" s="61"/>
      <c r="M109" s="61"/>
      <c r="N109" s="61"/>
      <c r="O109" s="61"/>
      <c r="P109" s="61"/>
      <c r="Q109" s="61"/>
      <c r="R109" s="61"/>
      <c r="S109" s="61"/>
      <c r="T109" s="61"/>
      <c r="U109" s="61"/>
      <c r="V109" s="61"/>
      <c r="W109" s="61"/>
      <c r="X109" s="62"/>
    </row>
    <row r="110" spans="1:24" x14ac:dyDescent="0.3">
      <c r="A110" s="54" t="s">
        <v>227</v>
      </c>
      <c r="B110" s="56" t="s">
        <v>156</v>
      </c>
      <c r="C110" s="56"/>
      <c r="D110" s="56"/>
      <c r="E110" s="61"/>
      <c r="F110" s="56"/>
      <c r="G110" s="56"/>
      <c r="H110" s="56"/>
      <c r="I110" s="61"/>
      <c r="J110" s="61"/>
      <c r="K110" s="61"/>
      <c r="L110" s="61"/>
      <c r="M110" s="61"/>
      <c r="N110" s="61"/>
      <c r="O110" s="61"/>
      <c r="P110" s="61"/>
      <c r="Q110" s="61"/>
      <c r="R110" s="61"/>
      <c r="S110" s="61"/>
      <c r="T110" s="61"/>
      <c r="U110" s="61"/>
      <c r="V110" s="61"/>
      <c r="W110" s="61"/>
      <c r="X110" s="62"/>
    </row>
    <row r="111" spans="1:24" x14ac:dyDescent="0.3">
      <c r="A111" s="54" t="s">
        <v>428</v>
      </c>
      <c r="B111" s="61">
        <v>1</v>
      </c>
      <c r="C111" s="56"/>
      <c r="D111" s="56"/>
      <c r="E111" s="61"/>
      <c r="F111" s="56"/>
      <c r="G111" s="56"/>
      <c r="H111" s="56"/>
      <c r="I111" s="61"/>
      <c r="J111" s="61"/>
      <c r="K111" s="61"/>
      <c r="L111" s="61"/>
      <c r="M111" s="61"/>
      <c r="N111" s="61"/>
      <c r="O111" s="61"/>
      <c r="P111" s="61"/>
      <c r="Q111" s="61"/>
      <c r="R111" s="61"/>
      <c r="S111" s="61"/>
      <c r="T111" s="61"/>
      <c r="U111" s="61"/>
      <c r="V111" s="61"/>
      <c r="W111" s="61"/>
      <c r="X111" s="62"/>
    </row>
    <row r="112" spans="1:24" x14ac:dyDescent="0.3">
      <c r="A112" s="54" t="s">
        <v>147</v>
      </c>
      <c r="B112" s="56" t="s">
        <v>717</v>
      </c>
      <c r="C112" s="56"/>
      <c r="D112" s="56"/>
      <c r="E112" s="61"/>
      <c r="F112" s="56"/>
      <c r="G112" s="56"/>
      <c r="H112" s="56"/>
      <c r="I112" s="61"/>
      <c r="J112" s="61"/>
      <c r="K112" s="61"/>
      <c r="L112" s="61"/>
      <c r="M112" s="61"/>
      <c r="N112" s="61"/>
      <c r="O112" s="61"/>
      <c r="P112" s="61"/>
      <c r="Q112" s="61"/>
      <c r="R112" s="61"/>
      <c r="S112" s="61"/>
      <c r="T112" s="61"/>
      <c r="U112" s="61"/>
      <c r="V112" s="61"/>
      <c r="W112" s="61"/>
      <c r="X112" s="62"/>
    </row>
    <row r="113" spans="1:24" x14ac:dyDescent="0.3">
      <c r="A113" s="54" t="s">
        <v>327</v>
      </c>
      <c r="B113" s="61" t="s">
        <v>134</v>
      </c>
      <c r="C113" s="56"/>
      <c r="D113" s="56"/>
      <c r="E113" s="61"/>
      <c r="F113" s="56"/>
      <c r="G113" s="56"/>
      <c r="H113" s="56"/>
      <c r="I113" s="61"/>
      <c r="J113" s="61"/>
      <c r="K113" s="61"/>
      <c r="L113" s="61"/>
      <c r="M113" s="61"/>
      <c r="N113" s="61"/>
      <c r="O113" s="61"/>
      <c r="P113" s="61"/>
      <c r="Q113" s="61"/>
      <c r="R113" s="61"/>
      <c r="S113" s="61"/>
      <c r="T113" s="61"/>
      <c r="U113" s="61"/>
      <c r="V113" s="61"/>
      <c r="W113" s="61"/>
      <c r="X113" s="62"/>
    </row>
    <row r="114" spans="1:24" x14ac:dyDescent="0.3">
      <c r="A114" s="54" t="s">
        <v>224</v>
      </c>
      <c r="B114" s="56" t="s">
        <v>224</v>
      </c>
      <c r="C114" s="56"/>
      <c r="D114" s="56"/>
      <c r="E114" s="61"/>
      <c r="F114" s="56"/>
      <c r="G114" s="56"/>
      <c r="H114" s="56"/>
      <c r="I114" s="61"/>
      <c r="J114" s="61"/>
      <c r="K114" s="61"/>
      <c r="L114" s="61"/>
      <c r="M114" s="61"/>
      <c r="N114" s="61"/>
      <c r="O114" s="61"/>
      <c r="P114" s="61"/>
      <c r="Q114" s="61"/>
      <c r="R114" s="61"/>
      <c r="S114" s="61"/>
      <c r="T114" s="61"/>
      <c r="U114" s="61"/>
      <c r="V114" s="61"/>
      <c r="W114" s="61"/>
      <c r="X114" s="62"/>
    </row>
    <row r="115" spans="1:24" ht="15.6" x14ac:dyDescent="0.3">
      <c r="A115" s="55" t="s">
        <v>328</v>
      </c>
      <c r="B115" s="61"/>
      <c r="C115" s="56"/>
      <c r="D115" s="56"/>
      <c r="E115" s="61"/>
      <c r="F115" s="56"/>
      <c r="G115" s="56"/>
      <c r="H115" s="56"/>
      <c r="I115" s="61"/>
      <c r="J115" s="61"/>
      <c r="K115" s="61"/>
      <c r="L115" s="61"/>
      <c r="M115" s="61"/>
      <c r="N115" s="61"/>
      <c r="O115" s="61"/>
      <c r="P115" s="61"/>
      <c r="Q115" s="61"/>
      <c r="R115" s="61"/>
      <c r="S115" s="61"/>
      <c r="T115" s="61"/>
      <c r="U115" s="61"/>
      <c r="V115" s="61"/>
      <c r="W115" s="61"/>
      <c r="X115" s="62"/>
    </row>
    <row r="116" spans="1:24" x14ac:dyDescent="0.3">
      <c r="A116" s="54" t="s">
        <v>329</v>
      </c>
      <c r="B116" s="61" t="s">
        <v>330</v>
      </c>
      <c r="C116" s="56" t="s">
        <v>224</v>
      </c>
      <c r="D116" s="56" t="s">
        <v>331</v>
      </c>
      <c r="E116" s="61" t="s">
        <v>147</v>
      </c>
      <c r="F116" s="56" t="s">
        <v>332</v>
      </c>
      <c r="G116" s="56" t="s">
        <v>227</v>
      </c>
      <c r="H116" s="56" t="s">
        <v>327</v>
      </c>
      <c r="I116" s="61" t="s">
        <v>372</v>
      </c>
      <c r="J116" s="61" t="s">
        <v>373</v>
      </c>
      <c r="K116" s="61" t="s">
        <v>374</v>
      </c>
      <c r="L116" s="61" t="s">
        <v>148</v>
      </c>
      <c r="M116" s="61" t="s">
        <v>585</v>
      </c>
      <c r="N116" s="61" t="s">
        <v>586</v>
      </c>
      <c r="O116" s="61" t="s">
        <v>587</v>
      </c>
      <c r="P116" s="61" t="s">
        <v>220</v>
      </c>
      <c r="Q116" s="61" t="s">
        <v>588</v>
      </c>
      <c r="R116" s="61" t="s">
        <v>590</v>
      </c>
      <c r="S116" s="61" t="s">
        <v>591</v>
      </c>
      <c r="T116" s="61" t="s">
        <v>592</v>
      </c>
      <c r="U116" s="61" t="s">
        <v>593</v>
      </c>
      <c r="V116" s="61" t="s">
        <v>594</v>
      </c>
      <c r="W116" s="61" t="s">
        <v>595</v>
      </c>
      <c r="X116" s="62" t="s">
        <v>589</v>
      </c>
    </row>
    <row r="117" spans="1:24" x14ac:dyDescent="0.3">
      <c r="A117" s="285" t="str">
        <f>IF($G$117='4. INPUTS LIST'!$B$3,'4. INPUTS LIST'!$C$3, IF($G$117='4. INPUTS LIST'!$B$4,'4. INPUTS LIST'!$C$4, IF($G$117='4. INPUTS LIST'!$B$5,'4. INPUTS LIST'!$C$5, IF($G$117='4. INPUTS LIST'!$B$6,'4. INPUTS LIST'!$C$6, IF($G$117='4. INPUTS LIST'!$B$7,'4. INPUTS LIST'!$C$7, IF($G$117='4. INPUTS LIST'!$B$8,'4. INPUTS LIST'!$C$8, IF($G$117='4. INPUTS LIST'!$B$9,'4. INPUTS LIST'!$C$9, IF($G$117='4. INPUTS LIST'!$B$10,'4. INPUTS LIST'!$C$10, IF($G$117='4. INPUTS LIST'!$B$11,'4. INPUTS LIST'!$C$11, IF($G$117='4. INPUTS LIST'!$B$12,'4. INPUTS LIST'!$C$12))))))))))</f>
        <v>market for electricity, medium voltage</v>
      </c>
      <c r="B117" s="297">
        <f>'15. DRY ETCH'!$D$6</f>
        <v>9.5864357369348271E-2</v>
      </c>
      <c r="C117" s="3" t="s">
        <v>342</v>
      </c>
      <c r="D117" s="3" t="s">
        <v>385</v>
      </c>
      <c r="E117" s="58" t="str">
        <f>IF($A$117='4. INPUTS LIST'!$C$3,'4. INPUTS LIST'!$D$3, IF($A$117='4. INPUTS LIST'!$C$7, '4. INPUTS LIST'!$D$7, IF($A$117='4. INPUTS LIST'!$C$12,'4. INPUTS LIST'!$D$12)))</f>
        <v>electricity, medium voltage</v>
      </c>
      <c r="F117" s="3" t="s">
        <v>371</v>
      </c>
      <c r="G117" s="3" t="str">
        <f>'1. USER INPUTS'!$E$24</f>
        <v>JP</v>
      </c>
      <c r="H117" s="3" t="s">
        <v>154</v>
      </c>
      <c r="I117" s="58">
        <v>2</v>
      </c>
      <c r="J117" s="58">
        <f>IF(B117=0,"(Unknown)",LN((ABS(B117))))</f>
        <v>-2.3448210307303312</v>
      </c>
      <c r="K117" s="58">
        <f>IF(B117&gt;0,SQRT(LN(L117)),"(Unknown)")</f>
        <v>0.32603904386951327</v>
      </c>
      <c r="L117" s="90">
        <f>IF(B117&gt;0,(EXP(SQRT((LN(X117))^2+(LN(R117))^2+(LN(S117))^2+(LN(T117))^2+(LN(U117))^2+(LN(V117))^2))),"(Unknown)")</f>
        <v>1.1121570947719619</v>
      </c>
      <c r="M117" s="58">
        <v>4</v>
      </c>
      <c r="N117" s="58">
        <v>4</v>
      </c>
      <c r="O117" s="58">
        <v>1</v>
      </c>
      <c r="P117" s="58">
        <v>3</v>
      </c>
      <c r="Q117" s="58">
        <v>2</v>
      </c>
      <c r="R117" s="58">
        <f>IF(M117=1, '6. PEDIGREE MATRIX'!$B$4, IF(M117=2, '6. PEDIGREE MATRIX'!$C$4, IF(M117=3, '6. PEDIGREE MATRIX'!$D$4, IF(M117=4, '6. PEDIGREE MATRIX'!$E$4, IF(M117=5, '6. PEDIGREE MATRIX'!$F$4)))))</f>
        <v>1.0935646911485417</v>
      </c>
      <c r="S117" s="58">
        <f>IF(N117=1, '6. PEDIGREE MATRIX'!$B$6, IF(N117=2, '6. PEDIGREE MATRIX'!$C$6, IF(N117=3, '6. PEDIGREE MATRIX'!$D$6, IF(N117=4, '6. PEDIGREE MATRIX'!$E$6, IF(N117=5, '6. PEDIGREE MATRIX'!$F$6)))))</f>
        <v>1.0457364348384068</v>
      </c>
      <c r="T117" s="58">
        <f>IF(O117=1, '6. PEDIGREE MATRIX'!$B$8, IF(O117=2, '6. PEDIGREE MATRIX'!$C$8, IF(O117=3, '6. PEDIGREE MATRIX'!$D$8, IF(O117=4, '6. PEDIGREE MATRIX'!$E$8, IF(O117=5, '6. PEDIGREE MATRIX'!$F$8)))))</f>
        <v>1</v>
      </c>
      <c r="U117" s="58">
        <f>IF(P117=1, '6. PEDIGREE MATRIX'!$B$10, IF(P117=2, '6. PEDIGREE MATRIX'!$C$10, IF(P117=3, '6. PEDIGREE MATRIX'!$D$10, IF(P117=4, '6. PEDIGREE MATRIX'!$E$10, IF(P117=5, '6. PEDIGREE MATRIX'!$F$10)))))</f>
        <v>1.0100501670841679</v>
      </c>
      <c r="V117" s="58">
        <f>IF(Q117=1, '6. PEDIGREE MATRIX'!$B$12, IF(Q117=2, '6. PEDIGREE MATRIX'!$C$12, IF(Q117=3, '6. PEDIGREE MATRIX'!$D$12, IF(Q117=4, '6. PEDIGREE MATRIX'!$E$12, IF(Q117=5, '6. PEDIGREE MATRIX'!$F$12)))))</f>
        <v>1.0247973619913604</v>
      </c>
      <c r="W117" s="58">
        <v>5.9999999999999995E-4</v>
      </c>
      <c r="X117" s="63">
        <f t="shared" ref="X117:X122" si="31">EXP(SQRT(W117))</f>
        <v>1.0247973619913604</v>
      </c>
    </row>
    <row r="118" spans="1:24" x14ac:dyDescent="0.3">
      <c r="A118" s="285" t="s">
        <v>902</v>
      </c>
      <c r="B118" s="297">
        <f>'15. DRY ETCH'!$D$7</f>
        <v>4.1894656947263987E-3</v>
      </c>
      <c r="C118" s="3" t="s">
        <v>153</v>
      </c>
      <c r="D118" s="3" t="s">
        <v>385</v>
      </c>
      <c r="E118" s="225" t="s">
        <v>1429</v>
      </c>
      <c r="F118" s="3" t="s">
        <v>371</v>
      </c>
      <c r="G118" s="3" t="s">
        <v>346</v>
      </c>
      <c r="H118" s="3" t="s">
        <v>154</v>
      </c>
      <c r="I118" s="58">
        <v>2</v>
      </c>
      <c r="J118" s="58">
        <f t="shared" ref="J118:J122" si="32">IF(B118=0,"(Unknown)",LN((ABS(B118))))</f>
        <v>-5.4751820723377271</v>
      </c>
      <c r="K118" s="58">
        <f t="shared" ref="K118:K122" si="33">IF(B118&gt;0,SQRT(LN(L118)),"(Unknown)")</f>
        <v>0.32603904386951327</v>
      </c>
      <c r="L118" s="90">
        <f t="shared" ref="L118:L122" si="34">IF(B118&gt;0,(EXP(SQRT((LN(X118))^2+(LN(R118))^2+(LN(S118))^2+(LN(T118))^2+(LN(U118))^2+(LN(V118))^2))),"(Unknown)")</f>
        <v>1.1121570947719619</v>
      </c>
      <c r="M118" s="58">
        <v>4</v>
      </c>
      <c r="N118" s="58">
        <v>4</v>
      </c>
      <c r="O118" s="58">
        <v>1</v>
      </c>
      <c r="P118" s="58">
        <v>3</v>
      </c>
      <c r="Q118" s="58">
        <v>2</v>
      </c>
      <c r="R118" s="58">
        <f>IF(M118=1, '6. PEDIGREE MATRIX'!$B$4, IF(M118=2, '6. PEDIGREE MATRIX'!$C$4, IF(M118=3, '6. PEDIGREE MATRIX'!$D$4, IF(M118=4, '6. PEDIGREE MATRIX'!$E$4, IF(M118=5, '6. PEDIGREE MATRIX'!$F$4)))))</f>
        <v>1.0935646911485417</v>
      </c>
      <c r="S118" s="58">
        <f>IF(N118=1, '6. PEDIGREE MATRIX'!$B$6, IF(N118=2, '6. PEDIGREE MATRIX'!$C$6, IF(N118=3, '6. PEDIGREE MATRIX'!$D$6, IF(N118=4, '6. PEDIGREE MATRIX'!$E$6, IF(N118=5, '6. PEDIGREE MATRIX'!$F$6)))))</f>
        <v>1.0457364348384068</v>
      </c>
      <c r="T118" s="58">
        <f>IF(O118=1, '6. PEDIGREE MATRIX'!$B$8, IF(O118=2, '6. PEDIGREE MATRIX'!$C$8, IF(O118=3, '6. PEDIGREE MATRIX'!$D$8, IF(O118=4, '6. PEDIGREE MATRIX'!$E$8, IF(O118=5, '6. PEDIGREE MATRIX'!$F$8)))))</f>
        <v>1</v>
      </c>
      <c r="U118" s="58">
        <f>IF(P118=1, '6. PEDIGREE MATRIX'!$B$10, IF(P118=2, '6. PEDIGREE MATRIX'!$C$10, IF(P118=3, '6. PEDIGREE MATRIX'!$D$10, IF(P118=4, '6. PEDIGREE MATRIX'!$E$10, IF(P118=5, '6. PEDIGREE MATRIX'!$F$10)))))</f>
        <v>1.0100501670841679</v>
      </c>
      <c r="V118" s="58">
        <f>IF(Q118=1, '6. PEDIGREE MATRIX'!$B$12, IF(Q118=2, '6. PEDIGREE MATRIX'!$C$12, IF(Q118=3, '6. PEDIGREE MATRIX'!$D$12, IF(Q118=4, '6. PEDIGREE MATRIX'!$E$12, IF(Q118=5, '6. PEDIGREE MATRIX'!$F$12)))))</f>
        <v>1.0247973619913604</v>
      </c>
      <c r="W118" s="58">
        <v>5.9999999999999995E-4</v>
      </c>
      <c r="X118" s="63">
        <f t="shared" ref="X118" si="35">EXP(SQRT(W118))</f>
        <v>1.0247973619913604</v>
      </c>
    </row>
    <row r="119" spans="1:24" x14ac:dyDescent="0.3">
      <c r="A119" s="293" t="s">
        <v>378</v>
      </c>
      <c r="B119" s="297">
        <f>'15. DRY ETCH'!$D$8</f>
        <v>4.8377779988476293E-3</v>
      </c>
      <c r="C119" s="3" t="s">
        <v>153</v>
      </c>
      <c r="D119" s="3" t="s">
        <v>385</v>
      </c>
      <c r="E119" s="58" t="s">
        <v>397</v>
      </c>
      <c r="F119" s="3" t="s">
        <v>371</v>
      </c>
      <c r="G119" s="3" t="s">
        <v>429</v>
      </c>
      <c r="H119" s="3" t="s">
        <v>154</v>
      </c>
      <c r="I119" s="58">
        <v>2</v>
      </c>
      <c r="J119" s="58">
        <f t="shared" si="32"/>
        <v>-5.3312997548153858</v>
      </c>
      <c r="K119" s="58">
        <f t="shared" si="33"/>
        <v>0.32603904386951327</v>
      </c>
      <c r="L119" s="90">
        <f t="shared" si="34"/>
        <v>1.1121570947719619</v>
      </c>
      <c r="M119" s="58">
        <v>4</v>
      </c>
      <c r="N119" s="58">
        <v>4</v>
      </c>
      <c r="O119" s="58">
        <v>1</v>
      </c>
      <c r="P119" s="58">
        <v>3</v>
      </c>
      <c r="Q119" s="58">
        <v>2</v>
      </c>
      <c r="R119" s="58">
        <f>IF(M119=1, '6. PEDIGREE MATRIX'!$B$4, IF(M119=2, '6. PEDIGREE MATRIX'!$C$4, IF(M119=3, '6. PEDIGREE MATRIX'!$D$4, IF(M119=4, '6. PEDIGREE MATRIX'!$E$4, IF(M119=5, '6. PEDIGREE MATRIX'!$F$4)))))</f>
        <v>1.0935646911485417</v>
      </c>
      <c r="S119" s="58">
        <f>IF(N119=1, '6. PEDIGREE MATRIX'!$B$6, IF(N119=2, '6. PEDIGREE MATRIX'!$C$6, IF(N119=3, '6. PEDIGREE MATRIX'!$D$6, IF(N119=4, '6. PEDIGREE MATRIX'!$E$6, IF(N119=5, '6. PEDIGREE MATRIX'!$F$6)))))</f>
        <v>1.0457364348384068</v>
      </c>
      <c r="T119" s="58">
        <f>IF(O119=1, '6. PEDIGREE MATRIX'!$B$8, IF(O119=2, '6. PEDIGREE MATRIX'!$C$8, IF(O119=3, '6. PEDIGREE MATRIX'!$D$8, IF(O119=4, '6. PEDIGREE MATRIX'!$E$8, IF(O119=5, '6. PEDIGREE MATRIX'!$F$8)))))</f>
        <v>1</v>
      </c>
      <c r="U119" s="58">
        <f>IF(P119=1, '6. PEDIGREE MATRIX'!$B$10, IF(P119=2, '6. PEDIGREE MATRIX'!$C$10, IF(P119=3, '6. PEDIGREE MATRIX'!$D$10, IF(P119=4, '6. PEDIGREE MATRIX'!$E$10, IF(P119=5, '6. PEDIGREE MATRIX'!$F$10)))))</f>
        <v>1.0100501670841679</v>
      </c>
      <c r="V119" s="58">
        <f>IF(Q119=1, '6. PEDIGREE MATRIX'!$B$12, IF(Q119=2, '6. PEDIGREE MATRIX'!$C$12, IF(Q119=3, '6. PEDIGREE MATRIX'!$D$12, IF(Q119=4, '6. PEDIGREE MATRIX'!$E$12, IF(Q119=5, '6. PEDIGREE MATRIX'!$F$12)))))</f>
        <v>1.0247973619913604</v>
      </c>
      <c r="W119" s="58">
        <v>5.9999999999999995E-4</v>
      </c>
      <c r="X119" s="63">
        <f t="shared" si="31"/>
        <v>1.0247973619913604</v>
      </c>
    </row>
    <row r="120" spans="1:24" x14ac:dyDescent="0.3">
      <c r="A120" s="287" t="s">
        <v>375</v>
      </c>
      <c r="B120" s="297">
        <f>'15. DRY ETCH'!$D$9</f>
        <v>4.3511490666739774E-3</v>
      </c>
      <c r="C120" s="3" t="s">
        <v>153</v>
      </c>
      <c r="D120" s="3" t="s">
        <v>385</v>
      </c>
      <c r="E120" s="58" t="s">
        <v>393</v>
      </c>
      <c r="F120" s="3" t="s">
        <v>371</v>
      </c>
      <c r="G120" s="3" t="s">
        <v>429</v>
      </c>
      <c r="H120" s="3" t="s">
        <v>154</v>
      </c>
      <c r="I120" s="58">
        <v>2</v>
      </c>
      <c r="J120" s="58">
        <f t="shared" si="32"/>
        <v>-5.4373153155054883</v>
      </c>
      <c r="K120" s="58">
        <f t="shared" si="33"/>
        <v>0.32603904386951327</v>
      </c>
      <c r="L120" s="90">
        <f t="shared" si="34"/>
        <v>1.1121570947719619</v>
      </c>
      <c r="M120" s="58">
        <v>4</v>
      </c>
      <c r="N120" s="58">
        <v>4</v>
      </c>
      <c r="O120" s="58">
        <v>1</v>
      </c>
      <c r="P120" s="58">
        <v>3</v>
      </c>
      <c r="Q120" s="58">
        <v>2</v>
      </c>
      <c r="R120" s="58">
        <f>IF(M120=1, '6. PEDIGREE MATRIX'!$B$4, IF(M120=2, '6. PEDIGREE MATRIX'!$C$4, IF(M120=3, '6. PEDIGREE MATRIX'!$D$4, IF(M120=4, '6. PEDIGREE MATRIX'!$E$4, IF(M120=5, '6. PEDIGREE MATRIX'!$F$4)))))</f>
        <v>1.0935646911485417</v>
      </c>
      <c r="S120" s="58">
        <f>IF(N120=1, '6. PEDIGREE MATRIX'!$B$6, IF(N120=2, '6. PEDIGREE MATRIX'!$C$6, IF(N120=3, '6. PEDIGREE MATRIX'!$D$6, IF(N120=4, '6. PEDIGREE MATRIX'!$E$6, IF(N120=5, '6. PEDIGREE MATRIX'!$F$6)))))</f>
        <v>1.0457364348384068</v>
      </c>
      <c r="T120" s="58">
        <f>IF(O120=1, '6. PEDIGREE MATRIX'!$B$8, IF(O120=2, '6. PEDIGREE MATRIX'!$C$8, IF(O120=3, '6. PEDIGREE MATRIX'!$D$8, IF(O120=4, '6. PEDIGREE MATRIX'!$E$8, IF(O120=5, '6. PEDIGREE MATRIX'!$F$8)))))</f>
        <v>1</v>
      </c>
      <c r="U120" s="58">
        <f>IF(P120=1, '6. PEDIGREE MATRIX'!$B$10, IF(P120=2, '6. PEDIGREE MATRIX'!$C$10, IF(P120=3, '6. PEDIGREE MATRIX'!$D$10, IF(P120=4, '6. PEDIGREE MATRIX'!$E$10, IF(P120=5, '6. PEDIGREE MATRIX'!$F$10)))))</f>
        <v>1.0100501670841679</v>
      </c>
      <c r="V120" s="58">
        <f>IF(Q120=1, '6. PEDIGREE MATRIX'!$B$12, IF(Q120=2, '6. PEDIGREE MATRIX'!$C$12, IF(Q120=3, '6. PEDIGREE MATRIX'!$D$12, IF(Q120=4, '6. PEDIGREE MATRIX'!$E$12, IF(Q120=5, '6. PEDIGREE MATRIX'!$F$12)))))</f>
        <v>1.0247973619913604</v>
      </c>
      <c r="W120" s="58">
        <v>5.9999999999999995E-4</v>
      </c>
      <c r="X120" s="63">
        <f t="shared" si="31"/>
        <v>1.0247973619913604</v>
      </c>
    </row>
    <row r="121" spans="1:24" x14ac:dyDescent="0.3">
      <c r="A121" s="293" t="s">
        <v>962</v>
      </c>
      <c r="B121" s="297">
        <f>'15. DRY ETCH'!$D$10</f>
        <v>3.7604510992663256E-4</v>
      </c>
      <c r="C121" s="3" t="s">
        <v>153</v>
      </c>
      <c r="D121" s="3" t="s">
        <v>385</v>
      </c>
      <c r="E121" s="58" t="s">
        <v>392</v>
      </c>
      <c r="F121" s="3" t="s">
        <v>371</v>
      </c>
      <c r="G121" s="3" t="s">
        <v>429</v>
      </c>
      <c r="H121" s="3" t="s">
        <v>154</v>
      </c>
      <c r="I121" s="58">
        <v>2</v>
      </c>
      <c r="J121" s="58">
        <f t="shared" si="32"/>
        <v>-7.8858014485614607</v>
      </c>
      <c r="K121" s="58">
        <f t="shared" si="33"/>
        <v>0.32603904386951327</v>
      </c>
      <c r="L121" s="90">
        <f t="shared" si="34"/>
        <v>1.1121570947719619</v>
      </c>
      <c r="M121" s="58">
        <v>4</v>
      </c>
      <c r="N121" s="58">
        <v>4</v>
      </c>
      <c r="O121" s="58">
        <v>1</v>
      </c>
      <c r="P121" s="58">
        <v>3</v>
      </c>
      <c r="Q121" s="58">
        <v>2</v>
      </c>
      <c r="R121" s="58">
        <f>IF(M121=1, '6. PEDIGREE MATRIX'!$B$4, IF(M121=2, '6. PEDIGREE MATRIX'!$C$4, IF(M121=3, '6. PEDIGREE MATRIX'!$D$4, IF(M121=4, '6. PEDIGREE MATRIX'!$E$4, IF(M121=5, '6. PEDIGREE MATRIX'!$F$4)))))</f>
        <v>1.0935646911485417</v>
      </c>
      <c r="S121" s="58">
        <f>IF(N121=1, '6. PEDIGREE MATRIX'!$B$6, IF(N121=2, '6. PEDIGREE MATRIX'!$C$6, IF(N121=3, '6. PEDIGREE MATRIX'!$D$6, IF(N121=4, '6. PEDIGREE MATRIX'!$E$6, IF(N121=5, '6. PEDIGREE MATRIX'!$F$6)))))</f>
        <v>1.0457364348384068</v>
      </c>
      <c r="T121" s="58">
        <f>IF(O121=1, '6. PEDIGREE MATRIX'!$B$8, IF(O121=2, '6. PEDIGREE MATRIX'!$C$8, IF(O121=3, '6. PEDIGREE MATRIX'!$D$8, IF(O121=4, '6. PEDIGREE MATRIX'!$E$8, IF(O121=5, '6. PEDIGREE MATRIX'!$F$8)))))</f>
        <v>1</v>
      </c>
      <c r="U121" s="58">
        <f>IF(P121=1, '6. PEDIGREE MATRIX'!$B$10, IF(P121=2, '6. PEDIGREE MATRIX'!$C$10, IF(P121=3, '6. PEDIGREE MATRIX'!$D$10, IF(P121=4, '6. PEDIGREE MATRIX'!$E$10, IF(P121=5, '6. PEDIGREE MATRIX'!$F$10)))))</f>
        <v>1.0100501670841679</v>
      </c>
      <c r="V121" s="58">
        <f>IF(Q121=1, '6. PEDIGREE MATRIX'!$B$12, IF(Q121=2, '6. PEDIGREE MATRIX'!$C$12, IF(Q121=3, '6. PEDIGREE MATRIX'!$D$12, IF(Q121=4, '6. PEDIGREE MATRIX'!$E$12, IF(Q121=5, '6. PEDIGREE MATRIX'!$F$12)))))</f>
        <v>1.0247973619913604</v>
      </c>
      <c r="W121" s="58">
        <v>5.9999999999999995E-4</v>
      </c>
      <c r="X121" s="63">
        <f t="shared" si="31"/>
        <v>1.0247973619913604</v>
      </c>
    </row>
    <row r="122" spans="1:24" x14ac:dyDescent="0.3">
      <c r="A122" s="843" t="s">
        <v>860</v>
      </c>
      <c r="B122" s="396">
        <f>'15. DRY ETCH'!$D$11</f>
        <v>2.6841338378633296E-4</v>
      </c>
      <c r="C122" s="841" t="s">
        <v>153</v>
      </c>
      <c r="D122" s="841" t="s">
        <v>385</v>
      </c>
      <c r="E122" s="787" t="s">
        <v>864</v>
      </c>
      <c r="F122" s="841" t="s">
        <v>371</v>
      </c>
      <c r="G122" s="841" t="s">
        <v>346</v>
      </c>
      <c r="H122" s="841" t="s">
        <v>154</v>
      </c>
      <c r="I122" s="787">
        <v>2</v>
      </c>
      <c r="J122" s="787">
        <f t="shared" si="32"/>
        <v>-8.2229822890342135</v>
      </c>
      <c r="K122" s="787">
        <f t="shared" si="33"/>
        <v>0.32603904386951327</v>
      </c>
      <c r="L122" s="844">
        <f t="shared" si="34"/>
        <v>1.1121570947719619</v>
      </c>
      <c r="M122" s="58">
        <v>4</v>
      </c>
      <c r="N122" s="58">
        <v>4</v>
      </c>
      <c r="O122" s="58">
        <v>1</v>
      </c>
      <c r="P122" s="58">
        <v>3</v>
      </c>
      <c r="Q122" s="58">
        <v>2</v>
      </c>
      <c r="R122" s="787">
        <f>IF(M122=1, '6. PEDIGREE MATRIX'!$B$4, IF(M122=2, '6. PEDIGREE MATRIX'!$C$4, IF(M122=3, '6. PEDIGREE MATRIX'!$D$4, IF(M122=4, '6. PEDIGREE MATRIX'!$E$4, IF(M122=5, '6. PEDIGREE MATRIX'!$F$4)))))</f>
        <v>1.0935646911485417</v>
      </c>
      <c r="S122" s="58">
        <f>IF(N122=1, '6. PEDIGREE MATRIX'!$B$6, IF(N122=2, '6. PEDIGREE MATRIX'!$C$6, IF(N122=3, '6. PEDIGREE MATRIX'!$D$6, IF(N122=4, '6. PEDIGREE MATRIX'!$E$6, IF(N122=5, '6. PEDIGREE MATRIX'!$F$6)))))</f>
        <v>1.0457364348384068</v>
      </c>
      <c r="T122" s="787">
        <f>IF(O122=1, '6. PEDIGREE MATRIX'!$B$8, IF(O122=2, '6. PEDIGREE MATRIX'!$C$8, IF(O122=3, '6. PEDIGREE MATRIX'!$D$8, IF(O122=4, '6. PEDIGREE MATRIX'!$E$8, IF(O122=5, '6. PEDIGREE MATRIX'!$F$8)))))</f>
        <v>1</v>
      </c>
      <c r="U122" s="787">
        <f>IF(P122=1, '6. PEDIGREE MATRIX'!$B$10, IF(P122=2, '6. PEDIGREE MATRIX'!$C$10, IF(P122=3, '6. PEDIGREE MATRIX'!$D$10, IF(P122=4, '6. PEDIGREE MATRIX'!$E$10, IF(P122=5, '6. PEDIGREE MATRIX'!$F$10)))))</f>
        <v>1.0100501670841679</v>
      </c>
      <c r="V122" s="787">
        <f>IF(Q122=1, '6. PEDIGREE MATRIX'!$B$12, IF(Q122=2, '6. PEDIGREE MATRIX'!$C$12, IF(Q122=3, '6. PEDIGREE MATRIX'!$D$12, IF(Q122=4, '6. PEDIGREE MATRIX'!$E$12, IF(Q122=5, '6. PEDIGREE MATRIX'!$F$12)))))</f>
        <v>1.0247973619913604</v>
      </c>
      <c r="W122" s="787">
        <v>5.9999999999999995E-4</v>
      </c>
      <c r="X122" s="63">
        <f t="shared" si="31"/>
        <v>1.0247973619913604</v>
      </c>
    </row>
    <row r="123" spans="1:24" x14ac:dyDescent="0.3">
      <c r="A123" s="112" t="s">
        <v>1956</v>
      </c>
      <c r="B123" s="297">
        <f>'24. WAFER FAB'!$D$82</f>
        <v>-1.4879255233569081E-5</v>
      </c>
      <c r="C123" s="112" t="s">
        <v>521</v>
      </c>
      <c r="D123" s="244" t="s">
        <v>385</v>
      </c>
      <c r="E123" s="522" t="s">
        <v>1957</v>
      </c>
      <c r="F123" s="244" t="s">
        <v>371</v>
      </c>
      <c r="G123" s="244" t="s">
        <v>429</v>
      </c>
      <c r="H123" s="244" t="s">
        <v>154</v>
      </c>
      <c r="I123" s="522">
        <v>2</v>
      </c>
      <c r="J123" s="797">
        <f t="shared" ref="J123:J124" si="36">IF(B123=0,"(Unknown)",LN((ABS(B123))))</f>
        <v>-11.115542581319401</v>
      </c>
      <c r="K123" s="797" t="str">
        <f t="shared" ref="K123:K124" si="37">IF(B123&gt;0,SQRT(LN(L123)),"(Unknown)")</f>
        <v>(Unknown)</v>
      </c>
      <c r="L123" s="845" t="str">
        <f t="shared" ref="L123:L124" si="38">IF(B123&gt;0,(EXP(SQRT((LN(X123))^2+(LN(R123))^2+(LN(S123))^2+(LN(T123))^2+(LN(U123))^2+(LN(V123))^2))),"(Unknown)")</f>
        <v>(Unknown)</v>
      </c>
      <c r="M123" s="522">
        <v>4</v>
      </c>
      <c r="N123" s="522">
        <v>4</v>
      </c>
      <c r="O123" s="522">
        <v>1</v>
      </c>
      <c r="P123" s="522">
        <v>3</v>
      </c>
      <c r="Q123" s="522">
        <v>2</v>
      </c>
      <c r="R123" s="797">
        <f>IF(M123=1, '6. PEDIGREE MATRIX'!$B$4, IF(M123=2, '6. PEDIGREE MATRIX'!$C$4, IF(M123=3, '6. PEDIGREE MATRIX'!$D$4, IF(M123=4, '6. PEDIGREE MATRIX'!$E$4, IF(M123=5, '6. PEDIGREE MATRIX'!$F$4)))))</f>
        <v>1.0935646911485417</v>
      </c>
      <c r="S123" s="522">
        <f>IF(N123=1, '6. PEDIGREE MATRIX'!$B$6, IF(N123=2, '6. PEDIGREE MATRIX'!$C$6, IF(N123=3, '6. PEDIGREE MATRIX'!$D$6, IF(N123=4, '6. PEDIGREE MATRIX'!$E$6, IF(N123=5, '6. PEDIGREE MATRIX'!$F$6)))))</f>
        <v>1.0457364348384068</v>
      </c>
      <c r="T123" s="797">
        <f>IF(O123=1, '6. PEDIGREE MATRIX'!$B$8, IF(O123=2, '6. PEDIGREE MATRIX'!$C$8, IF(O123=3, '6. PEDIGREE MATRIX'!$D$8, IF(O123=4, '6. PEDIGREE MATRIX'!$E$8, IF(O123=5, '6. PEDIGREE MATRIX'!$F$8)))))</f>
        <v>1</v>
      </c>
      <c r="U123" s="797">
        <f>IF(P123=1, '6. PEDIGREE MATRIX'!$B$10, IF(P123=2, '6. PEDIGREE MATRIX'!$C$10, IF(P123=3, '6. PEDIGREE MATRIX'!$D$10, IF(P123=4, '6. PEDIGREE MATRIX'!$E$10, IF(P123=5, '6. PEDIGREE MATRIX'!$F$10)))))</f>
        <v>1.0100501670841679</v>
      </c>
      <c r="V123" s="797">
        <f>IF(Q123=1, '6. PEDIGREE MATRIX'!$B$12, IF(Q123=2, '6. PEDIGREE MATRIX'!$C$12, IF(Q123=3, '6. PEDIGREE MATRIX'!$D$12, IF(Q123=4, '6. PEDIGREE MATRIX'!$E$12, IF(Q123=5, '6. PEDIGREE MATRIX'!$F$12)))))</f>
        <v>1.0247973619913604</v>
      </c>
      <c r="W123" s="797">
        <v>5.9999999999999995E-4</v>
      </c>
      <c r="X123" s="524">
        <f t="shared" ref="X123:X124" si="39">EXP(SQRT(W123))</f>
        <v>1.0247973619913604</v>
      </c>
    </row>
    <row r="124" spans="1:24" x14ac:dyDescent="0.3">
      <c r="A124" s="112" t="s">
        <v>1968</v>
      </c>
      <c r="B124" s="297">
        <f>'24. WAFER FAB'!$D$83</f>
        <v>-7.4396276167845407E-6</v>
      </c>
      <c r="C124" s="112" t="s">
        <v>521</v>
      </c>
      <c r="D124" s="244" t="s">
        <v>385</v>
      </c>
      <c r="E124" s="522" t="s">
        <v>1969</v>
      </c>
      <c r="F124" s="244" t="s">
        <v>371</v>
      </c>
      <c r="G124" s="244" t="s">
        <v>429</v>
      </c>
      <c r="H124" s="244" t="s">
        <v>154</v>
      </c>
      <c r="I124" s="522">
        <v>2</v>
      </c>
      <c r="J124" s="797">
        <f t="shared" si="36"/>
        <v>-11.808689761879346</v>
      </c>
      <c r="K124" s="797" t="str">
        <f t="shared" si="37"/>
        <v>(Unknown)</v>
      </c>
      <c r="L124" s="845" t="str">
        <f t="shared" si="38"/>
        <v>(Unknown)</v>
      </c>
      <c r="M124" s="522">
        <v>4</v>
      </c>
      <c r="N124" s="522">
        <v>4</v>
      </c>
      <c r="O124" s="522">
        <v>1</v>
      </c>
      <c r="P124" s="522">
        <v>3</v>
      </c>
      <c r="Q124" s="522">
        <v>2</v>
      </c>
      <c r="R124" s="797">
        <f>IF(M124=1, '6. PEDIGREE MATRIX'!$B$4, IF(M124=2, '6. PEDIGREE MATRIX'!$C$4, IF(M124=3, '6. PEDIGREE MATRIX'!$D$4, IF(M124=4, '6. PEDIGREE MATRIX'!$E$4, IF(M124=5, '6. PEDIGREE MATRIX'!$F$4)))))</f>
        <v>1.0935646911485417</v>
      </c>
      <c r="S124" s="522">
        <f>IF(N124=1, '6. PEDIGREE MATRIX'!$B$6, IF(N124=2, '6. PEDIGREE MATRIX'!$C$6, IF(N124=3, '6. PEDIGREE MATRIX'!$D$6, IF(N124=4, '6. PEDIGREE MATRIX'!$E$6, IF(N124=5, '6. PEDIGREE MATRIX'!$F$6)))))</f>
        <v>1.0457364348384068</v>
      </c>
      <c r="T124" s="797">
        <f>IF(O124=1, '6. PEDIGREE MATRIX'!$B$8, IF(O124=2, '6. PEDIGREE MATRIX'!$C$8, IF(O124=3, '6. PEDIGREE MATRIX'!$D$8, IF(O124=4, '6. PEDIGREE MATRIX'!$E$8, IF(O124=5, '6. PEDIGREE MATRIX'!$F$8)))))</f>
        <v>1</v>
      </c>
      <c r="U124" s="797">
        <f>IF(P124=1, '6. PEDIGREE MATRIX'!$B$10, IF(P124=2, '6. PEDIGREE MATRIX'!$C$10, IF(P124=3, '6. PEDIGREE MATRIX'!$D$10, IF(P124=4, '6. PEDIGREE MATRIX'!$E$10, IF(P124=5, '6. PEDIGREE MATRIX'!$F$10)))))</f>
        <v>1.0100501670841679</v>
      </c>
      <c r="V124" s="797">
        <f>IF(Q124=1, '6. PEDIGREE MATRIX'!$B$12, IF(Q124=2, '6. PEDIGREE MATRIX'!$C$12, IF(Q124=3, '6. PEDIGREE MATRIX'!$D$12, IF(Q124=4, '6. PEDIGREE MATRIX'!$E$12, IF(Q124=5, '6. PEDIGREE MATRIX'!$F$12)))))</f>
        <v>1.0247973619913604</v>
      </c>
      <c r="W124" s="797">
        <v>5.9999999999999995E-4</v>
      </c>
      <c r="X124" s="524">
        <f t="shared" si="39"/>
        <v>1.0247973619913604</v>
      </c>
    </row>
    <row r="125" spans="1:24" x14ac:dyDescent="0.3">
      <c r="A125" s="43" t="s">
        <v>2252</v>
      </c>
      <c r="B125" s="297">
        <f>'24. WAFER FAB'!$D$84</f>
        <v>1.2094444997119096E-5</v>
      </c>
      <c r="C125" s="43" t="s">
        <v>153</v>
      </c>
      <c r="D125" s="516" t="s">
        <v>515</v>
      </c>
      <c r="E125" s="517" t="s">
        <v>371</v>
      </c>
      <c r="F125" s="518" t="s">
        <v>516</v>
      </c>
      <c r="G125" s="516" t="s">
        <v>371</v>
      </c>
      <c r="H125" s="516" t="s">
        <v>514</v>
      </c>
      <c r="I125" s="517">
        <v>2</v>
      </c>
      <c r="J125" s="517">
        <f t="shared" ref="J125" si="40">IF(B125=0,"(Unknown)",LN((ABS(B125))))</f>
        <v>-11.322764301923366</v>
      </c>
      <c r="K125" s="517">
        <f t="shared" ref="K125" si="41">IF(B125&gt;0,SQRT(LN(L125)),"(Unknown)")</f>
        <v>0.32603904386951327</v>
      </c>
      <c r="L125" s="517">
        <f t="shared" ref="L125" si="42">IF(B125&gt;0,(EXP(SQRT((LN(X125))^2+(LN(R125))^2+(LN(S125))^2+(LN(T125))^2+(LN(U125))^2+(LN(V125))^2))),"(Unknown)")</f>
        <v>1.1121570947719619</v>
      </c>
      <c r="M125" s="517">
        <v>4</v>
      </c>
      <c r="N125" s="517">
        <v>4</v>
      </c>
      <c r="O125" s="517">
        <v>1</v>
      </c>
      <c r="P125" s="517">
        <v>3</v>
      </c>
      <c r="Q125" s="517">
        <v>2</v>
      </c>
      <c r="R125" s="517">
        <f>IF(M125=1, '6. PEDIGREE MATRIX'!$B$4, IF(M125=2, '6. PEDIGREE MATRIX'!$C$4, IF(M125=3, '6. PEDIGREE MATRIX'!$D$4, IF(M125=4, '6. PEDIGREE MATRIX'!$E$4, IF(M125=5, '6. PEDIGREE MATRIX'!$F$4)))))</f>
        <v>1.0935646911485417</v>
      </c>
      <c r="S125" s="517">
        <f>IF(N125=1, '6. PEDIGREE MATRIX'!$B$6, IF(N125=2, '6. PEDIGREE MATRIX'!$C$6, IF(N125=3, '6. PEDIGREE MATRIX'!$D$6, IF(N125=4, '6. PEDIGREE MATRIX'!$E$6, IF(N125=5, '6. PEDIGREE MATRIX'!$F$6)))))</f>
        <v>1.0457364348384068</v>
      </c>
      <c r="T125" s="517">
        <f>IF(O125=1, '6. PEDIGREE MATRIX'!$B$8, IF(O125=2, '6. PEDIGREE MATRIX'!$C$8, IF(O125=3, '6. PEDIGREE MATRIX'!$D$8, IF(O125=4, '6. PEDIGREE MATRIX'!$E$8, IF(O125=5, '6. PEDIGREE MATRIX'!$F$8)))))</f>
        <v>1</v>
      </c>
      <c r="U125" s="517">
        <f>IF(P125=1, '6. PEDIGREE MATRIX'!$B$10, IF(P125=2, '6. PEDIGREE MATRIX'!$C$10, IF(P125=3, '6. PEDIGREE MATRIX'!$D$10, IF(P125=4, '6. PEDIGREE MATRIX'!$E$10, IF(P125=5, '6. PEDIGREE MATRIX'!$F$10)))))</f>
        <v>1.0100501670841679</v>
      </c>
      <c r="V125" s="517">
        <f>IF(Q125=1, '6. PEDIGREE MATRIX'!$B$12, IF(Q125=2, '6. PEDIGREE MATRIX'!$C$12, IF(Q125=3, '6. PEDIGREE MATRIX'!$D$12, IF(Q125=4, '6. PEDIGREE MATRIX'!$E$12, IF(Q125=5, '6. PEDIGREE MATRIX'!$F$12)))))</f>
        <v>1.0247973619913604</v>
      </c>
      <c r="W125" s="852">
        <v>5.9999999999999995E-4</v>
      </c>
      <c r="X125" s="520">
        <f t="shared" ref="X125" si="43">EXP(SQRT(W125))</f>
        <v>1.0247973619913604</v>
      </c>
    </row>
    <row r="126" spans="1:24" x14ac:dyDescent="0.3">
      <c r="A126" s="518" t="s">
        <v>2265</v>
      </c>
      <c r="B126" s="297">
        <f>'24. WAFER FAB'!$D$85</f>
        <v>1.0473664236816017E-5</v>
      </c>
      <c r="C126" s="43" t="s">
        <v>153</v>
      </c>
      <c r="D126" s="516" t="s">
        <v>515</v>
      </c>
      <c r="E126" s="517" t="s">
        <v>371</v>
      </c>
      <c r="F126" s="518" t="s">
        <v>516</v>
      </c>
      <c r="G126" s="516" t="s">
        <v>371</v>
      </c>
      <c r="H126" s="516" t="s">
        <v>514</v>
      </c>
      <c r="I126" s="517">
        <v>2</v>
      </c>
      <c r="J126" s="517">
        <f t="shared" ref="J126:J129" si="44">IF(B126=0,"(Unknown)",LN((ABS(B126))))</f>
        <v>-11.466646619445708</v>
      </c>
      <c r="K126" s="517">
        <f t="shared" ref="K126:K129" si="45">IF(B126&gt;0,SQRT(LN(L126)),"(Unknown)")</f>
        <v>0.32603904386951327</v>
      </c>
      <c r="L126" s="517">
        <f t="shared" ref="L126:L129" si="46">IF(B126&gt;0,(EXP(SQRT((LN(X126))^2+(LN(R126))^2+(LN(S126))^2+(LN(T126))^2+(LN(U126))^2+(LN(V126))^2))),"(Unknown)")</f>
        <v>1.1121570947719619</v>
      </c>
      <c r="M126" s="517">
        <v>4</v>
      </c>
      <c r="N126" s="517">
        <v>4</v>
      </c>
      <c r="O126" s="517">
        <v>1</v>
      </c>
      <c r="P126" s="517">
        <v>3</v>
      </c>
      <c r="Q126" s="517">
        <v>2</v>
      </c>
      <c r="R126" s="517">
        <f>IF(M126=1, '6. PEDIGREE MATRIX'!$B$4, IF(M126=2, '6. PEDIGREE MATRIX'!$C$4, IF(M126=3, '6. PEDIGREE MATRIX'!$D$4, IF(M126=4, '6. PEDIGREE MATRIX'!$E$4, IF(M126=5, '6. PEDIGREE MATRIX'!$F$4)))))</f>
        <v>1.0935646911485417</v>
      </c>
      <c r="S126" s="517">
        <f>IF(N126=1, '6. PEDIGREE MATRIX'!$B$6, IF(N126=2, '6. PEDIGREE MATRIX'!$C$6, IF(N126=3, '6. PEDIGREE MATRIX'!$D$6, IF(N126=4, '6. PEDIGREE MATRIX'!$E$6, IF(N126=5, '6. PEDIGREE MATRIX'!$F$6)))))</f>
        <v>1.0457364348384068</v>
      </c>
      <c r="T126" s="517">
        <f>IF(O126=1, '6. PEDIGREE MATRIX'!$B$8, IF(O126=2, '6. PEDIGREE MATRIX'!$C$8, IF(O126=3, '6. PEDIGREE MATRIX'!$D$8, IF(O126=4, '6. PEDIGREE MATRIX'!$E$8, IF(O126=5, '6. PEDIGREE MATRIX'!$F$8)))))</f>
        <v>1</v>
      </c>
      <c r="U126" s="517">
        <f>IF(P126=1, '6. PEDIGREE MATRIX'!$B$10, IF(P126=2, '6. PEDIGREE MATRIX'!$C$10, IF(P126=3, '6. PEDIGREE MATRIX'!$D$10, IF(P126=4, '6. PEDIGREE MATRIX'!$E$10, IF(P126=5, '6. PEDIGREE MATRIX'!$F$10)))))</f>
        <v>1.0100501670841679</v>
      </c>
      <c r="V126" s="517">
        <f>IF(Q126=1, '6. PEDIGREE MATRIX'!$B$12, IF(Q126=2, '6. PEDIGREE MATRIX'!$C$12, IF(Q126=3, '6. PEDIGREE MATRIX'!$D$12, IF(Q126=4, '6. PEDIGREE MATRIX'!$E$12, IF(Q126=5, '6. PEDIGREE MATRIX'!$F$12)))))</f>
        <v>1.0247973619913604</v>
      </c>
      <c r="W126" s="852">
        <v>5.9999999999999995E-4</v>
      </c>
      <c r="X126" s="520">
        <f t="shared" ref="X126:X129" si="47">EXP(SQRT(W126))</f>
        <v>1.0247973619913604</v>
      </c>
    </row>
    <row r="127" spans="1:24" x14ac:dyDescent="0.3">
      <c r="A127" s="782" t="s">
        <v>2228</v>
      </c>
      <c r="B127" s="297">
        <f>'24. WAFER FAB'!$D$86</f>
        <v>2.1755745333369906E-4</v>
      </c>
      <c r="C127" s="43" t="s">
        <v>153</v>
      </c>
      <c r="D127" s="516" t="s">
        <v>515</v>
      </c>
      <c r="E127" s="517" t="s">
        <v>371</v>
      </c>
      <c r="F127" s="518" t="s">
        <v>516</v>
      </c>
      <c r="G127" s="516" t="s">
        <v>371</v>
      </c>
      <c r="H127" s="516" t="s">
        <v>514</v>
      </c>
      <c r="I127" s="517">
        <v>2</v>
      </c>
      <c r="J127" s="517">
        <f t="shared" si="44"/>
        <v>-8.4330475890594787</v>
      </c>
      <c r="K127" s="517">
        <f t="shared" si="45"/>
        <v>0.32603904386951327</v>
      </c>
      <c r="L127" s="517">
        <f t="shared" si="46"/>
        <v>1.1121570947719619</v>
      </c>
      <c r="M127" s="517">
        <v>4</v>
      </c>
      <c r="N127" s="517">
        <v>4</v>
      </c>
      <c r="O127" s="517">
        <v>1</v>
      </c>
      <c r="P127" s="517">
        <v>3</v>
      </c>
      <c r="Q127" s="517">
        <v>2</v>
      </c>
      <c r="R127" s="517">
        <f>IF(M127=1, '6. PEDIGREE MATRIX'!$B$4, IF(M127=2, '6. PEDIGREE MATRIX'!$C$4, IF(M127=3, '6. PEDIGREE MATRIX'!$D$4, IF(M127=4, '6. PEDIGREE MATRIX'!$E$4, IF(M127=5, '6. PEDIGREE MATRIX'!$F$4)))))</f>
        <v>1.0935646911485417</v>
      </c>
      <c r="S127" s="517">
        <f>IF(N127=1, '6. PEDIGREE MATRIX'!$B$6, IF(N127=2, '6. PEDIGREE MATRIX'!$C$6, IF(N127=3, '6. PEDIGREE MATRIX'!$D$6, IF(N127=4, '6. PEDIGREE MATRIX'!$E$6, IF(N127=5, '6. PEDIGREE MATRIX'!$F$6)))))</f>
        <v>1.0457364348384068</v>
      </c>
      <c r="T127" s="517">
        <f>IF(O127=1, '6. PEDIGREE MATRIX'!$B$8, IF(O127=2, '6. PEDIGREE MATRIX'!$C$8, IF(O127=3, '6. PEDIGREE MATRIX'!$D$8, IF(O127=4, '6. PEDIGREE MATRIX'!$E$8, IF(O127=5, '6. PEDIGREE MATRIX'!$F$8)))))</f>
        <v>1</v>
      </c>
      <c r="U127" s="517">
        <f>IF(P127=1, '6. PEDIGREE MATRIX'!$B$10, IF(P127=2, '6. PEDIGREE MATRIX'!$C$10, IF(P127=3, '6. PEDIGREE MATRIX'!$D$10, IF(P127=4, '6. PEDIGREE MATRIX'!$E$10, IF(P127=5, '6. PEDIGREE MATRIX'!$F$10)))))</f>
        <v>1.0100501670841679</v>
      </c>
      <c r="V127" s="517">
        <f>IF(Q127=1, '6. PEDIGREE MATRIX'!$B$12, IF(Q127=2, '6. PEDIGREE MATRIX'!$C$12, IF(Q127=3, '6. PEDIGREE MATRIX'!$D$12, IF(Q127=4, '6. PEDIGREE MATRIX'!$E$12, IF(Q127=5, '6. PEDIGREE MATRIX'!$F$12)))))</f>
        <v>1.0247973619913604</v>
      </c>
      <c r="W127" s="852">
        <v>5.9999999999999995E-4</v>
      </c>
      <c r="X127" s="520">
        <f t="shared" si="47"/>
        <v>1.0247973619913604</v>
      </c>
    </row>
    <row r="128" spans="1:24" x14ac:dyDescent="0.3">
      <c r="A128" s="43" t="s">
        <v>816</v>
      </c>
      <c r="B128" s="297">
        <f>'24. WAFER FAB'!$D$87</f>
        <v>1.8802255496331645E-5</v>
      </c>
      <c r="C128" s="43" t="s">
        <v>153</v>
      </c>
      <c r="D128" s="516" t="s">
        <v>515</v>
      </c>
      <c r="E128" s="517" t="s">
        <v>371</v>
      </c>
      <c r="F128" s="518" t="s">
        <v>516</v>
      </c>
      <c r="G128" s="516" t="s">
        <v>371</v>
      </c>
      <c r="H128" s="516" t="s">
        <v>514</v>
      </c>
      <c r="I128" s="517">
        <v>2</v>
      </c>
      <c r="J128" s="517">
        <f t="shared" si="44"/>
        <v>-10.881533722115451</v>
      </c>
      <c r="K128" s="517">
        <f t="shared" si="45"/>
        <v>0.32603904386951327</v>
      </c>
      <c r="L128" s="517">
        <f t="shared" si="46"/>
        <v>1.1121570947719619</v>
      </c>
      <c r="M128" s="517">
        <v>4</v>
      </c>
      <c r="N128" s="517">
        <v>4</v>
      </c>
      <c r="O128" s="517">
        <v>1</v>
      </c>
      <c r="P128" s="517">
        <v>3</v>
      </c>
      <c r="Q128" s="517">
        <v>2</v>
      </c>
      <c r="R128" s="517">
        <f>IF(M128=1, '6. PEDIGREE MATRIX'!$B$4, IF(M128=2, '6. PEDIGREE MATRIX'!$C$4, IF(M128=3, '6. PEDIGREE MATRIX'!$D$4, IF(M128=4, '6. PEDIGREE MATRIX'!$E$4, IF(M128=5, '6. PEDIGREE MATRIX'!$F$4)))))</f>
        <v>1.0935646911485417</v>
      </c>
      <c r="S128" s="517">
        <f>IF(N128=1, '6. PEDIGREE MATRIX'!$B$6, IF(N128=2, '6. PEDIGREE MATRIX'!$C$6, IF(N128=3, '6. PEDIGREE MATRIX'!$D$6, IF(N128=4, '6. PEDIGREE MATRIX'!$E$6, IF(N128=5, '6. PEDIGREE MATRIX'!$F$6)))))</f>
        <v>1.0457364348384068</v>
      </c>
      <c r="T128" s="517">
        <f>IF(O128=1, '6. PEDIGREE MATRIX'!$B$8, IF(O128=2, '6. PEDIGREE MATRIX'!$C$8, IF(O128=3, '6. PEDIGREE MATRIX'!$D$8, IF(O128=4, '6. PEDIGREE MATRIX'!$E$8, IF(O128=5, '6. PEDIGREE MATRIX'!$F$8)))))</f>
        <v>1</v>
      </c>
      <c r="U128" s="517">
        <f>IF(P128=1, '6. PEDIGREE MATRIX'!$B$10, IF(P128=2, '6. PEDIGREE MATRIX'!$C$10, IF(P128=3, '6. PEDIGREE MATRIX'!$D$10, IF(P128=4, '6. PEDIGREE MATRIX'!$E$10, IF(P128=5, '6. PEDIGREE MATRIX'!$F$10)))))</f>
        <v>1.0100501670841679</v>
      </c>
      <c r="V128" s="517">
        <f>IF(Q128=1, '6. PEDIGREE MATRIX'!$B$12, IF(Q128=2, '6. PEDIGREE MATRIX'!$C$12, IF(Q128=3, '6. PEDIGREE MATRIX'!$D$12, IF(Q128=4, '6. PEDIGREE MATRIX'!$E$12, IF(Q128=5, '6. PEDIGREE MATRIX'!$F$12)))))</f>
        <v>1.0247973619913604</v>
      </c>
      <c r="W128" s="852">
        <v>5.9999999999999995E-4</v>
      </c>
      <c r="X128" s="520">
        <f t="shared" si="47"/>
        <v>1.0247973619913604</v>
      </c>
    </row>
    <row r="129" spans="1:24" x14ac:dyDescent="0.3">
      <c r="A129" s="43" t="s">
        <v>864</v>
      </c>
      <c r="B129" s="297">
        <f>'24. WAFER FAB'!$D$88</f>
        <v>1.342066918931666E-5</v>
      </c>
      <c r="C129" s="43" t="s">
        <v>153</v>
      </c>
      <c r="D129" s="516" t="s">
        <v>515</v>
      </c>
      <c r="E129" s="517" t="s">
        <v>371</v>
      </c>
      <c r="F129" s="518" t="s">
        <v>516</v>
      </c>
      <c r="G129" s="516" t="s">
        <v>371</v>
      </c>
      <c r="H129" s="516" t="s">
        <v>514</v>
      </c>
      <c r="I129" s="517">
        <v>2</v>
      </c>
      <c r="J129" s="517">
        <f t="shared" si="44"/>
        <v>-11.218714562588202</v>
      </c>
      <c r="K129" s="517">
        <f t="shared" si="45"/>
        <v>0.32603904386951327</v>
      </c>
      <c r="L129" s="517">
        <f t="shared" si="46"/>
        <v>1.1121570947719619</v>
      </c>
      <c r="M129" s="517">
        <v>4</v>
      </c>
      <c r="N129" s="517">
        <v>4</v>
      </c>
      <c r="O129" s="517">
        <v>1</v>
      </c>
      <c r="P129" s="517">
        <v>3</v>
      </c>
      <c r="Q129" s="517">
        <v>2</v>
      </c>
      <c r="R129" s="517">
        <f>IF(M129=1, '6. PEDIGREE MATRIX'!$B$4, IF(M129=2, '6. PEDIGREE MATRIX'!$C$4, IF(M129=3, '6. PEDIGREE MATRIX'!$D$4, IF(M129=4, '6. PEDIGREE MATRIX'!$E$4, IF(M129=5, '6. PEDIGREE MATRIX'!$F$4)))))</f>
        <v>1.0935646911485417</v>
      </c>
      <c r="S129" s="517">
        <f>IF(N129=1, '6. PEDIGREE MATRIX'!$B$6, IF(N129=2, '6. PEDIGREE MATRIX'!$C$6, IF(N129=3, '6. PEDIGREE MATRIX'!$D$6, IF(N129=4, '6. PEDIGREE MATRIX'!$E$6, IF(N129=5, '6. PEDIGREE MATRIX'!$F$6)))))</f>
        <v>1.0457364348384068</v>
      </c>
      <c r="T129" s="517">
        <f>IF(O129=1, '6. PEDIGREE MATRIX'!$B$8, IF(O129=2, '6. PEDIGREE MATRIX'!$C$8, IF(O129=3, '6. PEDIGREE MATRIX'!$D$8, IF(O129=4, '6. PEDIGREE MATRIX'!$E$8, IF(O129=5, '6. PEDIGREE MATRIX'!$F$8)))))</f>
        <v>1</v>
      </c>
      <c r="U129" s="517">
        <f>IF(P129=1, '6. PEDIGREE MATRIX'!$B$10, IF(P129=2, '6. PEDIGREE MATRIX'!$C$10, IF(P129=3, '6. PEDIGREE MATRIX'!$D$10, IF(P129=4, '6. PEDIGREE MATRIX'!$E$10, IF(P129=5, '6. PEDIGREE MATRIX'!$F$10)))))</f>
        <v>1.0100501670841679</v>
      </c>
      <c r="V129" s="517">
        <f>IF(Q129=1, '6. PEDIGREE MATRIX'!$B$12, IF(Q129=2, '6. PEDIGREE MATRIX'!$C$12, IF(Q129=3, '6. PEDIGREE MATRIX'!$D$12, IF(Q129=4, '6. PEDIGREE MATRIX'!$E$12, IF(Q129=5, '6. PEDIGREE MATRIX'!$F$12)))))</f>
        <v>1.0247973619913604</v>
      </c>
      <c r="W129" s="852">
        <v>5.9999999999999995E-4</v>
      </c>
      <c r="X129" s="520">
        <f t="shared" si="47"/>
        <v>1.0247973619913604</v>
      </c>
    </row>
    <row r="130" spans="1:24" ht="15" thickBot="1" x14ac:dyDescent="0.35">
      <c r="A130" s="70" t="str">
        <f>B108</f>
        <v>DRY ETCH</v>
      </c>
      <c r="B130" s="71">
        <v>1</v>
      </c>
      <c r="C130" s="72" t="s">
        <v>224</v>
      </c>
      <c r="D130" s="72" t="str">
        <f>$B$1</f>
        <v>IGBT LCI dtb</v>
      </c>
      <c r="E130" s="71" t="str">
        <f>B112</f>
        <v>Processed cm² of Si IGBT good die</v>
      </c>
      <c r="F130" s="72" t="s">
        <v>371</v>
      </c>
      <c r="G130" s="72" t="s">
        <v>156</v>
      </c>
      <c r="H130" s="72" t="s">
        <v>383</v>
      </c>
      <c r="I130" s="71">
        <v>0</v>
      </c>
      <c r="J130" s="71" t="s">
        <v>371</v>
      </c>
      <c r="K130" s="71" t="s">
        <v>371</v>
      </c>
      <c r="L130" s="91" t="s">
        <v>371</v>
      </c>
      <c r="M130" s="71">
        <v>0</v>
      </c>
      <c r="N130" s="71">
        <v>0</v>
      </c>
      <c r="O130" s="71">
        <v>0</v>
      </c>
      <c r="P130" s="71">
        <v>0</v>
      </c>
      <c r="Q130" s="71">
        <v>0</v>
      </c>
      <c r="R130" s="71">
        <v>0</v>
      </c>
      <c r="S130" s="71">
        <v>0</v>
      </c>
      <c r="T130" s="71">
        <v>0</v>
      </c>
      <c r="U130" s="71">
        <v>0</v>
      </c>
      <c r="V130" s="71">
        <v>0</v>
      </c>
      <c r="W130" s="71">
        <v>0</v>
      </c>
      <c r="X130" s="92">
        <v>0</v>
      </c>
    </row>
    <row r="132" spans="1:24" ht="15" thickBot="1" x14ac:dyDescent="0.35"/>
    <row r="133" spans="1:24" s="14" customFormat="1" ht="30" customHeight="1" thickBot="1" x14ac:dyDescent="0.35">
      <c r="A133" s="178" t="s">
        <v>326</v>
      </c>
      <c r="B133" s="179" t="s">
        <v>1256</v>
      </c>
      <c r="C133" s="180"/>
      <c r="D133" s="180"/>
      <c r="E133" s="181"/>
      <c r="F133" s="180"/>
      <c r="G133" s="180"/>
      <c r="H133" s="180"/>
      <c r="I133" s="181"/>
      <c r="J133" s="181"/>
      <c r="K133" s="181"/>
      <c r="L133" s="181"/>
      <c r="M133" s="181"/>
      <c r="N133" s="181"/>
      <c r="O133" s="181"/>
      <c r="P133" s="181"/>
      <c r="Q133" s="181"/>
      <c r="R133" s="181"/>
      <c r="S133" s="181"/>
      <c r="T133" s="181"/>
      <c r="U133" s="181"/>
      <c r="V133" s="181"/>
      <c r="W133" s="181"/>
      <c r="X133" s="182"/>
    </row>
    <row r="134" spans="1:24" x14ac:dyDescent="0.3">
      <c r="A134" s="54" t="s">
        <v>163</v>
      </c>
      <c r="B134" s="56" t="s">
        <v>371</v>
      </c>
      <c r="C134" s="56"/>
      <c r="D134" s="56"/>
      <c r="E134" s="61"/>
      <c r="F134" s="56"/>
      <c r="G134" s="56"/>
      <c r="H134" s="56"/>
      <c r="I134" s="61"/>
      <c r="J134" s="61"/>
      <c r="K134" s="61"/>
      <c r="L134" s="61"/>
      <c r="M134" s="61"/>
      <c r="N134" s="61"/>
      <c r="O134" s="61"/>
      <c r="P134" s="61"/>
      <c r="Q134" s="61"/>
      <c r="R134" s="61"/>
      <c r="S134" s="61"/>
      <c r="T134" s="61"/>
      <c r="U134" s="61"/>
      <c r="V134" s="61"/>
      <c r="W134" s="61"/>
      <c r="X134" s="62"/>
    </row>
    <row r="135" spans="1:24" x14ac:dyDescent="0.3">
      <c r="A135" s="54" t="s">
        <v>227</v>
      </c>
      <c r="B135" s="56" t="s">
        <v>156</v>
      </c>
      <c r="C135" s="56"/>
      <c r="D135" s="56"/>
      <c r="E135" s="61"/>
      <c r="F135" s="56"/>
      <c r="G135" s="56"/>
      <c r="H135" s="56"/>
      <c r="I135" s="61"/>
      <c r="J135" s="61"/>
      <c r="K135" s="61"/>
      <c r="L135" s="61"/>
      <c r="M135" s="61"/>
      <c r="N135" s="61"/>
      <c r="O135" s="61"/>
      <c r="P135" s="61"/>
      <c r="Q135" s="61"/>
      <c r="R135" s="61"/>
      <c r="S135" s="61"/>
      <c r="T135" s="61"/>
      <c r="U135" s="61"/>
      <c r="V135" s="61"/>
      <c r="W135" s="61"/>
      <c r="X135" s="62"/>
    </row>
    <row r="136" spans="1:24" x14ac:dyDescent="0.3">
      <c r="A136" s="54" t="s">
        <v>428</v>
      </c>
      <c r="B136" s="61">
        <v>1</v>
      </c>
      <c r="C136" s="56"/>
      <c r="D136" s="56"/>
      <c r="E136" s="61"/>
      <c r="F136" s="56"/>
      <c r="G136" s="56"/>
      <c r="H136" s="56"/>
      <c r="I136" s="61"/>
      <c r="J136" s="61"/>
      <c r="K136" s="61"/>
      <c r="L136" s="61"/>
      <c r="M136" s="61"/>
      <c r="N136" s="61"/>
      <c r="O136" s="61"/>
      <c r="P136" s="61"/>
      <c r="Q136" s="61"/>
      <c r="R136" s="61"/>
      <c r="S136" s="61"/>
      <c r="T136" s="61"/>
      <c r="U136" s="61"/>
      <c r="V136" s="61"/>
      <c r="W136" s="61"/>
      <c r="X136" s="62"/>
    </row>
    <row r="137" spans="1:24" x14ac:dyDescent="0.3">
      <c r="A137" s="54" t="s">
        <v>147</v>
      </c>
      <c r="B137" s="56" t="s">
        <v>717</v>
      </c>
      <c r="C137" s="56"/>
      <c r="D137" s="56"/>
      <c r="E137" s="61"/>
      <c r="F137" s="56"/>
      <c r="G137" s="56"/>
      <c r="H137" s="56"/>
      <c r="I137" s="61"/>
      <c r="J137" s="61"/>
      <c r="K137" s="61"/>
      <c r="L137" s="61"/>
      <c r="M137" s="61"/>
      <c r="N137" s="61"/>
      <c r="O137" s="61"/>
      <c r="P137" s="61"/>
      <c r="Q137" s="61"/>
      <c r="R137" s="61"/>
      <c r="S137" s="61"/>
      <c r="T137" s="61"/>
      <c r="U137" s="61"/>
      <c r="V137" s="61"/>
      <c r="W137" s="61"/>
      <c r="X137" s="62"/>
    </row>
    <row r="138" spans="1:24" x14ac:dyDescent="0.3">
      <c r="A138" s="54" t="s">
        <v>327</v>
      </c>
      <c r="B138" s="61" t="s">
        <v>134</v>
      </c>
      <c r="C138" s="56"/>
      <c r="D138" s="56"/>
      <c r="E138" s="61"/>
      <c r="F138" s="56"/>
      <c r="G138" s="56"/>
      <c r="H138" s="56"/>
      <c r="I138" s="61"/>
      <c r="J138" s="61"/>
      <c r="K138" s="61"/>
      <c r="L138" s="61"/>
      <c r="M138" s="61"/>
      <c r="N138" s="61"/>
      <c r="O138" s="61"/>
      <c r="P138" s="61"/>
      <c r="Q138" s="61"/>
      <c r="R138" s="61"/>
      <c r="S138" s="61"/>
      <c r="T138" s="61"/>
      <c r="U138" s="61"/>
      <c r="V138" s="61"/>
      <c r="W138" s="61"/>
      <c r="X138" s="62"/>
    </row>
    <row r="139" spans="1:24" x14ac:dyDescent="0.3">
      <c r="A139" s="54" t="s">
        <v>224</v>
      </c>
      <c r="B139" s="56" t="s">
        <v>224</v>
      </c>
      <c r="C139" s="56"/>
      <c r="D139" s="56"/>
      <c r="E139" s="61"/>
      <c r="F139" s="56"/>
      <c r="G139" s="56"/>
      <c r="H139" s="56"/>
      <c r="I139" s="61"/>
      <c r="J139" s="61"/>
      <c r="K139" s="61"/>
      <c r="L139" s="61"/>
      <c r="M139" s="61"/>
      <c r="N139" s="61"/>
      <c r="O139" s="61"/>
      <c r="P139" s="61"/>
      <c r="Q139" s="61"/>
      <c r="R139" s="61"/>
      <c r="S139" s="61"/>
      <c r="T139" s="61"/>
      <c r="U139" s="61"/>
      <c r="V139" s="61"/>
      <c r="W139" s="61"/>
      <c r="X139" s="62"/>
    </row>
    <row r="140" spans="1:24" ht="15.6" x14ac:dyDescent="0.3">
      <c r="A140" s="55" t="s">
        <v>328</v>
      </c>
      <c r="B140" s="61"/>
      <c r="C140" s="56"/>
      <c r="D140" s="56"/>
      <c r="E140" s="61"/>
      <c r="F140" s="56"/>
      <c r="G140" s="56"/>
      <c r="H140" s="56"/>
      <c r="I140" s="61"/>
      <c r="J140" s="61"/>
      <c r="K140" s="61"/>
      <c r="L140" s="61"/>
      <c r="M140" s="61"/>
      <c r="N140" s="61"/>
      <c r="O140" s="61"/>
      <c r="P140" s="61"/>
      <c r="Q140" s="61"/>
      <c r="R140" s="61"/>
      <c r="S140" s="61"/>
      <c r="T140" s="61"/>
      <c r="U140" s="61"/>
      <c r="V140" s="61"/>
      <c r="W140" s="61"/>
      <c r="X140" s="62"/>
    </row>
    <row r="141" spans="1:24" x14ac:dyDescent="0.3">
      <c r="A141" s="54" t="s">
        <v>329</v>
      </c>
      <c r="B141" s="61" t="s">
        <v>330</v>
      </c>
      <c r="C141" s="56" t="s">
        <v>224</v>
      </c>
      <c r="D141" s="56" t="s">
        <v>331</v>
      </c>
      <c r="E141" s="61" t="s">
        <v>147</v>
      </c>
      <c r="F141" s="56" t="s">
        <v>332</v>
      </c>
      <c r="G141" s="56" t="s">
        <v>227</v>
      </c>
      <c r="H141" s="56" t="s">
        <v>327</v>
      </c>
      <c r="I141" s="61" t="s">
        <v>372</v>
      </c>
      <c r="J141" s="61" t="s">
        <v>373</v>
      </c>
      <c r="K141" s="61" t="s">
        <v>374</v>
      </c>
      <c r="L141" s="61" t="s">
        <v>148</v>
      </c>
      <c r="M141" s="61" t="s">
        <v>585</v>
      </c>
      <c r="N141" s="61" t="s">
        <v>586</v>
      </c>
      <c r="O141" s="61" t="s">
        <v>587</v>
      </c>
      <c r="P141" s="61" t="s">
        <v>220</v>
      </c>
      <c r="Q141" s="61" t="s">
        <v>588</v>
      </c>
      <c r="R141" s="61" t="s">
        <v>590</v>
      </c>
      <c r="S141" s="61" t="s">
        <v>591</v>
      </c>
      <c r="T141" s="61" t="s">
        <v>592</v>
      </c>
      <c r="U141" s="61" t="s">
        <v>593</v>
      </c>
      <c r="V141" s="61" t="s">
        <v>594</v>
      </c>
      <c r="W141" s="61" t="s">
        <v>595</v>
      </c>
      <c r="X141" s="62" t="s">
        <v>589</v>
      </c>
    </row>
    <row r="142" spans="1:24" x14ac:dyDescent="0.3">
      <c r="A142" s="285" t="str">
        <f>IF($G$142='4. INPUTS LIST'!$B$3,'4. INPUTS LIST'!$C$3, IF($G$142='4. INPUTS LIST'!$B$4,'4. INPUTS LIST'!$C$4, IF($G$142='4. INPUTS LIST'!$B$5,'4. INPUTS LIST'!$C$5, IF($G$142='4. INPUTS LIST'!$B$6,'4. INPUTS LIST'!$C$6, IF($G$142='4. INPUTS LIST'!$B$7,'4. INPUTS LIST'!$C$7, IF($G$142='4. INPUTS LIST'!$B$8,'4. INPUTS LIST'!$C$8, IF($G$142='4. INPUTS LIST'!$B$9,'4. INPUTS LIST'!$C$9, IF($G$142='4. INPUTS LIST'!$B$10,'4. INPUTS LIST'!$C$10, IF($G$142='4. INPUTS LIST'!$B$11,'4. INPUTS LIST'!$C$11, IF($G$142='4. INPUTS LIST'!$B$12,'4. INPUTS LIST'!$C$12))))))))))</f>
        <v>market for electricity, medium voltage</v>
      </c>
      <c r="B142" s="297">
        <f>'16. THERMAL PROC.'!$D$6</f>
        <v>0.11336064059254561</v>
      </c>
      <c r="C142" s="3" t="s">
        <v>342</v>
      </c>
      <c r="D142" s="3" t="s">
        <v>385</v>
      </c>
      <c r="E142" s="58" t="str">
        <f>IF($A$142='4. INPUTS LIST'!$C$3,'4. INPUTS LIST'!$D$3, IF($A$142='4. INPUTS LIST'!$C$7, '4. INPUTS LIST'!$D$7, IF($A$142='4. INPUTS LIST'!$C$12,'4. INPUTS LIST'!$D$12)))</f>
        <v>electricity, medium voltage</v>
      </c>
      <c r="F142" s="3" t="s">
        <v>371</v>
      </c>
      <c r="G142" s="3" t="str">
        <f>'1. USER INPUTS'!$E$24</f>
        <v>JP</v>
      </c>
      <c r="H142" s="3" t="s">
        <v>154</v>
      </c>
      <c r="I142" s="58">
        <v>2</v>
      </c>
      <c r="J142" s="58">
        <f>IF(B142=0,"(Unknown)",LN((ABS(B142))))</f>
        <v>-2.1771810326581487</v>
      </c>
      <c r="K142" s="58">
        <f>IF(B142&gt;0,SQRT(LN(L142)),"(Unknown)")</f>
        <v>0.32603904386951327</v>
      </c>
      <c r="L142" s="90">
        <f>IF(B142&gt;0,(EXP(SQRT((LN(X142))^2+(LN(R142))^2+(LN(S142))^2+(LN(T142))^2+(LN(U142))^2+(LN(V142))^2))),"(Unknown)")</f>
        <v>1.1121570947719619</v>
      </c>
      <c r="M142" s="58">
        <v>4</v>
      </c>
      <c r="N142" s="58">
        <v>4</v>
      </c>
      <c r="O142" s="58">
        <v>1</v>
      </c>
      <c r="P142" s="58">
        <v>3</v>
      </c>
      <c r="Q142" s="58">
        <v>2</v>
      </c>
      <c r="R142" s="58">
        <f>IF(M142=1, '6. PEDIGREE MATRIX'!$B$4, IF(M142=2, '6. PEDIGREE MATRIX'!$C$4, IF(M142=3, '6. PEDIGREE MATRIX'!$D$4, IF(M142=4, '6. PEDIGREE MATRIX'!$E$4, IF(M142=5, '6. PEDIGREE MATRIX'!$F$4)))))</f>
        <v>1.0935646911485417</v>
      </c>
      <c r="S142" s="58">
        <f>IF(N142=1, '6. PEDIGREE MATRIX'!$B$6, IF(N142=2, '6. PEDIGREE MATRIX'!$C$6, IF(N142=3, '6. PEDIGREE MATRIX'!$D$6, IF(N142=4, '6. PEDIGREE MATRIX'!$E$6, IF(N142=5, '6. PEDIGREE MATRIX'!$F$6)))))</f>
        <v>1.0457364348384068</v>
      </c>
      <c r="T142" s="58">
        <f>IF(O142=1, '6. PEDIGREE MATRIX'!$B$8, IF(O142=2, '6. PEDIGREE MATRIX'!$C$8, IF(O142=3, '6. PEDIGREE MATRIX'!$D$8, IF(O142=4, '6. PEDIGREE MATRIX'!$E$8, IF(O142=5, '6. PEDIGREE MATRIX'!$F$8)))))</f>
        <v>1</v>
      </c>
      <c r="U142" s="58">
        <f>IF(P142=1, '6. PEDIGREE MATRIX'!$B$10, IF(P142=2, '6. PEDIGREE MATRIX'!$C$10, IF(P142=3, '6. PEDIGREE MATRIX'!$D$10, IF(P142=4, '6. PEDIGREE MATRIX'!$E$10, IF(P142=5, '6. PEDIGREE MATRIX'!$F$10)))))</f>
        <v>1.0100501670841679</v>
      </c>
      <c r="V142" s="58">
        <f>IF(Q142=1, '6. PEDIGREE MATRIX'!$B$12, IF(Q142=2, '6. PEDIGREE MATRIX'!$C$12, IF(Q142=3, '6. PEDIGREE MATRIX'!$D$12, IF(Q142=4, '6. PEDIGREE MATRIX'!$E$12, IF(Q142=5, '6. PEDIGREE MATRIX'!$F$12)))))</f>
        <v>1.0247973619913604</v>
      </c>
      <c r="W142" s="58">
        <v>5.9999999999999995E-4</v>
      </c>
      <c r="X142" s="63">
        <f>EXP(SQRT(W142))</f>
        <v>1.0247973619913604</v>
      </c>
    </row>
    <row r="143" spans="1:24" x14ac:dyDescent="0.3">
      <c r="A143" s="49" t="s">
        <v>375</v>
      </c>
      <c r="B143" s="297">
        <f>'16. THERMAL PROC.'!$D$7</f>
        <v>3.0753718585034926E-2</v>
      </c>
      <c r="C143" s="3" t="s">
        <v>153</v>
      </c>
      <c r="D143" s="3" t="s">
        <v>385</v>
      </c>
      <c r="E143" s="58" t="s">
        <v>393</v>
      </c>
      <c r="F143" s="3" t="s">
        <v>371</v>
      </c>
      <c r="G143" s="3" t="s">
        <v>429</v>
      </c>
      <c r="H143" s="3" t="s">
        <v>154</v>
      </c>
      <c r="I143" s="58">
        <v>2</v>
      </c>
      <c r="J143" s="58">
        <f t="shared" ref="J143:J149" si="48">IF(B143=0,"(Unknown)",LN((ABS(B143))))</f>
        <v>-3.4817443624463724</v>
      </c>
      <c r="K143" s="58">
        <f t="shared" ref="K143:K149" si="49">IF(B143&gt;0,SQRT(LN(L143)),"(Unknown)")</f>
        <v>0.32603904386951327</v>
      </c>
      <c r="L143" s="90">
        <f t="shared" ref="L143:L149" si="50">IF(B143&gt;0,(EXP(SQRT((LN(X143))^2+(LN(R143))^2+(LN(S143))^2+(LN(T143))^2+(LN(U143))^2+(LN(V143))^2))),"(Unknown)")</f>
        <v>1.1121570947719619</v>
      </c>
      <c r="M143" s="58">
        <v>4</v>
      </c>
      <c r="N143" s="58">
        <v>4</v>
      </c>
      <c r="O143" s="58">
        <v>1</v>
      </c>
      <c r="P143" s="58">
        <v>3</v>
      </c>
      <c r="Q143" s="58">
        <v>2</v>
      </c>
      <c r="R143" s="58">
        <f>IF(M143=1, '6. PEDIGREE MATRIX'!$B$4, IF(M143=2, '6. PEDIGREE MATRIX'!$C$4, IF(M143=3, '6. PEDIGREE MATRIX'!$D$4, IF(M143=4, '6. PEDIGREE MATRIX'!$E$4, IF(M143=5, '6. PEDIGREE MATRIX'!$F$4)))))</f>
        <v>1.0935646911485417</v>
      </c>
      <c r="S143" s="58">
        <f>IF(N143=1, '6. PEDIGREE MATRIX'!$B$6, IF(N143=2, '6. PEDIGREE MATRIX'!$C$6, IF(N143=3, '6. PEDIGREE MATRIX'!$D$6, IF(N143=4, '6. PEDIGREE MATRIX'!$E$6, IF(N143=5, '6. PEDIGREE MATRIX'!$F$6)))))</f>
        <v>1.0457364348384068</v>
      </c>
      <c r="T143" s="58">
        <f>IF(O143=1, '6. PEDIGREE MATRIX'!$B$8, IF(O143=2, '6. PEDIGREE MATRIX'!$C$8, IF(O143=3, '6. PEDIGREE MATRIX'!$D$8, IF(O143=4, '6. PEDIGREE MATRIX'!$E$8, IF(O143=5, '6. PEDIGREE MATRIX'!$F$8)))))</f>
        <v>1</v>
      </c>
      <c r="U143" s="58">
        <f>IF(P143=1, '6. PEDIGREE MATRIX'!$B$10, IF(P143=2, '6. PEDIGREE MATRIX'!$C$10, IF(P143=3, '6. PEDIGREE MATRIX'!$D$10, IF(P143=4, '6. PEDIGREE MATRIX'!$E$10, IF(P143=5, '6. PEDIGREE MATRIX'!$F$10)))))</f>
        <v>1.0100501670841679</v>
      </c>
      <c r="V143" s="58">
        <f>IF(Q143=1, '6. PEDIGREE MATRIX'!$B$12, IF(Q143=2, '6. PEDIGREE MATRIX'!$C$12, IF(Q143=3, '6. PEDIGREE MATRIX'!$D$12, IF(Q143=4, '6. PEDIGREE MATRIX'!$E$12, IF(Q143=5, '6. PEDIGREE MATRIX'!$F$12)))))</f>
        <v>1.0247973619913604</v>
      </c>
      <c r="W143" s="58">
        <v>5.9999999999999995E-4</v>
      </c>
      <c r="X143" s="63">
        <f>EXP(SQRT(W143))</f>
        <v>1.0247973619913604</v>
      </c>
    </row>
    <row r="144" spans="1:24" x14ac:dyDescent="0.3">
      <c r="A144" s="293" t="s">
        <v>962</v>
      </c>
      <c r="B144" s="297">
        <f>'16. THERMAL PROC.'!$D$8</f>
        <v>2.0121158021597856E-2</v>
      </c>
      <c r="C144" s="3" t="s">
        <v>153</v>
      </c>
      <c r="D144" s="3" t="s">
        <v>385</v>
      </c>
      <c r="E144" s="58" t="s">
        <v>392</v>
      </c>
      <c r="F144" s="3" t="s">
        <v>371</v>
      </c>
      <c r="G144" s="3" t="s">
        <v>429</v>
      </c>
      <c r="H144" s="3" t="s">
        <v>154</v>
      </c>
      <c r="I144" s="58">
        <v>2</v>
      </c>
      <c r="J144" s="58">
        <f t="shared" si="48"/>
        <v>-3.9059833796614467</v>
      </c>
      <c r="K144" s="58">
        <f t="shared" si="49"/>
        <v>0.32603904386951327</v>
      </c>
      <c r="L144" s="90">
        <f t="shared" si="50"/>
        <v>1.1121570947719619</v>
      </c>
      <c r="M144" s="58">
        <v>4</v>
      </c>
      <c r="N144" s="58">
        <v>4</v>
      </c>
      <c r="O144" s="58">
        <v>1</v>
      </c>
      <c r="P144" s="58">
        <v>3</v>
      </c>
      <c r="Q144" s="58">
        <v>2</v>
      </c>
      <c r="R144" s="58">
        <f>IF(M144=1, '6. PEDIGREE MATRIX'!$B$4, IF(M144=2, '6. PEDIGREE MATRIX'!$C$4, IF(M144=3, '6. PEDIGREE MATRIX'!$D$4, IF(M144=4, '6. PEDIGREE MATRIX'!$E$4, IF(M144=5, '6. PEDIGREE MATRIX'!$F$4)))))</f>
        <v>1.0935646911485417</v>
      </c>
      <c r="S144" s="58">
        <f>IF(N144=1, '6. PEDIGREE MATRIX'!$B$6, IF(N144=2, '6. PEDIGREE MATRIX'!$C$6, IF(N144=3, '6. PEDIGREE MATRIX'!$D$6, IF(N144=4, '6. PEDIGREE MATRIX'!$E$6, IF(N144=5, '6. PEDIGREE MATRIX'!$F$6)))))</f>
        <v>1.0457364348384068</v>
      </c>
      <c r="T144" s="58">
        <f>IF(O144=1, '6. PEDIGREE MATRIX'!$B$8, IF(O144=2, '6. PEDIGREE MATRIX'!$C$8, IF(O144=3, '6. PEDIGREE MATRIX'!$D$8, IF(O144=4, '6. PEDIGREE MATRIX'!$E$8, IF(O144=5, '6. PEDIGREE MATRIX'!$F$8)))))</f>
        <v>1</v>
      </c>
      <c r="U144" s="58">
        <f>IF(P144=1, '6. PEDIGREE MATRIX'!$B$10, IF(P144=2, '6. PEDIGREE MATRIX'!$C$10, IF(P144=3, '6. PEDIGREE MATRIX'!$D$10, IF(P144=4, '6. PEDIGREE MATRIX'!$E$10, IF(P144=5, '6. PEDIGREE MATRIX'!$F$10)))))</f>
        <v>1.0100501670841679</v>
      </c>
      <c r="V144" s="58">
        <f>IF(Q144=1, '6. PEDIGREE MATRIX'!$B$12, IF(Q144=2, '6. PEDIGREE MATRIX'!$C$12, IF(Q144=3, '6. PEDIGREE MATRIX'!$D$12, IF(Q144=4, '6. PEDIGREE MATRIX'!$E$12, IF(Q144=5, '6. PEDIGREE MATRIX'!$F$12)))))</f>
        <v>1.0247973619913604</v>
      </c>
      <c r="W144" s="58">
        <v>5.9999999999999995E-4</v>
      </c>
      <c r="X144" s="63">
        <f>EXP(SQRT(W144))</f>
        <v>1.0247973619913604</v>
      </c>
    </row>
    <row r="145" spans="1:24" x14ac:dyDescent="0.3">
      <c r="A145" s="449" t="s">
        <v>699</v>
      </c>
      <c r="B145" s="297">
        <f>'16. THERMAL PROC.'!$D$9</f>
        <v>1.3576610819625769E-2</v>
      </c>
      <c r="C145" s="3" t="s">
        <v>153</v>
      </c>
      <c r="D145" s="3" t="s">
        <v>385</v>
      </c>
      <c r="E145" s="58" t="s">
        <v>456</v>
      </c>
      <c r="F145" s="3" t="s">
        <v>371</v>
      </c>
      <c r="G145" s="3" t="s">
        <v>346</v>
      </c>
      <c r="H145" s="3" t="s">
        <v>154</v>
      </c>
      <c r="I145" s="58">
        <v>2</v>
      </c>
      <c r="J145" s="58">
        <f t="shared" si="48"/>
        <v>-4.299406759455854</v>
      </c>
      <c r="K145" s="58">
        <f t="shared" si="49"/>
        <v>0.32603904386951327</v>
      </c>
      <c r="L145" s="90">
        <f t="shared" si="50"/>
        <v>1.1121570947719619</v>
      </c>
      <c r="M145" s="58">
        <v>4</v>
      </c>
      <c r="N145" s="58">
        <v>4</v>
      </c>
      <c r="O145" s="58">
        <v>1</v>
      </c>
      <c r="P145" s="58">
        <v>3</v>
      </c>
      <c r="Q145" s="58">
        <v>2</v>
      </c>
      <c r="R145" s="58">
        <f>IF(M145=1, '6. PEDIGREE MATRIX'!$B$4, IF(M145=2, '6. PEDIGREE MATRIX'!$C$4, IF(M145=3, '6. PEDIGREE MATRIX'!$D$4, IF(M145=4, '6. PEDIGREE MATRIX'!$E$4, IF(M145=5, '6. PEDIGREE MATRIX'!$F$4)))))</f>
        <v>1.0935646911485417</v>
      </c>
      <c r="S145" s="58">
        <f>IF(N145=1, '6. PEDIGREE MATRIX'!$B$6, IF(N145=2, '6. PEDIGREE MATRIX'!$C$6, IF(N145=3, '6. PEDIGREE MATRIX'!$D$6, IF(N145=4, '6. PEDIGREE MATRIX'!$E$6, IF(N145=5, '6. PEDIGREE MATRIX'!$F$6)))))</f>
        <v>1.0457364348384068</v>
      </c>
      <c r="T145" s="58">
        <f>IF(O145=1, '6. PEDIGREE MATRIX'!$B$8, IF(O145=2, '6. PEDIGREE MATRIX'!$C$8, IF(O145=3, '6. PEDIGREE MATRIX'!$D$8, IF(O145=4, '6. PEDIGREE MATRIX'!$E$8, IF(O145=5, '6. PEDIGREE MATRIX'!$F$8)))))</f>
        <v>1</v>
      </c>
      <c r="U145" s="58">
        <f>IF(P145=1, '6. PEDIGREE MATRIX'!$B$10, IF(P145=2, '6. PEDIGREE MATRIX'!$C$10, IF(P145=3, '6. PEDIGREE MATRIX'!$D$10, IF(P145=4, '6. PEDIGREE MATRIX'!$E$10, IF(P145=5, '6. PEDIGREE MATRIX'!$F$10)))))</f>
        <v>1.0100501670841679</v>
      </c>
      <c r="V145" s="58">
        <f>IF(Q145=1, '6. PEDIGREE MATRIX'!$B$12, IF(Q145=2, '6. PEDIGREE MATRIX'!$C$12, IF(Q145=3, '6. PEDIGREE MATRIX'!$D$12, IF(Q145=4, '6. PEDIGREE MATRIX'!$E$12, IF(Q145=5, '6. PEDIGREE MATRIX'!$F$12)))))</f>
        <v>1.0247973619913604</v>
      </c>
      <c r="W145" s="58">
        <v>5.9999999999999995E-4</v>
      </c>
      <c r="X145" s="63">
        <f>EXP(SQRT(W145))</f>
        <v>1.0247973619913604</v>
      </c>
    </row>
    <row r="146" spans="1:24" x14ac:dyDescent="0.3">
      <c r="A146" s="112" t="s">
        <v>1956</v>
      </c>
      <c r="B146" s="297">
        <f>'24. WAFER FAB'!$D$89</f>
        <v>-5.0084447323936042E-4</v>
      </c>
      <c r="C146" s="112" t="s">
        <v>521</v>
      </c>
      <c r="D146" s="244" t="s">
        <v>385</v>
      </c>
      <c r="E146" s="522" t="s">
        <v>1957</v>
      </c>
      <c r="F146" s="244" t="s">
        <v>371</v>
      </c>
      <c r="G146" s="244" t="s">
        <v>429</v>
      </c>
      <c r="H146" s="244" t="s">
        <v>154</v>
      </c>
      <c r="I146" s="522">
        <v>2</v>
      </c>
      <c r="J146" s="797">
        <f t="shared" si="48"/>
        <v>-7.5992149377295677</v>
      </c>
      <c r="K146" s="797" t="str">
        <f t="shared" si="49"/>
        <v>(Unknown)</v>
      </c>
      <c r="L146" s="845" t="str">
        <f t="shared" si="50"/>
        <v>(Unknown)</v>
      </c>
      <c r="M146" s="522">
        <v>4</v>
      </c>
      <c r="N146" s="522">
        <v>4</v>
      </c>
      <c r="O146" s="522">
        <v>1</v>
      </c>
      <c r="P146" s="522">
        <v>3</v>
      </c>
      <c r="Q146" s="522">
        <v>2</v>
      </c>
      <c r="R146" s="797">
        <f>IF(M146=1, '6. PEDIGREE MATRIX'!$B$4, IF(M146=2, '6. PEDIGREE MATRIX'!$C$4, IF(M146=3, '6. PEDIGREE MATRIX'!$D$4, IF(M146=4, '6. PEDIGREE MATRIX'!$E$4, IF(M146=5, '6. PEDIGREE MATRIX'!$F$4)))))</f>
        <v>1.0935646911485417</v>
      </c>
      <c r="S146" s="522">
        <f>IF(N146=1, '6. PEDIGREE MATRIX'!$B$6, IF(N146=2, '6. PEDIGREE MATRIX'!$C$6, IF(N146=3, '6. PEDIGREE MATRIX'!$D$6, IF(N146=4, '6. PEDIGREE MATRIX'!$E$6, IF(N146=5, '6. PEDIGREE MATRIX'!$F$6)))))</f>
        <v>1.0457364348384068</v>
      </c>
      <c r="T146" s="797">
        <f>IF(O146=1, '6. PEDIGREE MATRIX'!$B$8, IF(O146=2, '6. PEDIGREE MATRIX'!$C$8, IF(O146=3, '6. PEDIGREE MATRIX'!$D$8, IF(O146=4, '6. PEDIGREE MATRIX'!$E$8, IF(O146=5, '6. PEDIGREE MATRIX'!$F$8)))))</f>
        <v>1</v>
      </c>
      <c r="U146" s="797">
        <f>IF(P146=1, '6. PEDIGREE MATRIX'!$B$10, IF(P146=2, '6. PEDIGREE MATRIX'!$C$10, IF(P146=3, '6. PEDIGREE MATRIX'!$D$10, IF(P146=4, '6. PEDIGREE MATRIX'!$E$10, IF(P146=5, '6. PEDIGREE MATRIX'!$F$10)))))</f>
        <v>1.0100501670841679</v>
      </c>
      <c r="V146" s="797">
        <f>IF(Q146=1, '6. PEDIGREE MATRIX'!$B$12, IF(Q146=2, '6. PEDIGREE MATRIX'!$C$12, IF(Q146=3, '6. PEDIGREE MATRIX'!$D$12, IF(Q146=4, '6. PEDIGREE MATRIX'!$E$12, IF(Q146=5, '6. PEDIGREE MATRIX'!$F$12)))))</f>
        <v>1.0247973619913604</v>
      </c>
      <c r="W146" s="522">
        <v>5.9999999999999995E-4</v>
      </c>
      <c r="X146" s="524">
        <f t="shared" ref="X146:X149" si="51">EXP(SQRT(W146))</f>
        <v>1.0247973619913604</v>
      </c>
    </row>
    <row r="147" spans="1:24" x14ac:dyDescent="0.3">
      <c r="A147" s="284" t="s">
        <v>1968</v>
      </c>
      <c r="B147" s="297">
        <f>'24. WAFER FAB'!$D$90</f>
        <v>-2.5042223661968021E-4</v>
      </c>
      <c r="C147" s="112" t="s">
        <v>521</v>
      </c>
      <c r="D147" s="244" t="s">
        <v>385</v>
      </c>
      <c r="E147" s="522" t="s">
        <v>1969</v>
      </c>
      <c r="F147" s="244" t="s">
        <v>371</v>
      </c>
      <c r="G147" s="244" t="s">
        <v>429</v>
      </c>
      <c r="H147" s="244" t="s">
        <v>154</v>
      </c>
      <c r="I147" s="522">
        <v>2</v>
      </c>
      <c r="J147" s="797">
        <f t="shared" si="48"/>
        <v>-8.2923621182895122</v>
      </c>
      <c r="K147" s="797" t="str">
        <f t="shared" si="49"/>
        <v>(Unknown)</v>
      </c>
      <c r="L147" s="845" t="str">
        <f t="shared" si="50"/>
        <v>(Unknown)</v>
      </c>
      <c r="M147" s="522">
        <v>4</v>
      </c>
      <c r="N147" s="522">
        <v>4</v>
      </c>
      <c r="O147" s="522">
        <v>1</v>
      </c>
      <c r="P147" s="522">
        <v>3</v>
      </c>
      <c r="Q147" s="522">
        <v>2</v>
      </c>
      <c r="R147" s="797">
        <f>IF(M147=1, '6. PEDIGREE MATRIX'!$B$4, IF(M147=2, '6. PEDIGREE MATRIX'!$C$4, IF(M147=3, '6. PEDIGREE MATRIX'!$D$4, IF(M147=4, '6. PEDIGREE MATRIX'!$E$4, IF(M147=5, '6. PEDIGREE MATRIX'!$F$4)))))</f>
        <v>1.0935646911485417</v>
      </c>
      <c r="S147" s="522">
        <f>IF(N147=1, '6. PEDIGREE MATRIX'!$B$6, IF(N147=2, '6. PEDIGREE MATRIX'!$C$6, IF(N147=3, '6. PEDIGREE MATRIX'!$D$6, IF(N147=4, '6. PEDIGREE MATRIX'!$E$6, IF(N147=5, '6. PEDIGREE MATRIX'!$F$6)))))</f>
        <v>1.0457364348384068</v>
      </c>
      <c r="T147" s="797">
        <f>IF(O147=1, '6. PEDIGREE MATRIX'!$B$8, IF(O147=2, '6. PEDIGREE MATRIX'!$C$8, IF(O147=3, '6. PEDIGREE MATRIX'!$D$8, IF(O147=4, '6. PEDIGREE MATRIX'!$E$8, IF(O147=5, '6. PEDIGREE MATRIX'!$F$8)))))</f>
        <v>1</v>
      </c>
      <c r="U147" s="797">
        <f>IF(P147=1, '6. PEDIGREE MATRIX'!$B$10, IF(P147=2, '6. PEDIGREE MATRIX'!$C$10, IF(P147=3, '6. PEDIGREE MATRIX'!$D$10, IF(P147=4, '6. PEDIGREE MATRIX'!$E$10, IF(P147=5, '6. PEDIGREE MATRIX'!$F$10)))))</f>
        <v>1.0100501670841679</v>
      </c>
      <c r="V147" s="797">
        <f>IF(Q147=1, '6. PEDIGREE MATRIX'!$B$12, IF(Q147=2, '6. PEDIGREE MATRIX'!$C$12, IF(Q147=3, '6. PEDIGREE MATRIX'!$D$12, IF(Q147=4, '6. PEDIGREE MATRIX'!$E$12, IF(Q147=5, '6. PEDIGREE MATRIX'!$F$12)))))</f>
        <v>1.0247973619913604</v>
      </c>
      <c r="W147" s="522">
        <v>5.9999999999999995E-4</v>
      </c>
      <c r="X147" s="524">
        <f t="shared" si="51"/>
        <v>1.0247973619913604</v>
      </c>
    </row>
    <row r="148" spans="1:24" x14ac:dyDescent="0.3">
      <c r="A148" s="515" t="s">
        <v>816</v>
      </c>
      <c r="B148" s="297">
        <f>'24. WAFER FAB'!$D$91</f>
        <v>1.0060579010798937E-3</v>
      </c>
      <c r="C148" s="43" t="s">
        <v>153</v>
      </c>
      <c r="D148" s="516" t="s">
        <v>515</v>
      </c>
      <c r="E148" s="517" t="s">
        <v>371</v>
      </c>
      <c r="F148" s="518" t="s">
        <v>516</v>
      </c>
      <c r="G148" s="516" t="s">
        <v>371</v>
      </c>
      <c r="H148" s="516" t="s">
        <v>514</v>
      </c>
      <c r="I148" s="517">
        <v>2</v>
      </c>
      <c r="J148" s="517">
        <f t="shared" si="48"/>
        <v>-6.9017156532154367</v>
      </c>
      <c r="K148" s="517">
        <f t="shared" si="49"/>
        <v>0.32603904386951327</v>
      </c>
      <c r="L148" s="517">
        <f t="shared" si="50"/>
        <v>1.1121570947719619</v>
      </c>
      <c r="M148" s="517">
        <v>4</v>
      </c>
      <c r="N148" s="517">
        <v>4</v>
      </c>
      <c r="O148" s="517">
        <v>1</v>
      </c>
      <c r="P148" s="517">
        <v>3</v>
      </c>
      <c r="Q148" s="517">
        <v>2</v>
      </c>
      <c r="R148" s="517">
        <f>IF(M148=1, '6. PEDIGREE MATRIX'!$B$4, IF(M148=2, '6. PEDIGREE MATRIX'!$C$4, IF(M148=3, '6. PEDIGREE MATRIX'!$D$4, IF(M148=4, '6. PEDIGREE MATRIX'!$E$4, IF(M148=5, '6. PEDIGREE MATRIX'!$F$4)))))</f>
        <v>1.0935646911485417</v>
      </c>
      <c r="S148" s="517">
        <f>IF(N148=1, '6. PEDIGREE MATRIX'!$B$6, IF(N148=2, '6. PEDIGREE MATRIX'!$C$6, IF(N148=3, '6. PEDIGREE MATRIX'!$D$6, IF(N148=4, '6. PEDIGREE MATRIX'!$E$6, IF(N148=5, '6. PEDIGREE MATRIX'!$F$6)))))</f>
        <v>1.0457364348384068</v>
      </c>
      <c r="T148" s="517">
        <f>IF(O148=1, '6. PEDIGREE MATRIX'!$B$8, IF(O148=2, '6. PEDIGREE MATRIX'!$C$8, IF(O148=3, '6. PEDIGREE MATRIX'!$D$8, IF(O148=4, '6. PEDIGREE MATRIX'!$E$8, IF(O148=5, '6. PEDIGREE MATRIX'!$F$8)))))</f>
        <v>1</v>
      </c>
      <c r="U148" s="517">
        <f>IF(P148=1, '6. PEDIGREE MATRIX'!$B$10, IF(P148=2, '6. PEDIGREE MATRIX'!$C$10, IF(P148=3, '6. PEDIGREE MATRIX'!$D$10, IF(P148=4, '6. PEDIGREE MATRIX'!$E$10, IF(P148=5, '6. PEDIGREE MATRIX'!$F$10)))))</f>
        <v>1.0100501670841679</v>
      </c>
      <c r="V148" s="517">
        <f>IF(Q148=1, '6. PEDIGREE MATRIX'!$B$12, IF(Q148=2, '6. PEDIGREE MATRIX'!$C$12, IF(Q148=3, '6. PEDIGREE MATRIX'!$D$12, IF(Q148=4, '6. PEDIGREE MATRIX'!$E$12, IF(Q148=5, '6. PEDIGREE MATRIX'!$F$12)))))</f>
        <v>1.0247973619913604</v>
      </c>
      <c r="W148" s="517">
        <v>5.9999999999999995E-4</v>
      </c>
      <c r="X148" s="520">
        <f t="shared" si="51"/>
        <v>1.0247973619913604</v>
      </c>
    </row>
    <row r="149" spans="1:24" x14ac:dyDescent="0.3">
      <c r="A149" s="43" t="s">
        <v>1947</v>
      </c>
      <c r="B149" s="297">
        <f>'24. WAFER FAB'!$D$92</f>
        <v>6.7883054098128912E-4</v>
      </c>
      <c r="C149" s="43" t="s">
        <v>153</v>
      </c>
      <c r="D149" s="516" t="s">
        <v>515</v>
      </c>
      <c r="E149" s="517" t="s">
        <v>371</v>
      </c>
      <c r="F149" s="518" t="s">
        <v>516</v>
      </c>
      <c r="G149" s="516" t="s">
        <v>371</v>
      </c>
      <c r="H149" s="516" t="s">
        <v>514</v>
      </c>
      <c r="I149" s="517">
        <v>2</v>
      </c>
      <c r="J149" s="517">
        <f t="shared" si="48"/>
        <v>-7.2951390330098445</v>
      </c>
      <c r="K149" s="517">
        <f t="shared" si="49"/>
        <v>0.32603904386951327</v>
      </c>
      <c r="L149" s="517">
        <f t="shared" si="50"/>
        <v>1.1121570947719619</v>
      </c>
      <c r="M149" s="517">
        <v>4</v>
      </c>
      <c r="N149" s="517">
        <v>4</v>
      </c>
      <c r="O149" s="517">
        <v>1</v>
      </c>
      <c r="P149" s="517">
        <v>3</v>
      </c>
      <c r="Q149" s="517">
        <v>2</v>
      </c>
      <c r="R149" s="517">
        <f>IF(M149=1, '6. PEDIGREE MATRIX'!$B$4, IF(M149=2, '6. PEDIGREE MATRIX'!$C$4, IF(M149=3, '6. PEDIGREE MATRIX'!$D$4, IF(M149=4, '6. PEDIGREE MATRIX'!$E$4, IF(M149=5, '6. PEDIGREE MATRIX'!$F$4)))))</f>
        <v>1.0935646911485417</v>
      </c>
      <c r="S149" s="517">
        <f>IF(N149=1, '6. PEDIGREE MATRIX'!$B$6, IF(N149=2, '6. PEDIGREE MATRIX'!$C$6, IF(N149=3, '6. PEDIGREE MATRIX'!$D$6, IF(N149=4, '6. PEDIGREE MATRIX'!$E$6, IF(N149=5, '6. PEDIGREE MATRIX'!$F$6)))))</f>
        <v>1.0457364348384068</v>
      </c>
      <c r="T149" s="517">
        <f>IF(O149=1, '6. PEDIGREE MATRIX'!$B$8, IF(O149=2, '6. PEDIGREE MATRIX'!$C$8, IF(O149=3, '6. PEDIGREE MATRIX'!$D$8, IF(O149=4, '6. PEDIGREE MATRIX'!$E$8, IF(O149=5, '6. PEDIGREE MATRIX'!$F$8)))))</f>
        <v>1</v>
      </c>
      <c r="U149" s="517">
        <f>IF(P149=1, '6. PEDIGREE MATRIX'!$B$10, IF(P149=2, '6. PEDIGREE MATRIX'!$C$10, IF(P149=3, '6. PEDIGREE MATRIX'!$D$10, IF(P149=4, '6. PEDIGREE MATRIX'!$E$10, IF(P149=5, '6. PEDIGREE MATRIX'!$F$10)))))</f>
        <v>1.0100501670841679</v>
      </c>
      <c r="V149" s="517">
        <f>IF(Q149=1, '6. PEDIGREE MATRIX'!$B$12, IF(Q149=2, '6. PEDIGREE MATRIX'!$C$12, IF(Q149=3, '6. PEDIGREE MATRIX'!$D$12, IF(Q149=4, '6. PEDIGREE MATRIX'!$E$12, IF(Q149=5, '6. PEDIGREE MATRIX'!$F$12)))))</f>
        <v>1.0247973619913604</v>
      </c>
      <c r="W149" s="517">
        <v>5.9999999999999995E-4</v>
      </c>
      <c r="X149" s="520">
        <f t="shared" si="51"/>
        <v>1.0247973619913604</v>
      </c>
    </row>
    <row r="150" spans="1:24" ht="15" thickBot="1" x14ac:dyDescent="0.35">
      <c r="A150" s="70" t="str">
        <f>B133</f>
        <v>THERMAL PROCESSES</v>
      </c>
      <c r="B150" s="71">
        <v>1</v>
      </c>
      <c r="C150" s="72" t="s">
        <v>224</v>
      </c>
      <c r="D150" s="72" t="str">
        <f>$B$1</f>
        <v>IGBT LCI dtb</v>
      </c>
      <c r="E150" s="71" t="str">
        <f>B137</f>
        <v>Processed cm² of Si IGBT good die</v>
      </c>
      <c r="F150" s="72" t="s">
        <v>371</v>
      </c>
      <c r="G150" s="72" t="s">
        <v>156</v>
      </c>
      <c r="H150" s="72" t="s">
        <v>383</v>
      </c>
      <c r="I150" s="71">
        <v>0</v>
      </c>
      <c r="J150" s="71" t="s">
        <v>371</v>
      </c>
      <c r="K150" s="71" t="s">
        <v>371</v>
      </c>
      <c r="L150" s="91" t="s">
        <v>371</v>
      </c>
      <c r="M150" s="71">
        <v>0</v>
      </c>
      <c r="N150" s="71">
        <v>0</v>
      </c>
      <c r="O150" s="71">
        <v>0</v>
      </c>
      <c r="P150" s="71">
        <v>0</v>
      </c>
      <c r="Q150" s="71">
        <v>0</v>
      </c>
      <c r="R150" s="71">
        <v>0</v>
      </c>
      <c r="S150" s="71">
        <v>0</v>
      </c>
      <c r="T150" s="71">
        <v>0</v>
      </c>
      <c r="U150" s="71">
        <v>0</v>
      </c>
      <c r="V150" s="71">
        <v>0</v>
      </c>
      <c r="W150" s="71">
        <v>0</v>
      </c>
      <c r="X150" s="92">
        <v>0</v>
      </c>
    </row>
    <row r="152" spans="1:24" ht="15" thickBot="1" x14ac:dyDescent="0.35"/>
    <row r="153" spans="1:24" s="14" customFormat="1" ht="30" customHeight="1" thickBot="1" x14ac:dyDescent="0.35">
      <c r="A153" s="178" t="s">
        <v>326</v>
      </c>
      <c r="B153" s="179" t="s">
        <v>349</v>
      </c>
      <c r="C153" s="180"/>
      <c r="D153" s="180"/>
      <c r="E153" s="181"/>
      <c r="F153" s="180"/>
      <c r="G153" s="180"/>
      <c r="H153" s="180"/>
      <c r="I153" s="181"/>
      <c r="J153" s="181"/>
      <c r="K153" s="181"/>
      <c r="L153" s="181"/>
      <c r="M153" s="181"/>
      <c r="N153" s="181"/>
      <c r="O153" s="181"/>
      <c r="P153" s="181"/>
      <c r="Q153" s="181"/>
      <c r="R153" s="181"/>
      <c r="S153" s="181"/>
      <c r="T153" s="181"/>
      <c r="U153" s="181"/>
      <c r="V153" s="181"/>
      <c r="W153" s="181"/>
      <c r="X153" s="182"/>
    </row>
    <row r="154" spans="1:24" x14ac:dyDescent="0.3">
      <c r="A154" s="54" t="s">
        <v>163</v>
      </c>
      <c r="B154" s="56" t="s">
        <v>371</v>
      </c>
      <c r="C154" s="56"/>
      <c r="D154" s="56"/>
      <c r="E154" s="61"/>
      <c r="F154" s="56"/>
      <c r="G154" s="56"/>
      <c r="H154" s="56"/>
      <c r="I154" s="61"/>
      <c r="J154" s="61"/>
      <c r="K154" s="61"/>
      <c r="L154" s="61"/>
      <c r="M154" s="61"/>
      <c r="N154" s="61"/>
      <c r="O154" s="61"/>
      <c r="P154" s="61"/>
      <c r="Q154" s="61"/>
      <c r="R154" s="61"/>
      <c r="S154" s="61"/>
      <c r="T154" s="61"/>
      <c r="U154" s="61"/>
      <c r="V154" s="61"/>
      <c r="W154" s="61"/>
      <c r="X154" s="62"/>
    </row>
    <row r="155" spans="1:24" x14ac:dyDescent="0.3">
      <c r="A155" s="54" t="s">
        <v>227</v>
      </c>
      <c r="B155" s="56" t="s">
        <v>156</v>
      </c>
      <c r="C155" s="56"/>
      <c r="D155" s="56"/>
      <c r="E155" s="61"/>
      <c r="F155" s="56"/>
      <c r="G155" s="56"/>
      <c r="H155" s="56"/>
      <c r="I155" s="61"/>
      <c r="J155" s="61"/>
      <c r="K155" s="61"/>
      <c r="L155" s="61"/>
      <c r="M155" s="61"/>
      <c r="N155" s="61"/>
      <c r="O155" s="61"/>
      <c r="P155" s="61"/>
      <c r="Q155" s="61"/>
      <c r="R155" s="61"/>
      <c r="S155" s="61"/>
      <c r="T155" s="61"/>
      <c r="U155" s="61"/>
      <c r="V155" s="61"/>
      <c r="W155" s="61"/>
      <c r="X155" s="62"/>
    </row>
    <row r="156" spans="1:24" x14ac:dyDescent="0.3">
      <c r="A156" s="54" t="s">
        <v>428</v>
      </c>
      <c r="B156" s="61">
        <v>1</v>
      </c>
      <c r="C156" s="56"/>
      <c r="D156" s="56"/>
      <c r="E156" s="61"/>
      <c r="F156" s="56"/>
      <c r="G156" s="56"/>
      <c r="H156" s="56"/>
      <c r="I156" s="61"/>
      <c r="J156" s="61"/>
      <c r="K156" s="61"/>
      <c r="L156" s="61"/>
      <c r="M156" s="61"/>
      <c r="N156" s="61"/>
      <c r="O156" s="61"/>
      <c r="P156" s="61"/>
      <c r="Q156" s="61"/>
      <c r="R156" s="61"/>
      <c r="S156" s="61"/>
      <c r="T156" s="61"/>
      <c r="U156" s="61"/>
      <c r="V156" s="61"/>
      <c r="W156" s="61"/>
      <c r="X156" s="62"/>
    </row>
    <row r="157" spans="1:24" x14ac:dyDescent="0.3">
      <c r="A157" s="54" t="s">
        <v>147</v>
      </c>
      <c r="B157" s="56" t="s">
        <v>717</v>
      </c>
      <c r="C157" s="56"/>
      <c r="D157" s="56"/>
      <c r="E157" s="61"/>
      <c r="F157" s="56"/>
      <c r="G157" s="56"/>
      <c r="H157" s="56"/>
      <c r="I157" s="61"/>
      <c r="J157" s="61"/>
      <c r="K157" s="61"/>
      <c r="L157" s="61"/>
      <c r="M157" s="61"/>
      <c r="N157" s="61"/>
      <c r="O157" s="61"/>
      <c r="P157" s="61"/>
      <c r="Q157" s="61"/>
      <c r="R157" s="61"/>
      <c r="S157" s="61"/>
      <c r="T157" s="61"/>
      <c r="U157" s="61"/>
      <c r="V157" s="61"/>
      <c r="W157" s="61"/>
      <c r="X157" s="62"/>
    </row>
    <row r="158" spans="1:24" x14ac:dyDescent="0.3">
      <c r="A158" s="54" t="s">
        <v>327</v>
      </c>
      <c r="B158" s="61" t="s">
        <v>134</v>
      </c>
      <c r="C158" s="56"/>
      <c r="D158" s="56"/>
      <c r="E158" s="61"/>
      <c r="F158" s="56"/>
      <c r="G158" s="56"/>
      <c r="H158" s="56"/>
      <c r="I158" s="61"/>
      <c r="J158" s="61"/>
      <c r="K158" s="61"/>
      <c r="L158" s="61"/>
      <c r="M158" s="61"/>
      <c r="N158" s="61"/>
      <c r="O158" s="61"/>
      <c r="P158" s="61"/>
      <c r="Q158" s="61"/>
      <c r="R158" s="61"/>
      <c r="S158" s="61"/>
      <c r="T158" s="61"/>
      <c r="U158" s="61"/>
      <c r="V158" s="61"/>
      <c r="W158" s="61"/>
      <c r="X158" s="62"/>
    </row>
    <row r="159" spans="1:24" x14ac:dyDescent="0.3">
      <c r="A159" s="54" t="s">
        <v>224</v>
      </c>
      <c r="B159" s="56" t="s">
        <v>224</v>
      </c>
      <c r="C159" s="56"/>
      <c r="D159" s="56"/>
      <c r="E159" s="61"/>
      <c r="F159" s="56"/>
      <c r="G159" s="56"/>
      <c r="H159" s="56"/>
      <c r="I159" s="61"/>
      <c r="J159" s="61"/>
      <c r="K159" s="61"/>
      <c r="L159" s="61"/>
      <c r="M159" s="61"/>
      <c r="N159" s="61"/>
      <c r="O159" s="61"/>
      <c r="P159" s="61"/>
      <c r="Q159" s="61"/>
      <c r="R159" s="61"/>
      <c r="S159" s="61"/>
      <c r="T159" s="61"/>
      <c r="U159" s="61"/>
      <c r="V159" s="61"/>
      <c r="W159" s="61"/>
      <c r="X159" s="62"/>
    </row>
    <row r="160" spans="1:24" ht="15.6" x14ac:dyDescent="0.3">
      <c r="A160" s="55" t="s">
        <v>328</v>
      </c>
      <c r="B160" s="61"/>
      <c r="C160" s="56"/>
      <c r="D160" s="56"/>
      <c r="E160" s="61"/>
      <c r="F160" s="56"/>
      <c r="G160" s="56"/>
      <c r="H160" s="56"/>
      <c r="I160" s="61"/>
      <c r="J160" s="61"/>
      <c r="K160" s="61"/>
      <c r="L160" s="61"/>
      <c r="M160" s="61"/>
      <c r="N160" s="61"/>
      <c r="O160" s="61"/>
      <c r="P160" s="61"/>
      <c r="Q160" s="61"/>
      <c r="R160" s="61"/>
      <c r="S160" s="61"/>
      <c r="T160" s="61"/>
      <c r="U160" s="61"/>
      <c r="V160" s="61"/>
      <c r="W160" s="61"/>
      <c r="X160" s="62"/>
    </row>
    <row r="161" spans="1:24" x14ac:dyDescent="0.3">
      <c r="A161" s="54" t="s">
        <v>329</v>
      </c>
      <c r="B161" s="61" t="s">
        <v>330</v>
      </c>
      <c r="C161" s="56" t="s">
        <v>224</v>
      </c>
      <c r="D161" s="56" t="s">
        <v>331</v>
      </c>
      <c r="E161" s="61" t="s">
        <v>147</v>
      </c>
      <c r="F161" s="56" t="s">
        <v>332</v>
      </c>
      <c r="G161" s="56" t="s">
        <v>227</v>
      </c>
      <c r="H161" s="56" t="s">
        <v>327</v>
      </c>
      <c r="I161" s="61" t="s">
        <v>372</v>
      </c>
      <c r="J161" s="61" t="s">
        <v>373</v>
      </c>
      <c r="K161" s="61" t="s">
        <v>374</v>
      </c>
      <c r="L161" s="61" t="s">
        <v>148</v>
      </c>
      <c r="M161" s="61" t="s">
        <v>585</v>
      </c>
      <c r="N161" s="61" t="s">
        <v>586</v>
      </c>
      <c r="O161" s="61" t="s">
        <v>587</v>
      </c>
      <c r="P161" s="61" t="s">
        <v>220</v>
      </c>
      <c r="Q161" s="61" t="s">
        <v>588</v>
      </c>
      <c r="R161" s="61" t="s">
        <v>590</v>
      </c>
      <c r="S161" s="61" t="s">
        <v>591</v>
      </c>
      <c r="T161" s="61" t="s">
        <v>592</v>
      </c>
      <c r="U161" s="61" t="s">
        <v>593</v>
      </c>
      <c r="V161" s="61" t="s">
        <v>594</v>
      </c>
      <c r="W161" s="61" t="s">
        <v>595</v>
      </c>
      <c r="X161" s="62" t="s">
        <v>589</v>
      </c>
    </row>
    <row r="162" spans="1:24" x14ac:dyDescent="0.3">
      <c r="A162" s="285" t="str">
        <f>IF($G$162='4. INPUTS LIST'!$B$3,'4. INPUTS LIST'!$C$3, IF($G$162='4. INPUTS LIST'!$B$4,'4. INPUTS LIST'!$C$4, IF($G$162='4. INPUTS LIST'!$B$5,'4. INPUTS LIST'!$C$5, IF($G$162='4. INPUTS LIST'!$B$6,'4. INPUTS LIST'!$C$6, IF($G$162='4. INPUTS LIST'!$B$7,'4. INPUTS LIST'!$C$7, IF($G$162='4. INPUTS LIST'!$B$8,'4. INPUTS LIST'!$C$8, IF($G$162='4. INPUTS LIST'!$B$9,'4. INPUTS LIST'!$C$9, IF($G$162='4. INPUTS LIST'!$B$10,'4. INPUTS LIST'!$C$10, IF($G$162='4. INPUTS LIST'!$B$11,'4. INPUTS LIST'!$C$11, IF($G$162='4. INPUTS LIST'!$B$12,'4. INPUTS LIST'!$C$12))))))))))</f>
        <v>market for electricity, medium voltage</v>
      </c>
      <c r="B162" s="297">
        <f>'17. IMPLANT'!$D$6</f>
        <v>0.10378030258352013</v>
      </c>
      <c r="C162" s="3" t="s">
        <v>342</v>
      </c>
      <c r="D162" s="3" t="s">
        <v>385</v>
      </c>
      <c r="E162" s="58" t="str">
        <f>IF($A$162='4. INPUTS LIST'!$C$3,'4. INPUTS LIST'!$D$3, IF($A$162='4. INPUTS LIST'!$C$7, '4. INPUTS LIST'!$D$7, IF($A$162='4. INPUTS LIST'!$C$12,'4. INPUTS LIST'!$D$12)))</f>
        <v>electricity, medium voltage</v>
      </c>
      <c r="F162" s="3" t="s">
        <v>371</v>
      </c>
      <c r="G162" s="3" t="str">
        <f>'1. USER INPUTS'!$E$24</f>
        <v>JP</v>
      </c>
      <c r="H162" s="3" t="s">
        <v>154</v>
      </c>
      <c r="I162" s="58">
        <v>2</v>
      </c>
      <c r="J162" s="58">
        <f>IF(B162=0,"(Unknown)",LN((ABS(B162))))</f>
        <v>-2.2654790894222021</v>
      </c>
      <c r="K162" s="58">
        <f>IF(B162&gt;0,SQRT(LN(L162)),"(Unknown)")</f>
        <v>0.32603904386951327</v>
      </c>
      <c r="L162" s="90">
        <f>IF(B162&gt;0,(EXP(SQRT((LN(X162))^2+(LN(R162))^2+(LN(S162))^2+(LN(T162))^2+(LN(U162))^2+(LN(V162))^2))),"(Unknown)")</f>
        <v>1.1121570947719619</v>
      </c>
      <c r="M162" s="58">
        <v>4</v>
      </c>
      <c r="N162" s="58">
        <v>4</v>
      </c>
      <c r="O162" s="58">
        <v>1</v>
      </c>
      <c r="P162" s="58">
        <v>3</v>
      </c>
      <c r="Q162" s="58">
        <v>2</v>
      </c>
      <c r="R162" s="58">
        <f>IF(M162=1, '6. PEDIGREE MATRIX'!$B$4, IF(M162=2, '6. PEDIGREE MATRIX'!$C$4, IF(M162=3, '6. PEDIGREE MATRIX'!$D$4, IF(M162=4, '6. PEDIGREE MATRIX'!$E$4, IF(M162=5, '6. PEDIGREE MATRIX'!$F$4)))))</f>
        <v>1.0935646911485417</v>
      </c>
      <c r="S162" s="58">
        <f>IF(N162=1, '6. PEDIGREE MATRIX'!$B$6, IF(N162=2, '6. PEDIGREE MATRIX'!$C$6, IF(N162=3, '6. PEDIGREE MATRIX'!$D$6, IF(N162=4, '6. PEDIGREE MATRIX'!$E$6, IF(N162=5, '6. PEDIGREE MATRIX'!$F$6)))))</f>
        <v>1.0457364348384068</v>
      </c>
      <c r="T162" s="58">
        <f>IF(O162=1, '6. PEDIGREE MATRIX'!$B$8, IF(O162=2, '6. PEDIGREE MATRIX'!$C$8, IF(O162=3, '6. PEDIGREE MATRIX'!$D$8, IF(O162=4, '6. PEDIGREE MATRIX'!$E$8, IF(O162=5, '6. PEDIGREE MATRIX'!$F$8)))))</f>
        <v>1</v>
      </c>
      <c r="U162" s="58">
        <f>IF(P162=1, '6. PEDIGREE MATRIX'!$B$10, IF(P162=2, '6. PEDIGREE MATRIX'!$C$10, IF(P162=3, '6. PEDIGREE MATRIX'!$D$10, IF(P162=4, '6. PEDIGREE MATRIX'!$E$10, IF(P162=5, '6. PEDIGREE MATRIX'!$F$10)))))</f>
        <v>1.0100501670841679</v>
      </c>
      <c r="V162" s="58">
        <f>IF(Q162=1, '6. PEDIGREE MATRIX'!$B$12, IF(Q162=2, '6. PEDIGREE MATRIX'!$C$12, IF(Q162=3, '6. PEDIGREE MATRIX'!$D$12, IF(Q162=4, '6. PEDIGREE MATRIX'!$E$12, IF(Q162=5, '6. PEDIGREE MATRIX'!$F$12)))))</f>
        <v>1.0247973619913604</v>
      </c>
      <c r="W162" s="58">
        <v>5.9999999999999995E-4</v>
      </c>
      <c r="X162" s="63">
        <f>EXP(SQRT(W162))</f>
        <v>1.0247973619913604</v>
      </c>
    </row>
    <row r="163" spans="1:24" x14ac:dyDescent="0.3">
      <c r="A163" s="287" t="s">
        <v>379</v>
      </c>
      <c r="B163" s="297">
        <f>'17. IMPLANT'!$D$7</f>
        <v>3.5573634537828521E-4</v>
      </c>
      <c r="C163" s="3" t="s">
        <v>153</v>
      </c>
      <c r="D163" s="3" t="s">
        <v>385</v>
      </c>
      <c r="E163" s="58" t="s">
        <v>401</v>
      </c>
      <c r="F163" s="3" t="s">
        <v>371</v>
      </c>
      <c r="G163" s="3" t="s">
        <v>346</v>
      </c>
      <c r="H163" s="3" t="s">
        <v>154</v>
      </c>
      <c r="I163" s="58">
        <v>2</v>
      </c>
      <c r="J163" s="58">
        <f t="shared" ref="J163:J168" si="52">IF(B163=0,"(Unknown)",LN((ABS(B163))))</f>
        <v>-7.9413207043640153</v>
      </c>
      <c r="K163" s="58">
        <f t="shared" ref="K163:K168" si="53">IF(B163&gt;0,SQRT(LN(L163)),"(Unknown)")</f>
        <v>0.32603904386951327</v>
      </c>
      <c r="L163" s="90">
        <f t="shared" ref="L163:L168" si="54">IF(B163&gt;0,(EXP(SQRT((LN(X163))^2+(LN(R163))^2+(LN(S163))^2+(LN(T163))^2+(LN(U163))^2+(LN(V163))^2))),"(Unknown)")</f>
        <v>1.1121570947719619</v>
      </c>
      <c r="M163" s="58">
        <v>4</v>
      </c>
      <c r="N163" s="58">
        <v>4</v>
      </c>
      <c r="O163" s="58">
        <v>1</v>
      </c>
      <c r="P163" s="58">
        <v>3</v>
      </c>
      <c r="Q163" s="58">
        <v>2</v>
      </c>
      <c r="R163" s="58">
        <f>IF(M163=1, '6. PEDIGREE MATRIX'!$B$4, IF(M163=2, '6. PEDIGREE MATRIX'!$C$4, IF(M163=3, '6. PEDIGREE MATRIX'!$D$4, IF(M163=4, '6. PEDIGREE MATRIX'!$E$4, IF(M163=5, '6. PEDIGREE MATRIX'!$F$4)))))</f>
        <v>1.0935646911485417</v>
      </c>
      <c r="S163" s="58">
        <f>IF(N163=1, '6. PEDIGREE MATRIX'!$B$6, IF(N163=2, '6. PEDIGREE MATRIX'!$C$6, IF(N163=3, '6. PEDIGREE MATRIX'!$D$6, IF(N163=4, '6. PEDIGREE MATRIX'!$E$6, IF(N163=5, '6. PEDIGREE MATRIX'!$F$6)))))</f>
        <v>1.0457364348384068</v>
      </c>
      <c r="T163" s="58">
        <f>IF(O163=1, '6. PEDIGREE MATRIX'!$B$8, IF(O163=2, '6. PEDIGREE MATRIX'!$C$8, IF(O163=3, '6. PEDIGREE MATRIX'!$D$8, IF(O163=4, '6. PEDIGREE MATRIX'!$E$8, IF(O163=5, '6. PEDIGREE MATRIX'!$F$8)))))</f>
        <v>1</v>
      </c>
      <c r="U163" s="58">
        <f>IF(P163=1, '6. PEDIGREE MATRIX'!$B$10, IF(P163=2, '6. PEDIGREE MATRIX'!$C$10, IF(P163=3, '6. PEDIGREE MATRIX'!$D$10, IF(P163=4, '6. PEDIGREE MATRIX'!$E$10, IF(P163=5, '6. PEDIGREE MATRIX'!$F$10)))))</f>
        <v>1.0100501670841679</v>
      </c>
      <c r="V163" s="58">
        <f>IF(Q163=1, '6. PEDIGREE MATRIX'!$B$12, IF(Q163=2, '6. PEDIGREE MATRIX'!$C$12, IF(Q163=3, '6. PEDIGREE MATRIX'!$D$12, IF(Q163=4, '6. PEDIGREE MATRIX'!$E$12, IF(Q163=5, '6. PEDIGREE MATRIX'!$F$12)))))</f>
        <v>1.0247973619913604</v>
      </c>
      <c r="W163" s="58">
        <v>5.9999999999999995E-4</v>
      </c>
      <c r="X163" s="63">
        <f>EXP(SQRT(W163))</f>
        <v>1.0247973619913604</v>
      </c>
    </row>
    <row r="164" spans="1:24" x14ac:dyDescent="0.3">
      <c r="A164" s="287" t="s">
        <v>865</v>
      </c>
      <c r="B164" s="297">
        <f>'17. IMPLANT'!$D$8</f>
        <v>1.2450772088239983E-3</v>
      </c>
      <c r="C164" s="3" t="s">
        <v>153</v>
      </c>
      <c r="D164" s="3" t="s">
        <v>385</v>
      </c>
      <c r="E164" s="58" t="s">
        <v>872</v>
      </c>
      <c r="F164" s="3" t="s">
        <v>371</v>
      </c>
      <c r="G164" s="3" t="s">
        <v>346</v>
      </c>
      <c r="H164" s="3" t="s">
        <v>154</v>
      </c>
      <c r="I164" s="58">
        <v>2</v>
      </c>
      <c r="J164" s="58">
        <f t="shared" si="52"/>
        <v>-6.6885577358686472</v>
      </c>
      <c r="K164" s="58">
        <f t="shared" si="53"/>
        <v>0.32603904386951327</v>
      </c>
      <c r="L164" s="90">
        <f t="shared" si="54"/>
        <v>1.1121570947719619</v>
      </c>
      <c r="M164" s="58">
        <v>4</v>
      </c>
      <c r="N164" s="58">
        <v>4</v>
      </c>
      <c r="O164" s="58">
        <v>1</v>
      </c>
      <c r="P164" s="58">
        <v>3</v>
      </c>
      <c r="Q164" s="58">
        <v>2</v>
      </c>
      <c r="R164" s="58">
        <f>IF(M164=1, '6. PEDIGREE MATRIX'!$B$4, IF(M164=2, '6. PEDIGREE MATRIX'!$C$4, IF(M164=3, '6. PEDIGREE MATRIX'!$D$4, IF(M164=4, '6. PEDIGREE MATRIX'!$E$4, IF(M164=5, '6. PEDIGREE MATRIX'!$F$4)))))</f>
        <v>1.0935646911485417</v>
      </c>
      <c r="S164" s="58">
        <f>IF(N164=1, '6. PEDIGREE MATRIX'!$B$6, IF(N164=2, '6. PEDIGREE MATRIX'!$C$6, IF(N164=3, '6. PEDIGREE MATRIX'!$D$6, IF(N164=4, '6. PEDIGREE MATRIX'!$E$6, IF(N164=5, '6. PEDIGREE MATRIX'!$F$6)))))</f>
        <v>1.0457364348384068</v>
      </c>
      <c r="T164" s="58">
        <f>IF(O164=1, '6. PEDIGREE MATRIX'!$B$8, IF(O164=2, '6. PEDIGREE MATRIX'!$C$8, IF(O164=3, '6. PEDIGREE MATRIX'!$D$8, IF(O164=4, '6. PEDIGREE MATRIX'!$E$8, IF(O164=5, '6. PEDIGREE MATRIX'!$F$8)))))</f>
        <v>1</v>
      </c>
      <c r="U164" s="58">
        <f>IF(P164=1, '6. PEDIGREE MATRIX'!$B$10, IF(P164=2, '6. PEDIGREE MATRIX'!$C$10, IF(P164=3, '6. PEDIGREE MATRIX'!$D$10, IF(P164=4, '6. PEDIGREE MATRIX'!$E$10, IF(P164=5, '6. PEDIGREE MATRIX'!$F$10)))))</f>
        <v>1.0100501670841679</v>
      </c>
      <c r="V164" s="58">
        <f>IF(Q164=1, '6. PEDIGREE MATRIX'!$B$12, IF(Q164=2, '6. PEDIGREE MATRIX'!$C$12, IF(Q164=3, '6. PEDIGREE MATRIX'!$D$12, IF(Q164=4, '6. PEDIGREE MATRIX'!$E$12, IF(Q164=5, '6. PEDIGREE MATRIX'!$F$12)))))</f>
        <v>1.0247973619913604</v>
      </c>
      <c r="W164" s="58">
        <v>5.9999999999999995E-4</v>
      </c>
      <c r="X164" s="63">
        <f>EXP(SQRT(W164))</f>
        <v>1.0247973619913604</v>
      </c>
    </row>
    <row r="165" spans="1:24" x14ac:dyDescent="0.3">
      <c r="A165" s="293" t="s">
        <v>962</v>
      </c>
      <c r="B165" s="297">
        <f>'17. IMPLANT'!$D$9</f>
        <v>4.2963326736507879E-2</v>
      </c>
      <c r="C165" s="3" t="s">
        <v>153</v>
      </c>
      <c r="D165" s="3" t="s">
        <v>385</v>
      </c>
      <c r="E165" s="58" t="s">
        <v>392</v>
      </c>
      <c r="F165" s="3" t="s">
        <v>371</v>
      </c>
      <c r="G165" s="3" t="s">
        <v>429</v>
      </c>
      <c r="H165" s="3" t="s">
        <v>154</v>
      </c>
      <c r="I165" s="58">
        <v>2</v>
      </c>
      <c r="J165" s="58">
        <f t="shared" si="52"/>
        <v>-3.1474083937790462</v>
      </c>
      <c r="K165" s="58">
        <f t="shared" si="53"/>
        <v>0.32603904386951327</v>
      </c>
      <c r="L165" s="90">
        <f t="shared" si="54"/>
        <v>1.1121570947719619</v>
      </c>
      <c r="M165" s="58">
        <v>4</v>
      </c>
      <c r="N165" s="58">
        <v>4</v>
      </c>
      <c r="O165" s="58">
        <v>1</v>
      </c>
      <c r="P165" s="58">
        <v>3</v>
      </c>
      <c r="Q165" s="58">
        <v>2</v>
      </c>
      <c r="R165" s="58">
        <f>IF(M165=1, '6. PEDIGREE MATRIX'!$B$4, IF(M165=2, '6. PEDIGREE MATRIX'!$C$4, IF(M165=3, '6. PEDIGREE MATRIX'!$D$4, IF(M165=4, '6. PEDIGREE MATRIX'!$E$4, IF(M165=5, '6. PEDIGREE MATRIX'!$F$4)))))</f>
        <v>1.0935646911485417</v>
      </c>
      <c r="S165" s="58">
        <f>IF(N165=1, '6. PEDIGREE MATRIX'!$B$6, IF(N165=2, '6. PEDIGREE MATRIX'!$C$6, IF(N165=3, '6. PEDIGREE MATRIX'!$D$6, IF(N165=4, '6. PEDIGREE MATRIX'!$E$6, IF(N165=5, '6. PEDIGREE MATRIX'!$F$6)))))</f>
        <v>1.0457364348384068</v>
      </c>
      <c r="T165" s="58">
        <f>IF(O165=1, '6. PEDIGREE MATRIX'!$B$8, IF(O165=2, '6. PEDIGREE MATRIX'!$C$8, IF(O165=3, '6. PEDIGREE MATRIX'!$D$8, IF(O165=4, '6. PEDIGREE MATRIX'!$E$8, IF(O165=5, '6. PEDIGREE MATRIX'!$F$8)))))</f>
        <v>1</v>
      </c>
      <c r="U165" s="58">
        <f>IF(P165=1, '6. PEDIGREE MATRIX'!$B$10, IF(P165=2, '6. PEDIGREE MATRIX'!$C$10, IF(P165=3, '6. PEDIGREE MATRIX'!$D$10, IF(P165=4, '6. PEDIGREE MATRIX'!$E$10, IF(P165=5, '6. PEDIGREE MATRIX'!$F$10)))))</f>
        <v>1.0100501670841679</v>
      </c>
      <c r="V165" s="58">
        <f>IF(Q165=1, '6. PEDIGREE MATRIX'!$B$12, IF(Q165=2, '6. PEDIGREE MATRIX'!$C$12, IF(Q165=3, '6. PEDIGREE MATRIX'!$D$12, IF(Q165=4, '6. PEDIGREE MATRIX'!$E$12, IF(Q165=5, '6. PEDIGREE MATRIX'!$F$12)))))</f>
        <v>1.0247973619913604</v>
      </c>
      <c r="W165" s="58">
        <v>5.9999999999999995E-4</v>
      </c>
      <c r="X165" s="63">
        <f>EXP(SQRT(W165))</f>
        <v>1.0247973619913604</v>
      </c>
    </row>
    <row r="166" spans="1:24" x14ac:dyDescent="0.3">
      <c r="A166" s="112" t="s">
        <v>1956</v>
      </c>
      <c r="B166" s="297">
        <f>'24. WAFER FAB'!$D$109</f>
        <v>-1.0321831840129177E-4</v>
      </c>
      <c r="C166" s="112" t="s">
        <v>521</v>
      </c>
      <c r="D166" s="244" t="s">
        <v>385</v>
      </c>
      <c r="E166" s="522" t="s">
        <v>1957</v>
      </c>
      <c r="F166" s="244" t="s">
        <v>371</v>
      </c>
      <c r="G166" s="244" t="s">
        <v>429</v>
      </c>
      <c r="H166" s="244" t="s">
        <v>154</v>
      </c>
      <c r="I166" s="522">
        <v>2</v>
      </c>
      <c r="J166" s="797">
        <f t="shared" si="52"/>
        <v>-9.1786642167802768</v>
      </c>
      <c r="K166" s="797" t="str">
        <f t="shared" si="53"/>
        <v>(Unknown)</v>
      </c>
      <c r="L166" s="845" t="str">
        <f t="shared" si="54"/>
        <v>(Unknown)</v>
      </c>
      <c r="M166" s="522">
        <v>4</v>
      </c>
      <c r="N166" s="522">
        <v>4</v>
      </c>
      <c r="O166" s="522">
        <v>1</v>
      </c>
      <c r="P166" s="522">
        <v>3</v>
      </c>
      <c r="Q166" s="522">
        <v>2</v>
      </c>
      <c r="R166" s="797">
        <f>IF(M166=1, '6. PEDIGREE MATRIX'!$B$4, IF(M166=2, '6. PEDIGREE MATRIX'!$C$4, IF(M166=3, '6. PEDIGREE MATRIX'!$D$4, IF(M166=4, '6. PEDIGREE MATRIX'!$E$4, IF(M166=5, '6. PEDIGREE MATRIX'!$F$4)))))</f>
        <v>1.0935646911485417</v>
      </c>
      <c r="S166" s="522">
        <f>IF(N166=1, '6. PEDIGREE MATRIX'!$B$6, IF(N166=2, '6. PEDIGREE MATRIX'!$C$6, IF(N166=3, '6. PEDIGREE MATRIX'!$D$6, IF(N166=4, '6. PEDIGREE MATRIX'!$E$6, IF(N166=5, '6. PEDIGREE MATRIX'!$F$6)))))</f>
        <v>1.0457364348384068</v>
      </c>
      <c r="T166" s="797">
        <f>IF(O166=1, '6. PEDIGREE MATRIX'!$B$8, IF(O166=2, '6. PEDIGREE MATRIX'!$C$8, IF(O166=3, '6. PEDIGREE MATRIX'!$D$8, IF(O166=4, '6. PEDIGREE MATRIX'!$E$8, IF(O166=5, '6. PEDIGREE MATRIX'!$F$8)))))</f>
        <v>1</v>
      </c>
      <c r="U166" s="797">
        <f>IF(P166=1, '6. PEDIGREE MATRIX'!$B$10, IF(P166=2, '6. PEDIGREE MATRIX'!$C$10, IF(P166=3, '6. PEDIGREE MATRIX'!$D$10, IF(P166=4, '6. PEDIGREE MATRIX'!$E$10, IF(P166=5, '6. PEDIGREE MATRIX'!$F$10)))))</f>
        <v>1.0100501670841679</v>
      </c>
      <c r="V166" s="797">
        <f>IF(Q166=1, '6. PEDIGREE MATRIX'!$B$12, IF(Q166=2, '6. PEDIGREE MATRIX'!$C$12, IF(Q166=3, '6. PEDIGREE MATRIX'!$D$12, IF(Q166=4, '6. PEDIGREE MATRIX'!$E$12, IF(Q166=5, '6. PEDIGREE MATRIX'!$F$12)))))</f>
        <v>1.0247973619913604</v>
      </c>
      <c r="W166" s="522">
        <v>5.9999999999999995E-4</v>
      </c>
      <c r="X166" s="524">
        <f t="shared" ref="X166:X168" si="55">EXP(SQRT(W166))</f>
        <v>1.0247973619913604</v>
      </c>
    </row>
    <row r="167" spans="1:24" x14ac:dyDescent="0.3">
      <c r="A167" s="545" t="s">
        <v>1968</v>
      </c>
      <c r="B167" s="297">
        <f>'24. WAFER FAB'!$D$110</f>
        <v>-5.1609159200645885E-5</v>
      </c>
      <c r="C167" s="112" t="s">
        <v>521</v>
      </c>
      <c r="D167" s="244" t="s">
        <v>385</v>
      </c>
      <c r="E167" s="522" t="s">
        <v>1969</v>
      </c>
      <c r="F167" s="244" t="s">
        <v>371</v>
      </c>
      <c r="G167" s="244" t="s">
        <v>429</v>
      </c>
      <c r="H167" s="244" t="s">
        <v>154</v>
      </c>
      <c r="I167" s="522">
        <v>2</v>
      </c>
      <c r="J167" s="797">
        <f t="shared" si="52"/>
        <v>-9.8718113973402222</v>
      </c>
      <c r="K167" s="797" t="str">
        <f t="shared" si="53"/>
        <v>(Unknown)</v>
      </c>
      <c r="L167" s="845" t="str">
        <f t="shared" si="54"/>
        <v>(Unknown)</v>
      </c>
      <c r="M167" s="522">
        <v>4</v>
      </c>
      <c r="N167" s="522">
        <v>4</v>
      </c>
      <c r="O167" s="522">
        <v>1</v>
      </c>
      <c r="P167" s="522">
        <v>3</v>
      </c>
      <c r="Q167" s="522">
        <v>2</v>
      </c>
      <c r="R167" s="797">
        <f>IF(M167=1, '6. PEDIGREE MATRIX'!$B$4, IF(M167=2, '6. PEDIGREE MATRIX'!$C$4, IF(M167=3, '6. PEDIGREE MATRIX'!$D$4, IF(M167=4, '6. PEDIGREE MATRIX'!$E$4, IF(M167=5, '6. PEDIGREE MATRIX'!$F$4)))))</f>
        <v>1.0935646911485417</v>
      </c>
      <c r="S167" s="522">
        <f>IF(N167=1, '6. PEDIGREE MATRIX'!$B$6, IF(N167=2, '6. PEDIGREE MATRIX'!$C$6, IF(N167=3, '6. PEDIGREE MATRIX'!$D$6, IF(N167=4, '6. PEDIGREE MATRIX'!$E$6, IF(N167=5, '6. PEDIGREE MATRIX'!$F$6)))))</f>
        <v>1.0457364348384068</v>
      </c>
      <c r="T167" s="797">
        <f>IF(O167=1, '6. PEDIGREE MATRIX'!$B$8, IF(O167=2, '6. PEDIGREE MATRIX'!$C$8, IF(O167=3, '6. PEDIGREE MATRIX'!$D$8, IF(O167=4, '6. PEDIGREE MATRIX'!$E$8, IF(O167=5, '6. PEDIGREE MATRIX'!$F$8)))))</f>
        <v>1</v>
      </c>
      <c r="U167" s="797">
        <f>IF(P167=1, '6. PEDIGREE MATRIX'!$B$10, IF(P167=2, '6. PEDIGREE MATRIX'!$C$10, IF(P167=3, '6. PEDIGREE MATRIX'!$D$10, IF(P167=4, '6. PEDIGREE MATRIX'!$E$10, IF(P167=5, '6. PEDIGREE MATRIX'!$F$10)))))</f>
        <v>1.0100501670841679</v>
      </c>
      <c r="V167" s="797">
        <f>IF(Q167=1, '6. PEDIGREE MATRIX'!$B$12, IF(Q167=2, '6. PEDIGREE MATRIX'!$C$12, IF(Q167=3, '6. PEDIGREE MATRIX'!$D$12, IF(Q167=4, '6. PEDIGREE MATRIX'!$E$12, IF(Q167=5, '6. PEDIGREE MATRIX'!$F$12)))))</f>
        <v>1.0247973619913604</v>
      </c>
      <c r="W167" s="522">
        <v>5.9999999999999995E-4</v>
      </c>
      <c r="X167" s="524">
        <f t="shared" si="55"/>
        <v>1.0247973619913604</v>
      </c>
    </row>
    <row r="168" spans="1:24" x14ac:dyDescent="0.3">
      <c r="A168" s="731" t="s">
        <v>2267</v>
      </c>
      <c r="B168" s="297">
        <f>'24. WAFER FAB'!$D$111</f>
        <v>8.8934086344571456E-7</v>
      </c>
      <c r="C168" s="43" t="s">
        <v>153</v>
      </c>
      <c r="D168" s="516" t="s">
        <v>515</v>
      </c>
      <c r="E168" s="517" t="s">
        <v>371</v>
      </c>
      <c r="F168" s="518" t="s">
        <v>516</v>
      </c>
      <c r="G168" s="516" t="s">
        <v>371</v>
      </c>
      <c r="H168" s="516" t="s">
        <v>514</v>
      </c>
      <c r="I168" s="517">
        <v>2</v>
      </c>
      <c r="J168" s="517">
        <f t="shared" si="52"/>
        <v>-13.932785251471994</v>
      </c>
      <c r="K168" s="517">
        <f t="shared" si="53"/>
        <v>0.32603904386951327</v>
      </c>
      <c r="L168" s="517">
        <f t="shared" si="54"/>
        <v>1.1121570947719619</v>
      </c>
      <c r="M168" s="517">
        <v>4</v>
      </c>
      <c r="N168" s="517">
        <v>4</v>
      </c>
      <c r="O168" s="517">
        <v>1</v>
      </c>
      <c r="P168" s="517">
        <v>3</v>
      </c>
      <c r="Q168" s="517">
        <v>2</v>
      </c>
      <c r="R168" s="517">
        <f>IF(M168=1, '6. PEDIGREE MATRIX'!$B$4, IF(M168=2, '6. PEDIGREE MATRIX'!$C$4, IF(M168=3, '6. PEDIGREE MATRIX'!$D$4, IF(M168=4, '6. PEDIGREE MATRIX'!$E$4, IF(M168=5, '6. PEDIGREE MATRIX'!$F$4)))))</f>
        <v>1.0935646911485417</v>
      </c>
      <c r="S168" s="517">
        <f>IF(N168=1, '6. PEDIGREE MATRIX'!$B$6, IF(N168=2, '6. PEDIGREE MATRIX'!$C$6, IF(N168=3, '6. PEDIGREE MATRIX'!$D$6, IF(N168=4, '6. PEDIGREE MATRIX'!$E$6, IF(N168=5, '6. PEDIGREE MATRIX'!$F$6)))))</f>
        <v>1.0457364348384068</v>
      </c>
      <c r="T168" s="517">
        <f>IF(O168=1, '6. PEDIGREE MATRIX'!$B$8, IF(O168=2, '6. PEDIGREE MATRIX'!$C$8, IF(O168=3, '6. PEDIGREE MATRIX'!$D$8, IF(O168=4, '6. PEDIGREE MATRIX'!$E$8, IF(O168=5, '6. PEDIGREE MATRIX'!$F$8)))))</f>
        <v>1</v>
      </c>
      <c r="U168" s="517">
        <f>IF(P168=1, '6. PEDIGREE MATRIX'!$B$10, IF(P168=2, '6. PEDIGREE MATRIX'!$C$10, IF(P168=3, '6. PEDIGREE MATRIX'!$D$10, IF(P168=4, '6. PEDIGREE MATRIX'!$E$10, IF(P168=5, '6. PEDIGREE MATRIX'!$F$10)))))</f>
        <v>1.0100501670841679</v>
      </c>
      <c r="V168" s="517">
        <f>IF(Q168=1, '6. PEDIGREE MATRIX'!$B$12, IF(Q168=2, '6. PEDIGREE MATRIX'!$C$12, IF(Q168=3, '6. PEDIGREE MATRIX'!$D$12, IF(Q168=4, '6. PEDIGREE MATRIX'!$E$12, IF(Q168=5, '6. PEDIGREE MATRIX'!$F$12)))))</f>
        <v>1.0247973619913604</v>
      </c>
      <c r="W168" s="517">
        <v>5.9999999999999995E-4</v>
      </c>
      <c r="X168" s="520">
        <f t="shared" si="55"/>
        <v>1.0247973619913604</v>
      </c>
    </row>
    <row r="169" spans="1:24" x14ac:dyDescent="0.3">
      <c r="A169" s="731" t="s">
        <v>872</v>
      </c>
      <c r="B169" s="297">
        <f>'24. WAFER FAB'!$D$112</f>
        <v>3.112693022060001E-6</v>
      </c>
      <c r="C169" s="43" t="s">
        <v>153</v>
      </c>
      <c r="D169" s="516" t="s">
        <v>515</v>
      </c>
      <c r="E169" s="517" t="s">
        <v>371</v>
      </c>
      <c r="F169" s="518" t="s">
        <v>516</v>
      </c>
      <c r="G169" s="516" t="s">
        <v>371</v>
      </c>
      <c r="H169" s="516" t="s">
        <v>514</v>
      </c>
      <c r="I169" s="517">
        <v>2</v>
      </c>
      <c r="J169" s="517">
        <f t="shared" ref="J169:J170" si="56">IF(B169=0,"(Unknown)",LN((ABS(B169))))</f>
        <v>-12.680022282976626</v>
      </c>
      <c r="K169" s="517">
        <f t="shared" ref="K169:K170" si="57">IF(B169&gt;0,SQRT(LN(L169)),"(Unknown)")</f>
        <v>0.32603904386951327</v>
      </c>
      <c r="L169" s="517">
        <f t="shared" ref="L169:L170" si="58">IF(B169&gt;0,(EXP(SQRT((LN(X169))^2+(LN(R169))^2+(LN(S169))^2+(LN(T169))^2+(LN(U169))^2+(LN(V169))^2))),"(Unknown)")</f>
        <v>1.1121570947719619</v>
      </c>
      <c r="M169" s="517">
        <v>4</v>
      </c>
      <c r="N169" s="517">
        <v>4</v>
      </c>
      <c r="O169" s="517">
        <v>1</v>
      </c>
      <c r="P169" s="517">
        <v>3</v>
      </c>
      <c r="Q169" s="517">
        <v>2</v>
      </c>
      <c r="R169" s="517">
        <f>IF(M169=1, '6. PEDIGREE MATRIX'!$B$4, IF(M169=2, '6. PEDIGREE MATRIX'!$C$4, IF(M169=3, '6. PEDIGREE MATRIX'!$D$4, IF(M169=4, '6. PEDIGREE MATRIX'!$E$4, IF(M169=5, '6. PEDIGREE MATRIX'!$F$4)))))</f>
        <v>1.0935646911485417</v>
      </c>
      <c r="S169" s="517">
        <f>IF(N169=1, '6. PEDIGREE MATRIX'!$B$6, IF(N169=2, '6. PEDIGREE MATRIX'!$C$6, IF(N169=3, '6. PEDIGREE MATRIX'!$D$6, IF(N169=4, '6. PEDIGREE MATRIX'!$E$6, IF(N169=5, '6. PEDIGREE MATRIX'!$F$6)))))</f>
        <v>1.0457364348384068</v>
      </c>
      <c r="T169" s="517">
        <f>IF(O169=1, '6. PEDIGREE MATRIX'!$B$8, IF(O169=2, '6. PEDIGREE MATRIX'!$C$8, IF(O169=3, '6. PEDIGREE MATRIX'!$D$8, IF(O169=4, '6. PEDIGREE MATRIX'!$E$8, IF(O169=5, '6. PEDIGREE MATRIX'!$F$8)))))</f>
        <v>1</v>
      </c>
      <c r="U169" s="517">
        <f>IF(P169=1, '6. PEDIGREE MATRIX'!$B$10, IF(P169=2, '6. PEDIGREE MATRIX'!$C$10, IF(P169=3, '6. PEDIGREE MATRIX'!$D$10, IF(P169=4, '6. PEDIGREE MATRIX'!$E$10, IF(P169=5, '6. PEDIGREE MATRIX'!$F$10)))))</f>
        <v>1.0100501670841679</v>
      </c>
      <c r="V169" s="517">
        <f>IF(Q169=1, '6. PEDIGREE MATRIX'!$B$12, IF(Q169=2, '6. PEDIGREE MATRIX'!$C$12, IF(Q169=3, '6. PEDIGREE MATRIX'!$D$12, IF(Q169=4, '6. PEDIGREE MATRIX'!$E$12, IF(Q169=5, '6. PEDIGREE MATRIX'!$F$12)))))</f>
        <v>1.0247973619913604</v>
      </c>
      <c r="W169" s="517">
        <v>5.9999999999999995E-4</v>
      </c>
      <c r="X169" s="520">
        <f t="shared" ref="X169:X170" si="59">EXP(SQRT(W169))</f>
        <v>1.0247973619913604</v>
      </c>
    </row>
    <row r="170" spans="1:24" x14ac:dyDescent="0.3">
      <c r="A170" s="782" t="s">
        <v>816</v>
      </c>
      <c r="B170" s="297">
        <f>'24. WAFER FAB'!$D$113</f>
        <v>2.1481663368253957E-3</v>
      </c>
      <c r="C170" s="43" t="s">
        <v>153</v>
      </c>
      <c r="D170" s="516" t="s">
        <v>515</v>
      </c>
      <c r="E170" s="517" t="s">
        <v>371</v>
      </c>
      <c r="F170" s="518" t="s">
        <v>516</v>
      </c>
      <c r="G170" s="516" t="s">
        <v>371</v>
      </c>
      <c r="H170" s="516" t="s">
        <v>514</v>
      </c>
      <c r="I170" s="517">
        <v>2</v>
      </c>
      <c r="J170" s="517">
        <f t="shared" si="56"/>
        <v>-6.1431406673330367</v>
      </c>
      <c r="K170" s="517">
        <f t="shared" si="57"/>
        <v>0.32603904386951327</v>
      </c>
      <c r="L170" s="517">
        <f t="shared" si="58"/>
        <v>1.1121570947719619</v>
      </c>
      <c r="M170" s="517">
        <v>4</v>
      </c>
      <c r="N170" s="517">
        <v>4</v>
      </c>
      <c r="O170" s="517">
        <v>1</v>
      </c>
      <c r="P170" s="517">
        <v>3</v>
      </c>
      <c r="Q170" s="517">
        <v>2</v>
      </c>
      <c r="R170" s="517">
        <f>IF(M170=1, '6. PEDIGREE MATRIX'!$B$4, IF(M170=2, '6. PEDIGREE MATRIX'!$C$4, IF(M170=3, '6. PEDIGREE MATRIX'!$D$4, IF(M170=4, '6. PEDIGREE MATRIX'!$E$4, IF(M170=5, '6. PEDIGREE MATRIX'!$F$4)))))</f>
        <v>1.0935646911485417</v>
      </c>
      <c r="S170" s="517">
        <f>IF(N170=1, '6. PEDIGREE MATRIX'!$B$6, IF(N170=2, '6. PEDIGREE MATRIX'!$C$6, IF(N170=3, '6. PEDIGREE MATRIX'!$D$6, IF(N170=4, '6. PEDIGREE MATRIX'!$E$6, IF(N170=5, '6. PEDIGREE MATRIX'!$F$6)))))</f>
        <v>1.0457364348384068</v>
      </c>
      <c r="T170" s="517">
        <f>IF(O170=1, '6. PEDIGREE MATRIX'!$B$8, IF(O170=2, '6. PEDIGREE MATRIX'!$C$8, IF(O170=3, '6. PEDIGREE MATRIX'!$D$8, IF(O170=4, '6. PEDIGREE MATRIX'!$E$8, IF(O170=5, '6. PEDIGREE MATRIX'!$F$8)))))</f>
        <v>1</v>
      </c>
      <c r="U170" s="517">
        <f>IF(P170=1, '6. PEDIGREE MATRIX'!$B$10, IF(P170=2, '6. PEDIGREE MATRIX'!$C$10, IF(P170=3, '6. PEDIGREE MATRIX'!$D$10, IF(P170=4, '6. PEDIGREE MATRIX'!$E$10, IF(P170=5, '6. PEDIGREE MATRIX'!$F$10)))))</f>
        <v>1.0100501670841679</v>
      </c>
      <c r="V170" s="517">
        <f>IF(Q170=1, '6. PEDIGREE MATRIX'!$B$12, IF(Q170=2, '6. PEDIGREE MATRIX'!$C$12, IF(Q170=3, '6. PEDIGREE MATRIX'!$D$12, IF(Q170=4, '6. PEDIGREE MATRIX'!$E$12, IF(Q170=5, '6. PEDIGREE MATRIX'!$F$12)))))</f>
        <v>1.0247973619913604</v>
      </c>
      <c r="W170" s="517">
        <v>5.9999999999999995E-4</v>
      </c>
      <c r="X170" s="520">
        <f t="shared" si="59"/>
        <v>1.0247973619913604</v>
      </c>
    </row>
    <row r="171" spans="1:24" ht="15" thickBot="1" x14ac:dyDescent="0.35">
      <c r="A171" s="70" t="str">
        <f>B153</f>
        <v>IMPLANT</v>
      </c>
      <c r="B171" s="71">
        <v>1</v>
      </c>
      <c r="C171" s="72" t="s">
        <v>224</v>
      </c>
      <c r="D171" s="72" t="str">
        <f>$B$1</f>
        <v>IGBT LCI dtb</v>
      </c>
      <c r="E171" s="71" t="str">
        <f>B157</f>
        <v>Processed cm² of Si IGBT good die</v>
      </c>
      <c r="F171" s="72" t="s">
        <v>371</v>
      </c>
      <c r="G171" s="72" t="s">
        <v>156</v>
      </c>
      <c r="H171" s="72" t="s">
        <v>383</v>
      </c>
      <c r="I171" s="71">
        <v>0</v>
      </c>
      <c r="J171" s="71" t="s">
        <v>371</v>
      </c>
      <c r="K171" s="71" t="s">
        <v>371</v>
      </c>
      <c r="L171" s="91" t="s">
        <v>371</v>
      </c>
      <c r="M171" s="71">
        <v>0</v>
      </c>
      <c r="N171" s="71">
        <v>0</v>
      </c>
      <c r="O171" s="71">
        <v>0</v>
      </c>
      <c r="P171" s="71">
        <v>0</v>
      </c>
      <c r="Q171" s="71">
        <v>0</v>
      </c>
      <c r="R171" s="71">
        <v>0</v>
      </c>
      <c r="S171" s="71">
        <v>0</v>
      </c>
      <c r="T171" s="71">
        <v>0</v>
      </c>
      <c r="U171" s="71">
        <v>0</v>
      </c>
      <c r="V171" s="71">
        <v>0</v>
      </c>
      <c r="W171" s="71">
        <v>0</v>
      </c>
      <c r="X171" s="73">
        <v>0</v>
      </c>
    </row>
    <row r="173" spans="1:24" ht="15" thickBot="1" x14ac:dyDescent="0.35"/>
    <row r="174" spans="1:24" s="14" customFormat="1" ht="30" customHeight="1" thickBot="1" x14ac:dyDescent="0.35">
      <c r="A174" s="178" t="s">
        <v>326</v>
      </c>
      <c r="B174" s="179" t="s">
        <v>1501</v>
      </c>
      <c r="C174" s="180"/>
      <c r="D174" s="180"/>
      <c r="E174" s="181"/>
      <c r="F174" s="180"/>
      <c r="G174" s="180"/>
      <c r="H174" s="180"/>
      <c r="I174" s="181"/>
      <c r="J174" s="181"/>
      <c r="K174" s="181"/>
      <c r="L174" s="181"/>
      <c r="M174" s="181"/>
      <c r="N174" s="181"/>
      <c r="O174" s="181"/>
      <c r="P174" s="181"/>
      <c r="Q174" s="181"/>
      <c r="R174" s="181"/>
      <c r="S174" s="181"/>
      <c r="T174" s="181"/>
      <c r="U174" s="181"/>
      <c r="V174" s="181"/>
      <c r="W174" s="181"/>
      <c r="X174" s="182"/>
    </row>
    <row r="175" spans="1:24" x14ac:dyDescent="0.3">
      <c r="A175" s="54" t="s">
        <v>163</v>
      </c>
      <c r="B175" s="61" t="s">
        <v>371</v>
      </c>
      <c r="C175" s="56"/>
      <c r="D175" s="56"/>
      <c r="E175" s="61"/>
      <c r="F175" s="56"/>
      <c r="G175" s="56"/>
      <c r="H175" s="56"/>
      <c r="I175" s="61"/>
      <c r="J175" s="61"/>
      <c r="K175" s="61"/>
      <c r="L175" s="61"/>
      <c r="M175" s="61"/>
      <c r="N175" s="61"/>
      <c r="O175" s="61"/>
      <c r="P175" s="61"/>
      <c r="Q175" s="61"/>
      <c r="R175" s="61"/>
      <c r="S175" s="61"/>
      <c r="T175" s="61"/>
      <c r="U175" s="61"/>
      <c r="V175" s="61"/>
      <c r="W175" s="61"/>
      <c r="X175" s="62"/>
    </row>
    <row r="176" spans="1:24" x14ac:dyDescent="0.3">
      <c r="A176" s="54" t="s">
        <v>227</v>
      </c>
      <c r="B176" s="61" t="s">
        <v>156</v>
      </c>
      <c r="C176" s="56"/>
      <c r="D176" s="56"/>
      <c r="E176" s="61"/>
      <c r="F176" s="56"/>
      <c r="G176" s="56"/>
      <c r="H176" s="56"/>
      <c r="I176" s="61"/>
      <c r="J176" s="61"/>
      <c r="K176" s="61"/>
      <c r="L176" s="61"/>
      <c r="M176" s="61"/>
      <c r="N176" s="61"/>
      <c r="O176" s="61"/>
      <c r="P176" s="61"/>
      <c r="Q176" s="61"/>
      <c r="R176" s="61"/>
      <c r="S176" s="61"/>
      <c r="T176" s="61"/>
      <c r="U176" s="61"/>
      <c r="V176" s="61"/>
      <c r="W176" s="61"/>
      <c r="X176" s="62"/>
    </row>
    <row r="177" spans="1:24" x14ac:dyDescent="0.3">
      <c r="A177" s="54" t="s">
        <v>428</v>
      </c>
      <c r="B177" s="61">
        <v>1</v>
      </c>
      <c r="C177" s="56"/>
      <c r="D177" s="56"/>
      <c r="E177" s="61"/>
      <c r="F177" s="56"/>
      <c r="G177" s="56"/>
      <c r="H177" s="56"/>
      <c r="I177" s="61"/>
      <c r="J177" s="61"/>
      <c r="K177" s="61"/>
      <c r="L177" s="61"/>
      <c r="M177" s="61"/>
      <c r="N177" s="61"/>
      <c r="O177" s="61"/>
      <c r="P177" s="61"/>
      <c r="Q177" s="61"/>
      <c r="R177" s="61"/>
      <c r="S177" s="61"/>
      <c r="T177" s="61"/>
      <c r="U177" s="61"/>
      <c r="V177" s="61"/>
      <c r="W177" s="61"/>
      <c r="X177" s="62"/>
    </row>
    <row r="178" spans="1:24" x14ac:dyDescent="0.3">
      <c r="A178" s="54" t="s">
        <v>147</v>
      </c>
      <c r="B178" s="56" t="s">
        <v>717</v>
      </c>
      <c r="C178" s="56"/>
      <c r="D178" s="56"/>
      <c r="E178" s="61"/>
      <c r="F178" s="56"/>
      <c r="G178" s="56"/>
      <c r="H178" s="56"/>
      <c r="I178" s="61"/>
      <c r="J178" s="61"/>
      <c r="K178" s="61"/>
      <c r="L178" s="61"/>
      <c r="M178" s="61"/>
      <c r="N178" s="61"/>
      <c r="O178" s="61"/>
      <c r="P178" s="61"/>
      <c r="Q178" s="61"/>
      <c r="R178" s="61"/>
      <c r="S178" s="61"/>
      <c r="T178" s="61"/>
      <c r="U178" s="61"/>
      <c r="V178" s="61"/>
      <c r="W178" s="61"/>
      <c r="X178" s="62"/>
    </row>
    <row r="179" spans="1:24" x14ac:dyDescent="0.3">
      <c r="A179" s="54" t="s">
        <v>327</v>
      </c>
      <c r="B179" s="61" t="s">
        <v>134</v>
      </c>
      <c r="C179" s="56"/>
      <c r="D179" s="56"/>
      <c r="E179" s="61"/>
      <c r="F179" s="56"/>
      <c r="G179" s="56"/>
      <c r="H179" s="56"/>
      <c r="I179" s="61"/>
      <c r="J179" s="61"/>
      <c r="K179" s="61"/>
      <c r="L179" s="61"/>
      <c r="M179" s="61"/>
      <c r="N179" s="61"/>
      <c r="O179" s="61"/>
      <c r="P179" s="61"/>
      <c r="Q179" s="61"/>
      <c r="R179" s="61"/>
      <c r="S179" s="61"/>
      <c r="T179" s="61"/>
      <c r="U179" s="61"/>
      <c r="V179" s="61"/>
      <c r="W179" s="61"/>
      <c r="X179" s="62"/>
    </row>
    <row r="180" spans="1:24" x14ac:dyDescent="0.3">
      <c r="A180" s="54" t="s">
        <v>224</v>
      </c>
      <c r="B180" s="61" t="s">
        <v>224</v>
      </c>
      <c r="C180" s="56"/>
      <c r="D180" s="56"/>
      <c r="E180" s="61"/>
      <c r="F180" s="56"/>
      <c r="G180" s="56"/>
      <c r="H180" s="56"/>
      <c r="I180" s="61"/>
      <c r="J180" s="61"/>
      <c r="K180" s="61"/>
      <c r="L180" s="61"/>
      <c r="M180" s="61"/>
      <c r="N180" s="61"/>
      <c r="O180" s="61"/>
      <c r="P180" s="61"/>
      <c r="Q180" s="61"/>
      <c r="R180" s="61"/>
      <c r="S180" s="61"/>
      <c r="T180" s="61"/>
      <c r="U180" s="61"/>
      <c r="V180" s="61"/>
      <c r="W180" s="61"/>
      <c r="X180" s="62"/>
    </row>
    <row r="181" spans="1:24" ht="15.6" x14ac:dyDescent="0.3">
      <c r="A181" s="55" t="s">
        <v>328</v>
      </c>
      <c r="B181" s="61"/>
      <c r="C181" s="56"/>
      <c r="D181" s="56"/>
      <c r="E181" s="61"/>
      <c r="F181" s="56"/>
      <c r="G181" s="56"/>
      <c r="H181" s="56"/>
      <c r="I181" s="61"/>
      <c r="J181" s="61"/>
      <c r="K181" s="61"/>
      <c r="L181" s="61"/>
      <c r="M181" s="61"/>
      <c r="N181" s="61"/>
      <c r="O181" s="61"/>
      <c r="P181" s="61"/>
      <c r="Q181" s="61"/>
      <c r="R181" s="61"/>
      <c r="S181" s="61"/>
      <c r="T181" s="61"/>
      <c r="U181" s="61"/>
      <c r="V181" s="61"/>
      <c r="W181" s="61"/>
      <c r="X181" s="62"/>
    </row>
    <row r="182" spans="1:24" x14ac:dyDescent="0.3">
      <c r="A182" s="54" t="s">
        <v>329</v>
      </c>
      <c r="B182" s="61" t="s">
        <v>330</v>
      </c>
      <c r="C182" s="56" t="s">
        <v>224</v>
      </c>
      <c r="D182" s="56" t="s">
        <v>331</v>
      </c>
      <c r="E182" s="61" t="s">
        <v>147</v>
      </c>
      <c r="F182" s="56" t="s">
        <v>332</v>
      </c>
      <c r="G182" s="56" t="s">
        <v>227</v>
      </c>
      <c r="H182" s="56" t="s">
        <v>327</v>
      </c>
      <c r="I182" s="61" t="s">
        <v>372</v>
      </c>
      <c r="J182" s="61" t="s">
        <v>373</v>
      </c>
      <c r="K182" s="61" t="s">
        <v>374</v>
      </c>
      <c r="L182" s="61" t="s">
        <v>148</v>
      </c>
      <c r="M182" s="61" t="s">
        <v>585</v>
      </c>
      <c r="N182" s="61" t="s">
        <v>586</v>
      </c>
      <c r="O182" s="61" t="s">
        <v>587</v>
      </c>
      <c r="P182" s="61" t="s">
        <v>220</v>
      </c>
      <c r="Q182" s="61" t="s">
        <v>588</v>
      </c>
      <c r="R182" s="61" t="s">
        <v>590</v>
      </c>
      <c r="S182" s="61" t="s">
        <v>591</v>
      </c>
      <c r="T182" s="61" t="s">
        <v>592</v>
      </c>
      <c r="U182" s="61" t="s">
        <v>593</v>
      </c>
      <c r="V182" s="61" t="s">
        <v>594</v>
      </c>
      <c r="W182" s="61" t="s">
        <v>595</v>
      </c>
      <c r="X182" s="62" t="s">
        <v>589</v>
      </c>
    </row>
    <row r="183" spans="1:24" x14ac:dyDescent="0.3">
      <c r="A183" s="262" t="str">
        <f>IF($G$183='4. INPUTS LIST'!$B$3,'4. INPUTS LIST'!$C$3, IF($G$183='4. INPUTS LIST'!$B$4,'4. INPUTS LIST'!$C$4, IF($G$183='4. INPUTS LIST'!$B$5,'4. INPUTS LIST'!$C$5, IF($G$183='4. INPUTS LIST'!$B$6,'4. INPUTS LIST'!$C$6, IF($G$183='4. INPUTS LIST'!$B$7,'4. INPUTS LIST'!$C$7, IF($G$183='4. INPUTS LIST'!$B$8,'4. INPUTS LIST'!$C$8, IF($G$183='4. INPUTS LIST'!$B$9,'4. INPUTS LIST'!$C$9, IF($G$183='4. INPUTS LIST'!$B$10,'4. INPUTS LIST'!$C$10, IF($G$183='4. INPUTS LIST'!$B$11,'4. INPUTS LIST'!$C$11, IF($G$183='4. INPUTS LIST'!$B$12,'4. INPUTS LIST'!$C$12))))))))))</f>
        <v>market for electricity, medium voltage</v>
      </c>
      <c r="B183" s="297">
        <f>'18. CVD'!$D$6</f>
        <v>4.0788069635323637E-2</v>
      </c>
      <c r="C183" s="3" t="s">
        <v>342</v>
      </c>
      <c r="D183" s="3" t="s">
        <v>385</v>
      </c>
      <c r="E183" s="58" t="str">
        <f>IF($A$183='4. INPUTS LIST'!$C$3,'4. INPUTS LIST'!$D$3, IF($A$183='4. INPUTS LIST'!$C$7, '4. INPUTS LIST'!$D$7, IF($A$183='4. INPUTS LIST'!$C$12,'4. INPUTS LIST'!$D$12)))</f>
        <v>electricity, medium voltage</v>
      </c>
      <c r="F183" s="3" t="s">
        <v>371</v>
      </c>
      <c r="G183" s="3" t="str">
        <f>'1. USER INPUTS'!$E$24</f>
        <v>JP</v>
      </c>
      <c r="H183" s="3" t="s">
        <v>154</v>
      </c>
      <c r="I183" s="58">
        <v>2</v>
      </c>
      <c r="J183" s="58">
        <f>IF(B183=0,"(Unknown)",LN((ABS(B183))))</f>
        <v>-3.1993656512313544</v>
      </c>
      <c r="K183" s="58">
        <f>IF(B183&gt;0,SQRT(LN(L183)),"(Unknown)")</f>
        <v>0.32603904386951327</v>
      </c>
      <c r="L183" s="90">
        <f>IF(B183&gt;0,(EXP(SQRT((LN(X183))^2+(LN(R183))^2+(LN(S183))^2+(LN(T183))^2+(LN(U183))^2+(LN(V183))^2))),"(Unknown)")</f>
        <v>1.1121570947719619</v>
      </c>
      <c r="M183" s="58">
        <v>4</v>
      </c>
      <c r="N183" s="58">
        <v>4</v>
      </c>
      <c r="O183" s="58">
        <v>1</v>
      </c>
      <c r="P183" s="58">
        <v>3</v>
      </c>
      <c r="Q183" s="58">
        <v>2</v>
      </c>
      <c r="R183" s="58">
        <f>IF(M183=1, '6. PEDIGREE MATRIX'!$B$4, IF(M183=2, '6. PEDIGREE MATRIX'!$C$4, IF(M183=3, '6. PEDIGREE MATRIX'!$D$4, IF(M183=4, '6. PEDIGREE MATRIX'!$E$4, IF(M183=5, '6. PEDIGREE MATRIX'!$F$4)))))</f>
        <v>1.0935646911485417</v>
      </c>
      <c r="S183" s="58">
        <f>IF(N183=1, '6. PEDIGREE MATRIX'!$B$6, IF(N183=2, '6. PEDIGREE MATRIX'!$C$6, IF(N183=3, '6. PEDIGREE MATRIX'!$D$6, IF(N183=4, '6. PEDIGREE MATRIX'!$E$6, IF(N183=5, '6. PEDIGREE MATRIX'!$F$6)))))</f>
        <v>1.0457364348384068</v>
      </c>
      <c r="T183" s="58">
        <f>IF(O183=1, '6. PEDIGREE MATRIX'!$B$8, IF(O183=2, '6. PEDIGREE MATRIX'!$C$8, IF(O183=3, '6. PEDIGREE MATRIX'!$D$8, IF(O183=4, '6. PEDIGREE MATRIX'!$E$8, IF(O183=5, '6. PEDIGREE MATRIX'!$F$8)))))</f>
        <v>1</v>
      </c>
      <c r="U183" s="58">
        <f>IF(P183=1, '6. PEDIGREE MATRIX'!$B$10, IF(P183=2, '6. PEDIGREE MATRIX'!$C$10, IF(P183=3, '6. PEDIGREE MATRIX'!$D$10, IF(P183=4, '6. PEDIGREE MATRIX'!$E$10, IF(P183=5, '6. PEDIGREE MATRIX'!$F$10)))))</f>
        <v>1.0100501670841679</v>
      </c>
      <c r="V183" s="58">
        <f>IF(Q183=1, '6. PEDIGREE MATRIX'!$B$12, IF(Q183=2, '6. PEDIGREE MATRIX'!$C$12, IF(Q183=3, '6. PEDIGREE MATRIX'!$D$12, IF(Q183=4, '6. PEDIGREE MATRIX'!$E$12, IF(Q183=5, '6. PEDIGREE MATRIX'!$F$12)))))</f>
        <v>1.0247973619913604</v>
      </c>
      <c r="W183" s="58">
        <v>5.9999999999999995E-4</v>
      </c>
      <c r="X183" s="63">
        <f>EXP(SQRT(W183))</f>
        <v>1.0247973619913604</v>
      </c>
    </row>
    <row r="184" spans="1:24" x14ac:dyDescent="0.3">
      <c r="A184" s="293" t="s">
        <v>2611</v>
      </c>
      <c r="B184" s="297">
        <f>'18. CVD'!$D$7</f>
        <v>3.6969535877518741E-6</v>
      </c>
      <c r="C184" s="3" t="s">
        <v>153</v>
      </c>
      <c r="D184" s="3" t="s">
        <v>385</v>
      </c>
      <c r="E184" s="58" t="s">
        <v>2621</v>
      </c>
      <c r="F184" s="3" t="s">
        <v>371</v>
      </c>
      <c r="G184" s="3" t="s">
        <v>346</v>
      </c>
      <c r="H184" s="3" t="s">
        <v>154</v>
      </c>
      <c r="I184" s="58">
        <v>3</v>
      </c>
      <c r="J184" s="58">
        <f>IF(B184=0,"(Unknown)",LN((ABS(B184))))</f>
        <v>-12.50800143211837</v>
      </c>
      <c r="K184" s="58">
        <f>IF(B184&gt;0,SQRT(LN(L184)),"(Unknown)")</f>
        <v>0.32603904386951327</v>
      </c>
      <c r="L184" s="90">
        <f>IF(B184&gt;0,(EXP(SQRT((LN(X184))^2+(LN(R184))^2+(LN(S184))^2+(LN(T184))^2+(LN(U184))^2+(LN(V184))^2))),"(Unknown)")</f>
        <v>1.1121570947719619</v>
      </c>
      <c r="M184" s="58">
        <v>4</v>
      </c>
      <c r="N184" s="58">
        <v>4</v>
      </c>
      <c r="O184" s="58">
        <v>1</v>
      </c>
      <c r="P184" s="58">
        <v>3</v>
      </c>
      <c r="Q184" s="58">
        <v>2</v>
      </c>
      <c r="R184" s="58">
        <f>IF(M184=1, '6. PEDIGREE MATRIX'!$B$4, IF(M184=2, '6. PEDIGREE MATRIX'!$C$4, IF(M184=3, '6. PEDIGREE MATRIX'!$D$4, IF(M184=4, '6. PEDIGREE MATRIX'!$E$4, IF(M184=5, '6. PEDIGREE MATRIX'!$F$4)))))</f>
        <v>1.0935646911485417</v>
      </c>
      <c r="S184" s="58">
        <f>IF(N184=1, '6. PEDIGREE MATRIX'!$B$6, IF(N184=2, '6. PEDIGREE MATRIX'!$C$6, IF(N184=3, '6. PEDIGREE MATRIX'!$D$6, IF(N184=4, '6. PEDIGREE MATRIX'!$E$6, IF(N184=5, '6. PEDIGREE MATRIX'!$F$6)))))</f>
        <v>1.0457364348384068</v>
      </c>
      <c r="T184" s="58">
        <f>IF(O184=1, '6. PEDIGREE MATRIX'!$B$8, IF(O184=2, '6. PEDIGREE MATRIX'!$C$8, IF(O184=3, '6. PEDIGREE MATRIX'!$D$8, IF(O184=4, '6. PEDIGREE MATRIX'!$E$8, IF(O184=5, '6. PEDIGREE MATRIX'!$F$8)))))</f>
        <v>1</v>
      </c>
      <c r="U184" s="58">
        <f>IF(P184=1, '6. PEDIGREE MATRIX'!$B$10, IF(P184=2, '6. PEDIGREE MATRIX'!$C$10, IF(P184=3, '6. PEDIGREE MATRIX'!$D$10, IF(P184=4, '6. PEDIGREE MATRIX'!$E$10, IF(P184=5, '6. PEDIGREE MATRIX'!$F$10)))))</f>
        <v>1.0100501670841679</v>
      </c>
      <c r="V184" s="58">
        <f>IF(Q184=1, '6. PEDIGREE MATRIX'!$B$12, IF(Q184=2, '6. PEDIGREE MATRIX'!$C$12, IF(Q184=3, '6. PEDIGREE MATRIX'!$D$12, IF(Q184=4, '6. PEDIGREE MATRIX'!$E$12, IF(Q184=5, '6. PEDIGREE MATRIX'!$F$12)))))</f>
        <v>1.0247973619913604</v>
      </c>
      <c r="W184" s="58">
        <v>5.9999999999999995E-4</v>
      </c>
      <c r="X184" s="63">
        <f>EXP(SQRT(W184))</f>
        <v>1.0247973619913604</v>
      </c>
    </row>
    <row r="185" spans="1:24" x14ac:dyDescent="0.3">
      <c r="A185" s="293" t="s">
        <v>700</v>
      </c>
      <c r="B185" s="297">
        <f>'18. CVD'!$D$8</f>
        <v>8.0217113308517331E-6</v>
      </c>
      <c r="C185" s="3" t="s">
        <v>153</v>
      </c>
      <c r="D185" s="3" t="s">
        <v>385</v>
      </c>
      <c r="E185" s="58" t="s">
        <v>463</v>
      </c>
      <c r="F185" s="3" t="s">
        <v>371</v>
      </c>
      <c r="G185" s="3" t="s">
        <v>346</v>
      </c>
      <c r="H185" s="3" t="s">
        <v>154</v>
      </c>
      <c r="I185" s="58">
        <v>2</v>
      </c>
      <c r="J185" s="58">
        <f t="shared" ref="J185:J195" si="60">IF(B185=0,"(Unknown)",LN((ABS(B185))))</f>
        <v>-11.733358775949526</v>
      </c>
      <c r="K185" s="58">
        <f t="shared" ref="K185:K195" si="61">IF(B185&gt;0,SQRT(LN(L185)),"(Unknown)")</f>
        <v>0.32603904386951327</v>
      </c>
      <c r="L185" s="90">
        <f t="shared" ref="L185:L195" si="62">IF(B185&gt;0,(EXP(SQRT((LN(X185))^2+(LN(R185))^2+(LN(S185))^2+(LN(T185))^2+(LN(U185))^2+(LN(V185))^2))),"(Unknown)")</f>
        <v>1.1121570947719619</v>
      </c>
      <c r="M185" s="58">
        <v>4</v>
      </c>
      <c r="N185" s="58">
        <v>4</v>
      </c>
      <c r="O185" s="58">
        <v>1</v>
      </c>
      <c r="P185" s="58">
        <v>3</v>
      </c>
      <c r="Q185" s="58">
        <v>2</v>
      </c>
      <c r="R185" s="58">
        <f>IF(M185=1, '6. PEDIGREE MATRIX'!$B$4, IF(M185=2, '6. PEDIGREE MATRIX'!$C$4, IF(M185=3, '6. PEDIGREE MATRIX'!$D$4, IF(M185=4, '6. PEDIGREE MATRIX'!$E$4, IF(M185=5, '6. PEDIGREE MATRIX'!$F$4)))))</f>
        <v>1.0935646911485417</v>
      </c>
      <c r="S185" s="58">
        <f>IF(N185=1, '6. PEDIGREE MATRIX'!$B$6, IF(N185=2, '6. PEDIGREE MATRIX'!$C$6, IF(N185=3, '6. PEDIGREE MATRIX'!$D$6, IF(N185=4, '6. PEDIGREE MATRIX'!$E$6, IF(N185=5, '6. PEDIGREE MATRIX'!$F$6)))))</f>
        <v>1.0457364348384068</v>
      </c>
      <c r="T185" s="58">
        <f>IF(O185=1, '6. PEDIGREE MATRIX'!$B$8, IF(O185=2, '6. PEDIGREE MATRIX'!$C$8, IF(O185=3, '6. PEDIGREE MATRIX'!$D$8, IF(O185=4, '6. PEDIGREE MATRIX'!$E$8, IF(O185=5, '6. PEDIGREE MATRIX'!$F$8)))))</f>
        <v>1</v>
      </c>
      <c r="U185" s="58">
        <f>IF(P185=1, '6. PEDIGREE MATRIX'!$B$10, IF(P185=2, '6. PEDIGREE MATRIX'!$C$10, IF(P185=3, '6. PEDIGREE MATRIX'!$D$10, IF(P185=4, '6. PEDIGREE MATRIX'!$E$10, IF(P185=5, '6. PEDIGREE MATRIX'!$F$10)))))</f>
        <v>1.0100501670841679</v>
      </c>
      <c r="V185" s="58">
        <f>IF(Q185=1, '6. PEDIGREE MATRIX'!$B$12, IF(Q185=2, '6. PEDIGREE MATRIX'!$C$12, IF(Q185=3, '6. PEDIGREE MATRIX'!$D$12, IF(Q185=4, '6. PEDIGREE MATRIX'!$E$12, IF(Q185=5, '6. PEDIGREE MATRIX'!$F$12)))))</f>
        <v>1.0247973619913604</v>
      </c>
      <c r="W185" s="58">
        <v>5.9999999999999995E-4</v>
      </c>
      <c r="X185" s="63">
        <f t="shared" ref="X185:X188" si="63">EXP(SQRT(W185))</f>
        <v>1.0247973619913604</v>
      </c>
    </row>
    <row r="186" spans="1:24" x14ac:dyDescent="0.3">
      <c r="A186" s="293" t="s">
        <v>380</v>
      </c>
      <c r="B186" s="297">
        <f>'18. CVD'!$D$9</f>
        <v>4.4409169857590146E-5</v>
      </c>
      <c r="C186" s="3" t="s">
        <v>153</v>
      </c>
      <c r="D186" s="3" t="s">
        <v>385</v>
      </c>
      <c r="E186" s="58" t="s">
        <v>155</v>
      </c>
      <c r="F186" s="3" t="s">
        <v>371</v>
      </c>
      <c r="G186" s="3" t="s">
        <v>429</v>
      </c>
      <c r="H186" s="3" t="s">
        <v>154</v>
      </c>
      <c r="I186" s="58">
        <v>2</v>
      </c>
      <c r="J186" s="58">
        <f t="shared" si="60"/>
        <v>-10.022064581526031</v>
      </c>
      <c r="K186" s="58">
        <f t="shared" si="61"/>
        <v>0.32603904386951327</v>
      </c>
      <c r="L186" s="90">
        <f t="shared" si="62"/>
        <v>1.1121570947719619</v>
      </c>
      <c r="M186" s="58">
        <v>4</v>
      </c>
      <c r="N186" s="58">
        <v>4</v>
      </c>
      <c r="O186" s="58">
        <v>1</v>
      </c>
      <c r="P186" s="58">
        <v>3</v>
      </c>
      <c r="Q186" s="58">
        <v>2</v>
      </c>
      <c r="R186" s="58">
        <f>IF(M186=1, '6. PEDIGREE MATRIX'!$B$4, IF(M186=2, '6. PEDIGREE MATRIX'!$C$4, IF(M186=3, '6. PEDIGREE MATRIX'!$D$4, IF(M186=4, '6. PEDIGREE MATRIX'!$E$4, IF(M186=5, '6. PEDIGREE MATRIX'!$F$4)))))</f>
        <v>1.0935646911485417</v>
      </c>
      <c r="S186" s="58">
        <f>IF(N186=1, '6. PEDIGREE MATRIX'!$B$6, IF(N186=2, '6. PEDIGREE MATRIX'!$C$6, IF(N186=3, '6. PEDIGREE MATRIX'!$D$6, IF(N186=4, '6. PEDIGREE MATRIX'!$E$6, IF(N186=5, '6. PEDIGREE MATRIX'!$F$6)))))</f>
        <v>1.0457364348384068</v>
      </c>
      <c r="T186" s="58">
        <f>IF(O186=1, '6. PEDIGREE MATRIX'!$B$8, IF(O186=2, '6. PEDIGREE MATRIX'!$C$8, IF(O186=3, '6. PEDIGREE MATRIX'!$D$8, IF(O186=4, '6. PEDIGREE MATRIX'!$E$8, IF(O186=5, '6. PEDIGREE MATRIX'!$F$8)))))</f>
        <v>1</v>
      </c>
      <c r="U186" s="58">
        <f>IF(P186=1, '6. PEDIGREE MATRIX'!$B$10, IF(P186=2, '6. PEDIGREE MATRIX'!$C$10, IF(P186=3, '6. PEDIGREE MATRIX'!$D$10, IF(P186=4, '6. PEDIGREE MATRIX'!$E$10, IF(P186=5, '6. PEDIGREE MATRIX'!$F$10)))))</f>
        <v>1.0100501670841679</v>
      </c>
      <c r="V186" s="58">
        <f>IF(Q186=1, '6. PEDIGREE MATRIX'!$B$12, IF(Q186=2, '6. PEDIGREE MATRIX'!$C$12, IF(Q186=3, '6. PEDIGREE MATRIX'!$D$12, IF(Q186=4, '6. PEDIGREE MATRIX'!$E$12, IF(Q186=5, '6. PEDIGREE MATRIX'!$F$12)))))</f>
        <v>1.0247973619913604</v>
      </c>
      <c r="W186" s="58">
        <v>5.9999999999999995E-4</v>
      </c>
      <c r="X186" s="63">
        <f t="shared" si="63"/>
        <v>1.0247973619913604</v>
      </c>
    </row>
    <row r="187" spans="1:24" x14ac:dyDescent="0.3">
      <c r="A187" s="287" t="s">
        <v>379</v>
      </c>
      <c r="B187" s="297">
        <f>'18. CVD'!$D$10</f>
        <v>5.9289390896380868E-6</v>
      </c>
      <c r="C187" s="3" t="s">
        <v>153</v>
      </c>
      <c r="D187" s="3" t="s">
        <v>385</v>
      </c>
      <c r="E187" s="58" t="s">
        <v>401</v>
      </c>
      <c r="F187" s="3" t="s">
        <v>371</v>
      </c>
      <c r="G187" s="3" t="s">
        <v>346</v>
      </c>
      <c r="H187" s="3" t="s">
        <v>154</v>
      </c>
      <c r="I187" s="58">
        <v>2</v>
      </c>
      <c r="J187" s="58">
        <f t="shared" si="60"/>
        <v>-12.035665266586115</v>
      </c>
      <c r="K187" s="58">
        <f t="shared" si="61"/>
        <v>0.32603904386951327</v>
      </c>
      <c r="L187" s="90">
        <f t="shared" si="62"/>
        <v>1.1121570947719619</v>
      </c>
      <c r="M187" s="58">
        <v>4</v>
      </c>
      <c r="N187" s="58">
        <v>4</v>
      </c>
      <c r="O187" s="58">
        <v>1</v>
      </c>
      <c r="P187" s="58">
        <v>3</v>
      </c>
      <c r="Q187" s="58">
        <v>2</v>
      </c>
      <c r="R187" s="58">
        <f>IF(M187=1, '6. PEDIGREE MATRIX'!$B$4, IF(M187=2, '6. PEDIGREE MATRIX'!$C$4, IF(M187=3, '6. PEDIGREE MATRIX'!$D$4, IF(M187=4, '6. PEDIGREE MATRIX'!$E$4, IF(M187=5, '6. PEDIGREE MATRIX'!$F$4)))))</f>
        <v>1.0935646911485417</v>
      </c>
      <c r="S187" s="58">
        <f>IF(N187=1, '6. PEDIGREE MATRIX'!$B$6, IF(N187=2, '6. PEDIGREE MATRIX'!$C$6, IF(N187=3, '6. PEDIGREE MATRIX'!$D$6, IF(N187=4, '6. PEDIGREE MATRIX'!$E$6, IF(N187=5, '6. PEDIGREE MATRIX'!$F$6)))))</f>
        <v>1.0457364348384068</v>
      </c>
      <c r="T187" s="58">
        <f>IF(O187=1, '6. PEDIGREE MATRIX'!$B$8, IF(O187=2, '6. PEDIGREE MATRIX'!$C$8, IF(O187=3, '6. PEDIGREE MATRIX'!$D$8, IF(O187=4, '6. PEDIGREE MATRIX'!$E$8, IF(O187=5, '6. PEDIGREE MATRIX'!$F$8)))))</f>
        <v>1</v>
      </c>
      <c r="U187" s="58">
        <f>IF(P187=1, '6. PEDIGREE MATRIX'!$B$10, IF(P187=2, '6. PEDIGREE MATRIX'!$C$10, IF(P187=3, '6. PEDIGREE MATRIX'!$D$10, IF(P187=4, '6. PEDIGREE MATRIX'!$E$10, IF(P187=5, '6. PEDIGREE MATRIX'!$F$10)))))</f>
        <v>1.0100501670841679</v>
      </c>
      <c r="V187" s="58">
        <f>IF(Q187=1, '6. PEDIGREE MATRIX'!$B$12, IF(Q187=2, '6. PEDIGREE MATRIX'!$C$12, IF(Q187=3, '6. PEDIGREE MATRIX'!$D$12, IF(Q187=4, '6. PEDIGREE MATRIX'!$E$12, IF(Q187=5, '6. PEDIGREE MATRIX'!$F$12)))))</f>
        <v>1.0247973619913604</v>
      </c>
      <c r="W187" s="58">
        <v>5.9999999999999995E-4</v>
      </c>
      <c r="X187" s="63">
        <f t="shared" si="63"/>
        <v>1.0247973619913604</v>
      </c>
    </row>
    <row r="188" spans="1:24" x14ac:dyDescent="0.3">
      <c r="A188" s="49" t="s">
        <v>375</v>
      </c>
      <c r="B188" s="297">
        <f>'18. CVD'!$D$11</f>
        <v>5.3346543575137701E-5</v>
      </c>
      <c r="C188" s="3" t="s">
        <v>153</v>
      </c>
      <c r="D188" s="3" t="s">
        <v>385</v>
      </c>
      <c r="E188" s="58" t="s">
        <v>393</v>
      </c>
      <c r="F188" s="3" t="s">
        <v>371</v>
      </c>
      <c r="G188" s="3" t="s">
        <v>429</v>
      </c>
      <c r="H188" s="3" t="s">
        <v>154</v>
      </c>
      <c r="I188" s="58">
        <v>2</v>
      </c>
      <c r="J188" s="58">
        <f t="shared" si="60"/>
        <v>-9.8387013700353325</v>
      </c>
      <c r="K188" s="58">
        <f t="shared" si="61"/>
        <v>0.32603904386951327</v>
      </c>
      <c r="L188" s="90">
        <f t="shared" si="62"/>
        <v>1.1121570947719619</v>
      </c>
      <c r="M188" s="58">
        <v>4</v>
      </c>
      <c r="N188" s="58">
        <v>4</v>
      </c>
      <c r="O188" s="58">
        <v>1</v>
      </c>
      <c r="P188" s="58">
        <v>3</v>
      </c>
      <c r="Q188" s="58">
        <v>2</v>
      </c>
      <c r="R188" s="58">
        <f>IF(M188=1, '6. PEDIGREE MATRIX'!$B$4, IF(M188=2, '6. PEDIGREE MATRIX'!$C$4, IF(M188=3, '6. PEDIGREE MATRIX'!$D$4, IF(M188=4, '6. PEDIGREE MATRIX'!$E$4, IF(M188=5, '6. PEDIGREE MATRIX'!$F$4)))))</f>
        <v>1.0935646911485417</v>
      </c>
      <c r="S188" s="58">
        <f>IF(N188=1, '6. PEDIGREE MATRIX'!$B$6, IF(N188=2, '6. PEDIGREE MATRIX'!$C$6, IF(N188=3, '6. PEDIGREE MATRIX'!$D$6, IF(N188=4, '6. PEDIGREE MATRIX'!$E$6, IF(N188=5, '6. PEDIGREE MATRIX'!$F$6)))))</f>
        <v>1.0457364348384068</v>
      </c>
      <c r="T188" s="58">
        <f>IF(O188=1, '6. PEDIGREE MATRIX'!$B$8, IF(O188=2, '6. PEDIGREE MATRIX'!$C$8, IF(O188=3, '6. PEDIGREE MATRIX'!$D$8, IF(O188=4, '6. PEDIGREE MATRIX'!$E$8, IF(O188=5, '6. PEDIGREE MATRIX'!$F$8)))))</f>
        <v>1</v>
      </c>
      <c r="U188" s="58">
        <f>IF(P188=1, '6. PEDIGREE MATRIX'!$B$10, IF(P188=2, '6. PEDIGREE MATRIX'!$C$10, IF(P188=3, '6. PEDIGREE MATRIX'!$D$10, IF(P188=4, '6. PEDIGREE MATRIX'!$E$10, IF(P188=5, '6. PEDIGREE MATRIX'!$F$10)))))</f>
        <v>1.0100501670841679</v>
      </c>
      <c r="V188" s="58">
        <f>IF(Q188=1, '6. PEDIGREE MATRIX'!$B$12, IF(Q188=2, '6. PEDIGREE MATRIX'!$C$12, IF(Q188=3, '6. PEDIGREE MATRIX'!$D$12, IF(Q188=4, '6. PEDIGREE MATRIX'!$E$12, IF(Q188=5, '6. PEDIGREE MATRIX'!$F$12)))))</f>
        <v>1.0247973619913604</v>
      </c>
      <c r="W188" s="58">
        <v>5.9999999999999995E-4</v>
      </c>
      <c r="X188" s="63">
        <f t="shared" si="63"/>
        <v>1.0247973619913604</v>
      </c>
    </row>
    <row r="189" spans="1:24" x14ac:dyDescent="0.3">
      <c r="A189" s="293" t="s">
        <v>962</v>
      </c>
      <c r="B189" s="297">
        <f>'18. CVD'!$D$12</f>
        <v>3.2652128319745992E-6</v>
      </c>
      <c r="C189" s="3" t="s">
        <v>153</v>
      </c>
      <c r="D189" s="3" t="s">
        <v>385</v>
      </c>
      <c r="E189" s="58" t="s">
        <v>392</v>
      </c>
      <c r="F189" s="3" t="s">
        <v>371</v>
      </c>
      <c r="G189" s="3" t="s">
        <v>429</v>
      </c>
      <c r="H189" s="3" t="s">
        <v>154</v>
      </c>
      <c r="I189" s="58">
        <v>2</v>
      </c>
      <c r="J189" s="58">
        <f t="shared" si="60"/>
        <v>-12.63218561145699</v>
      </c>
      <c r="K189" s="58">
        <f t="shared" si="61"/>
        <v>0.32603904386951327</v>
      </c>
      <c r="L189" s="90">
        <f t="shared" si="62"/>
        <v>1.1121570947719619</v>
      </c>
      <c r="M189" s="58">
        <v>4</v>
      </c>
      <c r="N189" s="58">
        <v>4</v>
      </c>
      <c r="O189" s="58">
        <v>1</v>
      </c>
      <c r="P189" s="58">
        <v>3</v>
      </c>
      <c r="Q189" s="58">
        <v>2</v>
      </c>
      <c r="R189" s="58">
        <f>IF(M189=1, '6. PEDIGREE MATRIX'!$B$4, IF(M189=2, '6. PEDIGREE MATRIX'!$C$4, IF(M189=3, '6. PEDIGREE MATRIX'!$D$4, IF(M189=4, '6. PEDIGREE MATRIX'!$E$4, IF(M189=5, '6. PEDIGREE MATRIX'!$F$4)))))</f>
        <v>1.0935646911485417</v>
      </c>
      <c r="S189" s="58">
        <f>IF(N189=1, '6. PEDIGREE MATRIX'!$B$6, IF(N189=2, '6. PEDIGREE MATRIX'!$C$6, IF(N189=3, '6. PEDIGREE MATRIX'!$D$6, IF(N189=4, '6. PEDIGREE MATRIX'!$E$6, IF(N189=5, '6. PEDIGREE MATRIX'!$F$6)))))</f>
        <v>1.0457364348384068</v>
      </c>
      <c r="T189" s="58">
        <f>IF(O189=1, '6. PEDIGREE MATRIX'!$B$8, IF(O189=2, '6. PEDIGREE MATRIX'!$C$8, IF(O189=3, '6. PEDIGREE MATRIX'!$D$8, IF(O189=4, '6. PEDIGREE MATRIX'!$E$8, IF(O189=5, '6. PEDIGREE MATRIX'!$F$8)))))</f>
        <v>1</v>
      </c>
      <c r="U189" s="58">
        <f>IF(P189=1, '6. PEDIGREE MATRIX'!$B$10, IF(P189=2, '6. PEDIGREE MATRIX'!$C$10, IF(P189=3, '6. PEDIGREE MATRIX'!$D$10, IF(P189=4, '6. PEDIGREE MATRIX'!$E$10, IF(P189=5, '6. PEDIGREE MATRIX'!$F$10)))))</f>
        <v>1.0100501670841679</v>
      </c>
      <c r="V189" s="58">
        <f>IF(Q189=1, '6. PEDIGREE MATRIX'!$B$12, IF(Q189=2, '6. PEDIGREE MATRIX'!$C$12, IF(Q189=3, '6. PEDIGREE MATRIX'!$D$12, IF(Q189=4, '6. PEDIGREE MATRIX'!$E$12, IF(Q189=5, '6. PEDIGREE MATRIX'!$F$12)))))</f>
        <v>1.0247973619913604</v>
      </c>
      <c r="W189" s="58">
        <v>5.9999999999999995E-4</v>
      </c>
      <c r="X189" s="63">
        <f t="shared" ref="X189:X191" si="64">EXP(SQRT(W189))</f>
        <v>1.0247973619913604</v>
      </c>
    </row>
    <row r="190" spans="1:24" x14ac:dyDescent="0.3">
      <c r="A190" s="323" t="s">
        <v>381</v>
      </c>
      <c r="B190" s="297">
        <f>'18. CVD'!$D$13</f>
        <v>2.4526903967337611E-6</v>
      </c>
      <c r="C190" s="3" t="s">
        <v>153</v>
      </c>
      <c r="D190" s="3" t="s">
        <v>385</v>
      </c>
      <c r="E190" s="58" t="s">
        <v>405</v>
      </c>
      <c r="F190" s="3" t="s">
        <v>371</v>
      </c>
      <c r="G190" s="3" t="s">
        <v>429</v>
      </c>
      <c r="H190" s="3" t="s">
        <v>154</v>
      </c>
      <c r="I190" s="58">
        <v>2</v>
      </c>
      <c r="J190" s="58">
        <f t="shared" si="60"/>
        <v>-12.918325014785776</v>
      </c>
      <c r="K190" s="58">
        <f t="shared" si="61"/>
        <v>0.32603904386951327</v>
      </c>
      <c r="L190" s="90">
        <f t="shared" si="62"/>
        <v>1.1121570947719619</v>
      </c>
      <c r="M190" s="58">
        <v>4</v>
      </c>
      <c r="N190" s="58">
        <v>4</v>
      </c>
      <c r="O190" s="58">
        <v>1</v>
      </c>
      <c r="P190" s="58">
        <v>3</v>
      </c>
      <c r="Q190" s="58">
        <v>2</v>
      </c>
      <c r="R190" s="58">
        <f>IF(M190=1, '6. PEDIGREE MATRIX'!$B$4, IF(M190=2, '6. PEDIGREE MATRIX'!$C$4, IF(M190=3, '6. PEDIGREE MATRIX'!$D$4, IF(M190=4, '6. PEDIGREE MATRIX'!$E$4, IF(M190=5, '6. PEDIGREE MATRIX'!$F$4)))))</f>
        <v>1.0935646911485417</v>
      </c>
      <c r="S190" s="58">
        <f>IF(N190=1, '6. PEDIGREE MATRIX'!$B$6, IF(N190=2, '6. PEDIGREE MATRIX'!$C$6, IF(N190=3, '6. PEDIGREE MATRIX'!$D$6, IF(N190=4, '6. PEDIGREE MATRIX'!$E$6, IF(N190=5, '6. PEDIGREE MATRIX'!$F$6)))))</f>
        <v>1.0457364348384068</v>
      </c>
      <c r="T190" s="58">
        <f>IF(O190=1, '6. PEDIGREE MATRIX'!$B$8, IF(O190=2, '6. PEDIGREE MATRIX'!$C$8, IF(O190=3, '6. PEDIGREE MATRIX'!$D$8, IF(O190=4, '6. PEDIGREE MATRIX'!$E$8, IF(O190=5, '6. PEDIGREE MATRIX'!$F$8)))))</f>
        <v>1</v>
      </c>
      <c r="U190" s="58">
        <f>IF(P190=1, '6. PEDIGREE MATRIX'!$B$10, IF(P190=2, '6. PEDIGREE MATRIX'!$C$10, IF(P190=3, '6. PEDIGREE MATRIX'!$D$10, IF(P190=4, '6. PEDIGREE MATRIX'!$E$10, IF(P190=5, '6. PEDIGREE MATRIX'!$F$10)))))</f>
        <v>1.0100501670841679</v>
      </c>
      <c r="V190" s="58">
        <f>IF(Q190=1, '6. PEDIGREE MATRIX'!$B$12, IF(Q190=2, '6. PEDIGREE MATRIX'!$C$12, IF(Q190=3, '6. PEDIGREE MATRIX'!$D$12, IF(Q190=4, '6. PEDIGREE MATRIX'!$E$12, IF(Q190=5, '6. PEDIGREE MATRIX'!$F$12)))))</f>
        <v>1.0247973619913604</v>
      </c>
      <c r="W190" s="58">
        <v>5.9999999999999995E-4</v>
      </c>
      <c r="X190" s="63">
        <f t="shared" si="64"/>
        <v>1.0247973619913604</v>
      </c>
    </row>
    <row r="191" spans="1:24" x14ac:dyDescent="0.3">
      <c r="A191" s="287" t="s">
        <v>902</v>
      </c>
      <c r="B191" s="297">
        <f>'18. CVD'!$D$14</f>
        <v>1.548226442276798E-7</v>
      </c>
      <c r="C191" s="3" t="s">
        <v>153</v>
      </c>
      <c r="D191" s="3" t="s">
        <v>385</v>
      </c>
      <c r="E191" s="58" t="s">
        <v>1429</v>
      </c>
      <c r="F191" s="3" t="s">
        <v>371</v>
      </c>
      <c r="G191" s="3" t="s">
        <v>346</v>
      </c>
      <c r="H191" s="3" t="s">
        <v>154</v>
      </c>
      <c r="I191" s="58">
        <v>2</v>
      </c>
      <c r="J191" s="58">
        <f t="shared" si="60"/>
        <v>-15.680985605948173</v>
      </c>
      <c r="K191" s="58">
        <f t="shared" si="61"/>
        <v>0.32603904386951327</v>
      </c>
      <c r="L191" s="90">
        <f t="shared" si="62"/>
        <v>1.1121570947719619</v>
      </c>
      <c r="M191" s="58">
        <v>4</v>
      </c>
      <c r="N191" s="58">
        <v>4</v>
      </c>
      <c r="O191" s="58">
        <v>1</v>
      </c>
      <c r="P191" s="58">
        <v>3</v>
      </c>
      <c r="Q191" s="58">
        <v>2</v>
      </c>
      <c r="R191" s="58">
        <f>IF(M191=1, '6. PEDIGREE MATRIX'!$B$4, IF(M191=2, '6. PEDIGREE MATRIX'!$C$4, IF(M191=3, '6. PEDIGREE MATRIX'!$D$4, IF(M191=4, '6. PEDIGREE MATRIX'!$E$4, IF(M191=5, '6. PEDIGREE MATRIX'!$F$4)))))</f>
        <v>1.0935646911485417</v>
      </c>
      <c r="S191" s="58">
        <f>IF(N191=1, '6. PEDIGREE MATRIX'!$B$6, IF(N191=2, '6. PEDIGREE MATRIX'!$C$6, IF(N191=3, '6. PEDIGREE MATRIX'!$D$6, IF(N191=4, '6. PEDIGREE MATRIX'!$E$6, IF(N191=5, '6. PEDIGREE MATRIX'!$F$6)))))</f>
        <v>1.0457364348384068</v>
      </c>
      <c r="T191" s="58">
        <f>IF(O191=1, '6. PEDIGREE MATRIX'!$B$8, IF(O191=2, '6. PEDIGREE MATRIX'!$C$8, IF(O191=3, '6. PEDIGREE MATRIX'!$D$8, IF(O191=4, '6. PEDIGREE MATRIX'!$E$8, IF(O191=5, '6. PEDIGREE MATRIX'!$F$8)))))</f>
        <v>1</v>
      </c>
      <c r="U191" s="58">
        <f>IF(P191=1, '6. PEDIGREE MATRIX'!$B$10, IF(P191=2, '6. PEDIGREE MATRIX'!$C$10, IF(P191=3, '6. PEDIGREE MATRIX'!$D$10, IF(P191=4, '6. PEDIGREE MATRIX'!$E$10, IF(P191=5, '6. PEDIGREE MATRIX'!$F$10)))))</f>
        <v>1.0100501670841679</v>
      </c>
      <c r="V191" s="58">
        <f>IF(Q191=1, '6. PEDIGREE MATRIX'!$B$12, IF(Q191=2, '6. PEDIGREE MATRIX'!$C$12, IF(Q191=3, '6. PEDIGREE MATRIX'!$D$12, IF(Q191=4, '6. PEDIGREE MATRIX'!$E$12, IF(Q191=5, '6. PEDIGREE MATRIX'!$F$12)))))</f>
        <v>1.0247973619913604</v>
      </c>
      <c r="W191" s="58">
        <v>5.9999999999999995E-4</v>
      </c>
      <c r="X191" s="63">
        <f t="shared" si="64"/>
        <v>1.0247973619913604</v>
      </c>
    </row>
    <row r="192" spans="1:24" x14ac:dyDescent="0.3">
      <c r="A192" s="449" t="s">
        <v>702</v>
      </c>
      <c r="B192" s="505">
        <f>'18. CVD'!$D$15</f>
        <v>3.0148201347907945E-8</v>
      </c>
      <c r="C192" s="3" t="s">
        <v>153</v>
      </c>
      <c r="D192" s="3" t="s">
        <v>385</v>
      </c>
      <c r="E192" s="58" t="s">
        <v>1829</v>
      </c>
      <c r="F192" s="3" t="s">
        <v>371</v>
      </c>
      <c r="G192" s="3" t="s">
        <v>346</v>
      </c>
      <c r="H192" s="3" t="s">
        <v>154</v>
      </c>
      <c r="I192" s="58">
        <v>2</v>
      </c>
      <c r="J192" s="58">
        <f t="shared" si="60"/>
        <v>-17.317140572338559</v>
      </c>
      <c r="K192" s="58">
        <f t="shared" si="61"/>
        <v>0.32603904386951327</v>
      </c>
      <c r="L192" s="90">
        <f t="shared" si="62"/>
        <v>1.1121570947719619</v>
      </c>
      <c r="M192" s="58">
        <v>4</v>
      </c>
      <c r="N192" s="58">
        <v>4</v>
      </c>
      <c r="O192" s="58">
        <v>1</v>
      </c>
      <c r="P192" s="58">
        <v>3</v>
      </c>
      <c r="Q192" s="58">
        <v>2</v>
      </c>
      <c r="R192" s="58">
        <f>IF(M192=1, '6. PEDIGREE MATRIX'!$B$4, IF(M192=2, '6. PEDIGREE MATRIX'!$C$4, IF(M192=3, '6. PEDIGREE MATRIX'!$D$4, IF(M192=4, '6. PEDIGREE MATRIX'!$E$4, IF(M192=5, '6. PEDIGREE MATRIX'!$F$4)))))</f>
        <v>1.0935646911485417</v>
      </c>
      <c r="S192" s="58">
        <f>IF(N192=1, '6. PEDIGREE MATRIX'!$B$6, IF(N192=2, '6. PEDIGREE MATRIX'!$C$6, IF(N192=3, '6. PEDIGREE MATRIX'!$D$6, IF(N192=4, '6. PEDIGREE MATRIX'!$E$6, IF(N192=5, '6. PEDIGREE MATRIX'!$F$6)))))</f>
        <v>1.0457364348384068</v>
      </c>
      <c r="T192" s="58">
        <f>IF(O192=1, '6. PEDIGREE MATRIX'!$B$8, IF(O192=2, '6. PEDIGREE MATRIX'!$C$8, IF(O192=3, '6. PEDIGREE MATRIX'!$D$8, IF(O192=4, '6. PEDIGREE MATRIX'!$E$8, IF(O192=5, '6. PEDIGREE MATRIX'!$F$8)))))</f>
        <v>1</v>
      </c>
      <c r="U192" s="58">
        <f>IF(P192=1, '6. PEDIGREE MATRIX'!$B$10, IF(P192=2, '6. PEDIGREE MATRIX'!$C$10, IF(P192=3, '6. PEDIGREE MATRIX'!$D$10, IF(P192=4, '6. PEDIGREE MATRIX'!$E$10, IF(P192=5, '6. PEDIGREE MATRIX'!$F$10)))))</f>
        <v>1.0100501670841679</v>
      </c>
      <c r="V192" s="58">
        <f>IF(Q192=1, '6. PEDIGREE MATRIX'!$B$12, IF(Q192=2, '6. PEDIGREE MATRIX'!$C$12, IF(Q192=3, '6. PEDIGREE MATRIX'!$D$12, IF(Q192=4, '6. PEDIGREE MATRIX'!$E$12, IF(Q192=5, '6. PEDIGREE MATRIX'!$F$12)))))</f>
        <v>1.0247973619913604</v>
      </c>
      <c r="W192" s="58">
        <v>5.9999999999999995E-4</v>
      </c>
      <c r="X192" s="63">
        <f t="shared" ref="X192:X195" si="65">EXP(SQRT(W192))</f>
        <v>1.0247973619913604</v>
      </c>
    </row>
    <row r="193" spans="1:24" x14ac:dyDescent="0.3">
      <c r="A193" s="112" t="s">
        <v>1956</v>
      </c>
      <c r="B193" s="302">
        <f>'24. WAFER FAB'!$D$96</f>
        <v>-3.4302418957296645E-7</v>
      </c>
      <c r="C193" s="112" t="s">
        <v>521</v>
      </c>
      <c r="D193" s="244" t="s">
        <v>385</v>
      </c>
      <c r="E193" s="522" t="s">
        <v>1957</v>
      </c>
      <c r="F193" s="244" t="s">
        <v>371</v>
      </c>
      <c r="G193" s="244" t="s">
        <v>429</v>
      </c>
      <c r="H193" s="244" t="s">
        <v>154</v>
      </c>
      <c r="I193" s="522">
        <v>2</v>
      </c>
      <c r="J193" s="797">
        <f t="shared" si="60"/>
        <v>-14.885464868730793</v>
      </c>
      <c r="K193" s="797" t="str">
        <f t="shared" si="61"/>
        <v>(Unknown)</v>
      </c>
      <c r="L193" s="845" t="str">
        <f t="shared" si="62"/>
        <v>(Unknown)</v>
      </c>
      <c r="M193" s="522">
        <v>4</v>
      </c>
      <c r="N193" s="522">
        <v>4</v>
      </c>
      <c r="O193" s="522">
        <v>1</v>
      </c>
      <c r="P193" s="522">
        <v>3</v>
      </c>
      <c r="Q193" s="522">
        <v>2</v>
      </c>
      <c r="R193" s="797">
        <f>IF(M193=1, '6. PEDIGREE MATRIX'!$B$4, IF(M193=2, '6. PEDIGREE MATRIX'!$C$4, IF(M193=3, '6. PEDIGREE MATRIX'!$D$4, IF(M193=4, '6. PEDIGREE MATRIX'!$E$4, IF(M193=5, '6. PEDIGREE MATRIX'!$F$4)))))</f>
        <v>1.0935646911485417</v>
      </c>
      <c r="S193" s="522">
        <f>IF(N193=1, '6. PEDIGREE MATRIX'!$B$6, IF(N193=2, '6. PEDIGREE MATRIX'!$C$6, IF(N193=3, '6. PEDIGREE MATRIX'!$D$6, IF(N193=4, '6. PEDIGREE MATRIX'!$E$6, IF(N193=5, '6. PEDIGREE MATRIX'!$F$6)))))</f>
        <v>1.0457364348384068</v>
      </c>
      <c r="T193" s="797">
        <f>IF(O193=1, '6. PEDIGREE MATRIX'!$B$8, IF(O193=2, '6. PEDIGREE MATRIX'!$C$8, IF(O193=3, '6. PEDIGREE MATRIX'!$D$8, IF(O193=4, '6. PEDIGREE MATRIX'!$E$8, IF(O193=5, '6. PEDIGREE MATRIX'!$F$8)))))</f>
        <v>1</v>
      </c>
      <c r="U193" s="797">
        <f>IF(P193=1, '6. PEDIGREE MATRIX'!$B$10, IF(P193=2, '6. PEDIGREE MATRIX'!$C$10, IF(P193=3, '6. PEDIGREE MATRIX'!$D$10, IF(P193=4, '6. PEDIGREE MATRIX'!$E$10, IF(P193=5, '6. PEDIGREE MATRIX'!$F$10)))))</f>
        <v>1.0100501670841679</v>
      </c>
      <c r="V193" s="797">
        <f>IF(Q193=1, '6. PEDIGREE MATRIX'!$B$12, IF(Q193=2, '6. PEDIGREE MATRIX'!$C$12, IF(Q193=3, '6. PEDIGREE MATRIX'!$D$12, IF(Q193=4, '6. PEDIGREE MATRIX'!$E$12, IF(Q193=5, '6. PEDIGREE MATRIX'!$F$12)))))</f>
        <v>1.0247973619913604</v>
      </c>
      <c r="W193" s="522">
        <v>5.9999999999999995E-4</v>
      </c>
      <c r="X193" s="524">
        <f t="shared" si="65"/>
        <v>1.0247973619913604</v>
      </c>
    </row>
    <row r="194" spans="1:24" x14ac:dyDescent="0.3">
      <c r="A194" s="116" t="s">
        <v>1968</v>
      </c>
      <c r="B194" s="302">
        <f>'24. WAFER FAB'!$D$97</f>
        <v>-1.7151209478648322E-7</v>
      </c>
      <c r="C194" s="112" t="s">
        <v>521</v>
      </c>
      <c r="D194" s="244" t="s">
        <v>385</v>
      </c>
      <c r="E194" s="522" t="s">
        <v>1969</v>
      </c>
      <c r="F194" s="244" t="s">
        <v>371</v>
      </c>
      <c r="G194" s="244" t="s">
        <v>429</v>
      </c>
      <c r="H194" s="244" t="s">
        <v>154</v>
      </c>
      <c r="I194" s="522">
        <v>2</v>
      </c>
      <c r="J194" s="797">
        <f t="shared" si="60"/>
        <v>-15.578612049290738</v>
      </c>
      <c r="K194" s="797" t="str">
        <f t="shared" si="61"/>
        <v>(Unknown)</v>
      </c>
      <c r="L194" s="845" t="str">
        <f t="shared" si="62"/>
        <v>(Unknown)</v>
      </c>
      <c r="M194" s="522">
        <v>4</v>
      </c>
      <c r="N194" s="522">
        <v>4</v>
      </c>
      <c r="O194" s="522">
        <v>1</v>
      </c>
      <c r="P194" s="522">
        <v>3</v>
      </c>
      <c r="Q194" s="522">
        <v>2</v>
      </c>
      <c r="R194" s="797">
        <f>IF(M194=1, '6. PEDIGREE MATRIX'!$B$4, IF(M194=2, '6. PEDIGREE MATRIX'!$C$4, IF(M194=3, '6. PEDIGREE MATRIX'!$D$4, IF(M194=4, '6. PEDIGREE MATRIX'!$E$4, IF(M194=5, '6. PEDIGREE MATRIX'!$F$4)))))</f>
        <v>1.0935646911485417</v>
      </c>
      <c r="S194" s="522">
        <f>IF(N194=1, '6. PEDIGREE MATRIX'!$B$6, IF(N194=2, '6. PEDIGREE MATRIX'!$C$6, IF(N194=3, '6. PEDIGREE MATRIX'!$D$6, IF(N194=4, '6. PEDIGREE MATRIX'!$E$6, IF(N194=5, '6. PEDIGREE MATRIX'!$F$6)))))</f>
        <v>1.0457364348384068</v>
      </c>
      <c r="T194" s="797">
        <f>IF(O194=1, '6. PEDIGREE MATRIX'!$B$8, IF(O194=2, '6. PEDIGREE MATRIX'!$C$8, IF(O194=3, '6. PEDIGREE MATRIX'!$D$8, IF(O194=4, '6. PEDIGREE MATRIX'!$E$8, IF(O194=5, '6. PEDIGREE MATRIX'!$F$8)))))</f>
        <v>1</v>
      </c>
      <c r="U194" s="797">
        <f>IF(P194=1, '6. PEDIGREE MATRIX'!$B$10, IF(P194=2, '6. PEDIGREE MATRIX'!$C$10, IF(P194=3, '6. PEDIGREE MATRIX'!$D$10, IF(P194=4, '6. PEDIGREE MATRIX'!$E$10, IF(P194=5, '6. PEDIGREE MATRIX'!$F$10)))))</f>
        <v>1.0100501670841679</v>
      </c>
      <c r="V194" s="797">
        <f>IF(Q194=1, '6. PEDIGREE MATRIX'!$B$12, IF(Q194=2, '6. PEDIGREE MATRIX'!$C$12, IF(Q194=3, '6. PEDIGREE MATRIX'!$D$12, IF(Q194=4, '6. PEDIGREE MATRIX'!$E$12, IF(Q194=5, '6. PEDIGREE MATRIX'!$F$12)))))</f>
        <v>1.0247973619913604</v>
      </c>
      <c r="W194" s="522">
        <v>5.9999999999999995E-4</v>
      </c>
      <c r="X194" s="524">
        <f t="shared" si="65"/>
        <v>1.0247973619913604</v>
      </c>
    </row>
    <row r="195" spans="1:24" x14ac:dyDescent="0.3">
      <c r="A195" s="515" t="s">
        <v>2415</v>
      </c>
      <c r="B195" s="302">
        <f>'24. WAFER FAB'!$D$98</f>
        <v>5.5663658363367173E-7</v>
      </c>
      <c r="C195" s="43" t="s">
        <v>153</v>
      </c>
      <c r="D195" s="516" t="s">
        <v>515</v>
      </c>
      <c r="E195" s="517" t="s">
        <v>371</v>
      </c>
      <c r="F195" s="518" t="s">
        <v>516</v>
      </c>
      <c r="G195" s="516" t="s">
        <v>371</v>
      </c>
      <c r="H195" s="516" t="s">
        <v>514</v>
      </c>
      <c r="I195" s="517">
        <v>2</v>
      </c>
      <c r="J195" s="517">
        <f t="shared" si="60"/>
        <v>-14.401353263040646</v>
      </c>
      <c r="K195" s="517">
        <f t="shared" si="61"/>
        <v>0.32603904386951327</v>
      </c>
      <c r="L195" s="517">
        <f t="shared" si="62"/>
        <v>1.1121570947719619</v>
      </c>
      <c r="M195" s="517">
        <v>4</v>
      </c>
      <c r="N195" s="517">
        <v>4</v>
      </c>
      <c r="O195" s="517">
        <v>1</v>
      </c>
      <c r="P195" s="517">
        <v>3</v>
      </c>
      <c r="Q195" s="517">
        <v>2</v>
      </c>
      <c r="R195" s="517">
        <f>IF(M195=1, '6. PEDIGREE MATRIX'!$B$4, IF(M195=2, '6. PEDIGREE MATRIX'!$C$4, IF(M195=3, '6. PEDIGREE MATRIX'!$D$4, IF(M195=4, '6. PEDIGREE MATRIX'!$E$4, IF(M195=5, '6. PEDIGREE MATRIX'!$F$4)))))</f>
        <v>1.0935646911485417</v>
      </c>
      <c r="S195" s="517">
        <f>IF(N195=1, '6. PEDIGREE MATRIX'!$B$6, IF(N195=2, '6. PEDIGREE MATRIX'!$C$6, IF(N195=3, '6. PEDIGREE MATRIX'!$D$6, IF(N195=4, '6. PEDIGREE MATRIX'!$E$6, IF(N195=5, '6. PEDIGREE MATRIX'!$F$6)))))</f>
        <v>1.0457364348384068</v>
      </c>
      <c r="T195" s="517">
        <f>IF(O195=1, '6. PEDIGREE MATRIX'!$B$8, IF(O195=2, '6. PEDIGREE MATRIX'!$C$8, IF(O195=3, '6. PEDIGREE MATRIX'!$D$8, IF(O195=4, '6. PEDIGREE MATRIX'!$E$8, IF(O195=5, '6. PEDIGREE MATRIX'!$F$8)))))</f>
        <v>1</v>
      </c>
      <c r="U195" s="517">
        <f>IF(P195=1, '6. PEDIGREE MATRIX'!$B$10, IF(P195=2, '6. PEDIGREE MATRIX'!$C$10, IF(P195=3, '6. PEDIGREE MATRIX'!$D$10, IF(P195=4, '6. PEDIGREE MATRIX'!$E$10, IF(P195=5, '6. PEDIGREE MATRIX'!$F$10)))))</f>
        <v>1.0100501670841679</v>
      </c>
      <c r="V195" s="517">
        <f>IF(Q195=1, '6. PEDIGREE MATRIX'!$B$12, IF(Q195=2, '6. PEDIGREE MATRIX'!$C$12, IF(Q195=3, '6. PEDIGREE MATRIX'!$D$12, IF(Q195=4, '6. PEDIGREE MATRIX'!$E$12, IF(Q195=5, '6. PEDIGREE MATRIX'!$F$12)))))</f>
        <v>1.0247973619913604</v>
      </c>
      <c r="W195" s="517">
        <v>5.9999999999999995E-4</v>
      </c>
      <c r="X195" s="520">
        <f t="shared" si="65"/>
        <v>1.0247973619913604</v>
      </c>
    </row>
    <row r="196" spans="1:24" x14ac:dyDescent="0.3">
      <c r="A196" s="515" t="s">
        <v>2246</v>
      </c>
      <c r="B196" s="302">
        <f>'24. WAFER FAB'!$D$99</f>
        <v>2.1094355682355335E-6</v>
      </c>
      <c r="C196" s="43" t="s">
        <v>153</v>
      </c>
      <c r="D196" s="516" t="s">
        <v>515</v>
      </c>
      <c r="E196" s="517" t="s">
        <v>371</v>
      </c>
      <c r="F196" s="518" t="s">
        <v>516</v>
      </c>
      <c r="G196" s="516" t="s">
        <v>371</v>
      </c>
      <c r="H196" s="516" t="s">
        <v>514</v>
      </c>
      <c r="I196" s="517">
        <v>2</v>
      </c>
      <c r="J196" s="517">
        <f t="shared" ref="J196:J205" si="66">IF(B196=0,"(Unknown)",LN((ABS(B196))))</f>
        <v>-13.069090149467572</v>
      </c>
      <c r="K196" s="517">
        <f t="shared" ref="K196:K205" si="67">IF(B196&gt;0,SQRT(LN(L196)),"(Unknown)")</f>
        <v>0.32603904386951327</v>
      </c>
      <c r="L196" s="517">
        <f t="shared" ref="L196:L205" si="68">IF(B196&gt;0,(EXP(SQRT((LN(X196))^2+(LN(R196))^2+(LN(S196))^2+(LN(T196))^2+(LN(U196))^2+(LN(V196))^2))),"(Unknown)")</f>
        <v>1.1121570947719619</v>
      </c>
      <c r="M196" s="517">
        <v>4</v>
      </c>
      <c r="N196" s="517">
        <v>4</v>
      </c>
      <c r="O196" s="517">
        <v>1</v>
      </c>
      <c r="P196" s="517">
        <v>3</v>
      </c>
      <c r="Q196" s="517">
        <v>2</v>
      </c>
      <c r="R196" s="517">
        <f>IF(M196=1, '6. PEDIGREE MATRIX'!$B$4, IF(M196=2, '6. PEDIGREE MATRIX'!$C$4, IF(M196=3, '6. PEDIGREE MATRIX'!$D$4, IF(M196=4, '6. PEDIGREE MATRIX'!$E$4, IF(M196=5, '6. PEDIGREE MATRIX'!$F$4)))))</f>
        <v>1.0935646911485417</v>
      </c>
      <c r="S196" s="517">
        <f>IF(N196=1, '6. PEDIGREE MATRIX'!$B$6, IF(N196=2, '6. PEDIGREE MATRIX'!$C$6, IF(N196=3, '6. PEDIGREE MATRIX'!$D$6, IF(N196=4, '6. PEDIGREE MATRIX'!$E$6, IF(N196=5, '6. PEDIGREE MATRIX'!$F$6)))))</f>
        <v>1.0457364348384068</v>
      </c>
      <c r="T196" s="517">
        <f>IF(O196=1, '6. PEDIGREE MATRIX'!$B$8, IF(O196=2, '6. PEDIGREE MATRIX'!$C$8, IF(O196=3, '6. PEDIGREE MATRIX'!$D$8, IF(O196=4, '6. PEDIGREE MATRIX'!$E$8, IF(O196=5, '6. PEDIGREE MATRIX'!$F$8)))))</f>
        <v>1</v>
      </c>
      <c r="U196" s="517">
        <f>IF(P196=1, '6. PEDIGREE MATRIX'!$B$10, IF(P196=2, '6. PEDIGREE MATRIX'!$C$10, IF(P196=3, '6. PEDIGREE MATRIX'!$D$10, IF(P196=4, '6. PEDIGREE MATRIX'!$E$10, IF(P196=5, '6. PEDIGREE MATRIX'!$F$10)))))</f>
        <v>1.0100501670841679</v>
      </c>
      <c r="V196" s="517">
        <f>IF(Q196=1, '6. PEDIGREE MATRIX'!$B$12, IF(Q196=2, '6. PEDIGREE MATRIX'!$C$12, IF(Q196=3, '6. PEDIGREE MATRIX'!$D$12, IF(Q196=4, '6. PEDIGREE MATRIX'!$E$12, IF(Q196=5, '6. PEDIGREE MATRIX'!$F$12)))))</f>
        <v>1.0247973619913604</v>
      </c>
      <c r="W196" s="517">
        <v>5.9999999999999995E-4</v>
      </c>
      <c r="X196" s="520">
        <f t="shared" ref="X196:X205" si="69">EXP(SQRT(W196))</f>
        <v>1.0247973619913604</v>
      </c>
    </row>
    <row r="197" spans="1:24" x14ac:dyDescent="0.3">
      <c r="A197" s="730" t="s">
        <v>816</v>
      </c>
      <c r="B197" s="302">
        <f>'24. WAFER FAB'!$D$100</f>
        <v>1.632606415987301E-7</v>
      </c>
      <c r="C197" s="43" t="s">
        <v>153</v>
      </c>
      <c r="D197" s="516" t="s">
        <v>515</v>
      </c>
      <c r="E197" s="517" t="s">
        <v>371</v>
      </c>
      <c r="F197" s="518" t="s">
        <v>516</v>
      </c>
      <c r="G197" s="516" t="s">
        <v>371</v>
      </c>
      <c r="H197" s="516" t="s">
        <v>514</v>
      </c>
      <c r="I197" s="517">
        <v>2</v>
      </c>
      <c r="J197" s="517">
        <f t="shared" si="66"/>
        <v>-15.627917885010978</v>
      </c>
      <c r="K197" s="517">
        <f t="shared" si="67"/>
        <v>0.32603904386951327</v>
      </c>
      <c r="L197" s="517">
        <f t="shared" si="68"/>
        <v>1.1121570947719619</v>
      </c>
      <c r="M197" s="517">
        <v>4</v>
      </c>
      <c r="N197" s="517">
        <v>4</v>
      </c>
      <c r="O197" s="517">
        <v>1</v>
      </c>
      <c r="P197" s="517">
        <v>3</v>
      </c>
      <c r="Q197" s="517">
        <v>2</v>
      </c>
      <c r="R197" s="517">
        <f>IF(M197=1, '6. PEDIGREE MATRIX'!$B$4, IF(M197=2, '6. PEDIGREE MATRIX'!$C$4, IF(M197=3, '6. PEDIGREE MATRIX'!$D$4, IF(M197=4, '6. PEDIGREE MATRIX'!$E$4, IF(M197=5, '6. PEDIGREE MATRIX'!$F$4)))))</f>
        <v>1.0935646911485417</v>
      </c>
      <c r="S197" s="517">
        <f>IF(N197=1, '6. PEDIGREE MATRIX'!$B$6, IF(N197=2, '6. PEDIGREE MATRIX'!$C$6, IF(N197=3, '6. PEDIGREE MATRIX'!$D$6, IF(N197=4, '6. PEDIGREE MATRIX'!$E$6, IF(N197=5, '6. PEDIGREE MATRIX'!$F$6)))))</f>
        <v>1.0457364348384068</v>
      </c>
      <c r="T197" s="517">
        <f>IF(O197=1, '6. PEDIGREE MATRIX'!$B$8, IF(O197=2, '6. PEDIGREE MATRIX'!$C$8, IF(O197=3, '6. PEDIGREE MATRIX'!$D$8, IF(O197=4, '6. PEDIGREE MATRIX'!$E$8, IF(O197=5, '6. PEDIGREE MATRIX'!$F$8)))))</f>
        <v>1</v>
      </c>
      <c r="U197" s="517">
        <f>IF(P197=1, '6. PEDIGREE MATRIX'!$B$10, IF(P197=2, '6. PEDIGREE MATRIX'!$C$10, IF(P197=3, '6. PEDIGREE MATRIX'!$D$10, IF(P197=4, '6. PEDIGREE MATRIX'!$E$10, IF(P197=5, '6. PEDIGREE MATRIX'!$F$10)))))</f>
        <v>1.0100501670841679</v>
      </c>
      <c r="V197" s="517">
        <f>IF(Q197=1, '6. PEDIGREE MATRIX'!$B$12, IF(Q197=2, '6. PEDIGREE MATRIX'!$C$12, IF(Q197=3, '6. PEDIGREE MATRIX'!$D$12, IF(Q197=4, '6. PEDIGREE MATRIX'!$E$12, IF(Q197=5, '6. PEDIGREE MATRIX'!$F$12)))))</f>
        <v>1.0247973619913604</v>
      </c>
      <c r="W197" s="517">
        <v>5.9999999999999995E-4</v>
      </c>
      <c r="X197" s="520">
        <f t="shared" si="69"/>
        <v>1.0247973619913604</v>
      </c>
    </row>
    <row r="198" spans="1:24" x14ac:dyDescent="0.3">
      <c r="A198" s="730" t="s">
        <v>1949</v>
      </c>
      <c r="B198" s="302">
        <f>'24. WAFER FAB'!$D$101</f>
        <v>1.3344711535778056E-7</v>
      </c>
      <c r="C198" s="43" t="s">
        <v>153</v>
      </c>
      <c r="D198" s="516" t="s">
        <v>515</v>
      </c>
      <c r="E198" s="517" t="s">
        <v>371</v>
      </c>
      <c r="F198" s="518" t="s">
        <v>516</v>
      </c>
      <c r="G198" s="516" t="s">
        <v>371</v>
      </c>
      <c r="H198" s="516" t="s">
        <v>514</v>
      </c>
      <c r="I198" s="517">
        <v>2</v>
      </c>
      <c r="J198" s="517">
        <f t="shared" si="66"/>
        <v>-15.829560577232236</v>
      </c>
      <c r="K198" s="517">
        <f t="shared" si="67"/>
        <v>0.32603904386951327</v>
      </c>
      <c r="L198" s="517">
        <f t="shared" si="68"/>
        <v>1.1121570947719619</v>
      </c>
      <c r="M198" s="517">
        <v>4</v>
      </c>
      <c r="N198" s="517">
        <v>4</v>
      </c>
      <c r="O198" s="517">
        <v>1</v>
      </c>
      <c r="P198" s="517">
        <v>3</v>
      </c>
      <c r="Q198" s="517">
        <v>2</v>
      </c>
      <c r="R198" s="517">
        <f>IF(M198=1, '6. PEDIGREE MATRIX'!$B$4, IF(M198=2, '6. PEDIGREE MATRIX'!$C$4, IF(M198=3, '6. PEDIGREE MATRIX'!$D$4, IF(M198=4, '6. PEDIGREE MATRIX'!$E$4, IF(M198=5, '6. PEDIGREE MATRIX'!$F$4)))))</f>
        <v>1.0935646911485417</v>
      </c>
      <c r="S198" s="517">
        <f>IF(N198=1, '6. PEDIGREE MATRIX'!$B$6, IF(N198=2, '6. PEDIGREE MATRIX'!$C$6, IF(N198=3, '6. PEDIGREE MATRIX'!$D$6, IF(N198=4, '6. PEDIGREE MATRIX'!$E$6, IF(N198=5, '6. PEDIGREE MATRIX'!$F$6)))))</f>
        <v>1.0457364348384068</v>
      </c>
      <c r="T198" s="517">
        <f>IF(O198=1, '6. PEDIGREE MATRIX'!$B$8, IF(O198=2, '6. PEDIGREE MATRIX'!$C$8, IF(O198=3, '6. PEDIGREE MATRIX'!$D$8, IF(O198=4, '6. PEDIGREE MATRIX'!$E$8, IF(O198=5, '6. PEDIGREE MATRIX'!$F$8)))))</f>
        <v>1</v>
      </c>
      <c r="U198" s="517">
        <f>IF(P198=1, '6. PEDIGREE MATRIX'!$B$10, IF(P198=2, '6. PEDIGREE MATRIX'!$C$10, IF(P198=3, '6. PEDIGREE MATRIX'!$D$10, IF(P198=4, '6. PEDIGREE MATRIX'!$E$10, IF(P198=5, '6. PEDIGREE MATRIX'!$F$10)))))</f>
        <v>1.0100501670841679</v>
      </c>
      <c r="V198" s="517">
        <f>IF(Q198=1, '6. PEDIGREE MATRIX'!$B$12, IF(Q198=2, '6. PEDIGREE MATRIX'!$C$12, IF(Q198=3, '6. PEDIGREE MATRIX'!$D$12, IF(Q198=4, '6. PEDIGREE MATRIX'!$E$12, IF(Q198=5, '6. PEDIGREE MATRIX'!$F$12)))))</f>
        <v>1.0247973619913604</v>
      </c>
      <c r="W198" s="517">
        <v>5.9999999999999995E-4</v>
      </c>
      <c r="X198" s="520">
        <f t="shared" si="69"/>
        <v>1.0247973619913604</v>
      </c>
    </row>
    <row r="199" spans="1:24" x14ac:dyDescent="0.3">
      <c r="A199" s="730" t="s">
        <v>1947</v>
      </c>
      <c r="B199" s="302">
        <f>'24. WAFER FAB'!$D$102</f>
        <v>2.8865716888323323E-8</v>
      </c>
      <c r="C199" s="43" t="s">
        <v>153</v>
      </c>
      <c r="D199" s="516" t="s">
        <v>515</v>
      </c>
      <c r="E199" s="517" t="s">
        <v>371</v>
      </c>
      <c r="F199" s="518" t="s">
        <v>516</v>
      </c>
      <c r="G199" s="516" t="s">
        <v>371</v>
      </c>
      <c r="H199" s="516" t="s">
        <v>514</v>
      </c>
      <c r="I199" s="517">
        <v>2</v>
      </c>
      <c r="J199" s="517">
        <f t="shared" si="66"/>
        <v>-17.360611212839501</v>
      </c>
      <c r="K199" s="517">
        <f t="shared" si="67"/>
        <v>0.32603904386951327</v>
      </c>
      <c r="L199" s="517">
        <f t="shared" si="68"/>
        <v>1.1121570947719619</v>
      </c>
      <c r="M199" s="517">
        <v>4</v>
      </c>
      <c r="N199" s="517">
        <v>4</v>
      </c>
      <c r="O199" s="517">
        <v>1</v>
      </c>
      <c r="P199" s="517">
        <v>3</v>
      </c>
      <c r="Q199" s="517">
        <v>2</v>
      </c>
      <c r="R199" s="517">
        <f>IF(M199=1, '6. PEDIGREE MATRIX'!$B$4, IF(M199=2, '6. PEDIGREE MATRIX'!$C$4, IF(M199=3, '6. PEDIGREE MATRIX'!$D$4, IF(M199=4, '6. PEDIGREE MATRIX'!$E$4, IF(M199=5, '6. PEDIGREE MATRIX'!$F$4)))))</f>
        <v>1.0935646911485417</v>
      </c>
      <c r="S199" s="517">
        <f>IF(N199=1, '6. PEDIGREE MATRIX'!$B$6, IF(N199=2, '6. PEDIGREE MATRIX'!$C$6, IF(N199=3, '6. PEDIGREE MATRIX'!$D$6, IF(N199=4, '6. PEDIGREE MATRIX'!$E$6, IF(N199=5, '6. PEDIGREE MATRIX'!$F$6)))))</f>
        <v>1.0457364348384068</v>
      </c>
      <c r="T199" s="517">
        <f>IF(O199=1, '6. PEDIGREE MATRIX'!$B$8, IF(O199=2, '6. PEDIGREE MATRIX'!$C$8, IF(O199=3, '6. PEDIGREE MATRIX'!$D$8, IF(O199=4, '6. PEDIGREE MATRIX'!$E$8, IF(O199=5, '6. PEDIGREE MATRIX'!$F$8)))))</f>
        <v>1</v>
      </c>
      <c r="U199" s="517">
        <f>IF(P199=1, '6. PEDIGREE MATRIX'!$B$10, IF(P199=2, '6. PEDIGREE MATRIX'!$C$10, IF(P199=3, '6. PEDIGREE MATRIX'!$D$10, IF(P199=4, '6. PEDIGREE MATRIX'!$E$10, IF(P199=5, '6. PEDIGREE MATRIX'!$F$10)))))</f>
        <v>1.0100501670841679</v>
      </c>
      <c r="V199" s="517">
        <f>IF(Q199=1, '6. PEDIGREE MATRIX'!$B$12, IF(Q199=2, '6. PEDIGREE MATRIX'!$C$12, IF(Q199=3, '6. PEDIGREE MATRIX'!$D$12, IF(Q199=4, '6. PEDIGREE MATRIX'!$E$12, IF(Q199=5, '6. PEDIGREE MATRIX'!$F$12)))))</f>
        <v>1.0247973619913604</v>
      </c>
      <c r="W199" s="517">
        <v>5.9999999999999995E-4</v>
      </c>
      <c r="X199" s="520">
        <f t="shared" si="69"/>
        <v>1.0247973619913604</v>
      </c>
    </row>
    <row r="200" spans="1:24" x14ac:dyDescent="0.3">
      <c r="A200" s="730" t="s">
        <v>2267</v>
      </c>
      <c r="B200" s="302">
        <f>'24. WAFER FAB'!$D$103</f>
        <v>2.8162460675780939E-7</v>
      </c>
      <c r="C200" s="43" t="s">
        <v>153</v>
      </c>
      <c r="D200" s="516" t="s">
        <v>515</v>
      </c>
      <c r="E200" s="517" t="s">
        <v>371</v>
      </c>
      <c r="F200" s="518" t="s">
        <v>516</v>
      </c>
      <c r="G200" s="516" t="s">
        <v>371</v>
      </c>
      <c r="H200" s="516" t="s">
        <v>514</v>
      </c>
      <c r="I200" s="517">
        <v>2</v>
      </c>
      <c r="J200" s="517">
        <f t="shared" si="66"/>
        <v>-15.082690834527655</v>
      </c>
      <c r="K200" s="517">
        <f t="shared" si="67"/>
        <v>0.32603904386951327</v>
      </c>
      <c r="L200" s="517">
        <f t="shared" si="68"/>
        <v>1.1121570947719619</v>
      </c>
      <c r="M200" s="517">
        <v>4</v>
      </c>
      <c r="N200" s="517">
        <v>4</v>
      </c>
      <c r="O200" s="517">
        <v>1</v>
      </c>
      <c r="P200" s="517">
        <v>3</v>
      </c>
      <c r="Q200" s="517">
        <v>2</v>
      </c>
      <c r="R200" s="517">
        <f>IF(M200=1, '6. PEDIGREE MATRIX'!$B$4, IF(M200=2, '6. PEDIGREE MATRIX'!$C$4, IF(M200=3, '6. PEDIGREE MATRIX'!$D$4, IF(M200=4, '6. PEDIGREE MATRIX'!$E$4, IF(M200=5, '6. PEDIGREE MATRIX'!$F$4)))))</f>
        <v>1.0935646911485417</v>
      </c>
      <c r="S200" s="517">
        <f>IF(N200=1, '6. PEDIGREE MATRIX'!$B$6, IF(N200=2, '6. PEDIGREE MATRIX'!$C$6, IF(N200=3, '6. PEDIGREE MATRIX'!$D$6, IF(N200=4, '6. PEDIGREE MATRIX'!$E$6, IF(N200=5, '6. PEDIGREE MATRIX'!$F$6)))))</f>
        <v>1.0457364348384068</v>
      </c>
      <c r="T200" s="517">
        <f>IF(O200=1, '6. PEDIGREE MATRIX'!$B$8, IF(O200=2, '6. PEDIGREE MATRIX'!$C$8, IF(O200=3, '6. PEDIGREE MATRIX'!$D$8, IF(O200=4, '6. PEDIGREE MATRIX'!$E$8, IF(O200=5, '6. PEDIGREE MATRIX'!$F$8)))))</f>
        <v>1</v>
      </c>
      <c r="U200" s="517">
        <f>IF(P200=1, '6. PEDIGREE MATRIX'!$B$10, IF(P200=2, '6. PEDIGREE MATRIX'!$C$10, IF(P200=3, '6. PEDIGREE MATRIX'!$D$10, IF(P200=4, '6. PEDIGREE MATRIX'!$E$10, IF(P200=5, '6. PEDIGREE MATRIX'!$F$10)))))</f>
        <v>1.0100501670841679</v>
      </c>
      <c r="V200" s="517">
        <f>IF(Q200=1, '6. PEDIGREE MATRIX'!$B$12, IF(Q200=2, '6. PEDIGREE MATRIX'!$C$12, IF(Q200=3, '6. PEDIGREE MATRIX'!$D$12, IF(Q200=4, '6. PEDIGREE MATRIX'!$E$12, IF(Q200=5, '6. PEDIGREE MATRIX'!$F$12)))))</f>
        <v>1.0247973619913604</v>
      </c>
      <c r="W200" s="517">
        <v>5.9999999999999995E-4</v>
      </c>
      <c r="X200" s="520">
        <f t="shared" si="69"/>
        <v>1.0247973619913604</v>
      </c>
    </row>
    <row r="201" spans="1:24" x14ac:dyDescent="0.3">
      <c r="A201" s="730" t="s">
        <v>2228</v>
      </c>
      <c r="B201" s="302">
        <f>'24. WAFER FAB'!$D$104</f>
        <v>2.5339608198190428E-6</v>
      </c>
      <c r="C201" s="43" t="s">
        <v>153</v>
      </c>
      <c r="D201" s="516" t="s">
        <v>515</v>
      </c>
      <c r="E201" s="517" t="s">
        <v>371</v>
      </c>
      <c r="F201" s="518" t="s">
        <v>516</v>
      </c>
      <c r="G201" s="516" t="s">
        <v>371</v>
      </c>
      <c r="H201" s="516" t="s">
        <v>514</v>
      </c>
      <c r="I201" s="517">
        <v>2</v>
      </c>
      <c r="J201" s="517">
        <f t="shared" si="66"/>
        <v>-12.885726937976873</v>
      </c>
      <c r="K201" s="517">
        <f t="shared" si="67"/>
        <v>0.32603904386951327</v>
      </c>
      <c r="L201" s="517">
        <f t="shared" si="68"/>
        <v>1.1121570947719619</v>
      </c>
      <c r="M201" s="517">
        <v>4</v>
      </c>
      <c r="N201" s="517">
        <v>4</v>
      </c>
      <c r="O201" s="517">
        <v>1</v>
      </c>
      <c r="P201" s="517">
        <v>3</v>
      </c>
      <c r="Q201" s="517">
        <v>2</v>
      </c>
      <c r="R201" s="517">
        <f>IF(M201=1, '6. PEDIGREE MATRIX'!$B$4, IF(M201=2, '6. PEDIGREE MATRIX'!$C$4, IF(M201=3, '6. PEDIGREE MATRIX'!$D$4, IF(M201=4, '6. PEDIGREE MATRIX'!$E$4, IF(M201=5, '6. PEDIGREE MATRIX'!$F$4)))))</f>
        <v>1.0935646911485417</v>
      </c>
      <c r="S201" s="517">
        <f>IF(N201=1, '6. PEDIGREE MATRIX'!$B$6, IF(N201=2, '6. PEDIGREE MATRIX'!$C$6, IF(N201=3, '6. PEDIGREE MATRIX'!$D$6, IF(N201=4, '6. PEDIGREE MATRIX'!$E$6, IF(N201=5, '6. PEDIGREE MATRIX'!$F$6)))))</f>
        <v>1.0457364348384068</v>
      </c>
      <c r="T201" s="517">
        <f>IF(O201=1, '6. PEDIGREE MATRIX'!$B$8, IF(O201=2, '6. PEDIGREE MATRIX'!$C$8, IF(O201=3, '6. PEDIGREE MATRIX'!$D$8, IF(O201=4, '6. PEDIGREE MATRIX'!$E$8, IF(O201=5, '6. PEDIGREE MATRIX'!$F$8)))))</f>
        <v>1</v>
      </c>
      <c r="U201" s="517">
        <f>IF(P201=1, '6. PEDIGREE MATRIX'!$B$10, IF(P201=2, '6. PEDIGREE MATRIX'!$C$10, IF(P201=3, '6. PEDIGREE MATRIX'!$D$10, IF(P201=4, '6. PEDIGREE MATRIX'!$E$10, IF(P201=5, '6. PEDIGREE MATRIX'!$F$10)))))</f>
        <v>1.0100501670841679</v>
      </c>
      <c r="V201" s="517">
        <f>IF(Q201=1, '6. PEDIGREE MATRIX'!$B$12, IF(Q201=2, '6. PEDIGREE MATRIX'!$C$12, IF(Q201=3, '6. PEDIGREE MATRIX'!$D$12, IF(Q201=4, '6. PEDIGREE MATRIX'!$E$12, IF(Q201=5, '6. PEDIGREE MATRIX'!$F$12)))))</f>
        <v>1.0247973619913604</v>
      </c>
      <c r="W201" s="517">
        <v>5.9999999999999995E-4</v>
      </c>
      <c r="X201" s="520">
        <f t="shared" si="69"/>
        <v>1.0247973619913604</v>
      </c>
    </row>
    <row r="202" spans="1:24" x14ac:dyDescent="0.3">
      <c r="A202" s="730" t="s">
        <v>2266</v>
      </c>
      <c r="B202" s="302">
        <f>'24. WAFER FAB'!$D$105</f>
        <v>1.2263451983668818E-7</v>
      </c>
      <c r="C202" s="43" t="s">
        <v>153</v>
      </c>
      <c r="D202" s="516" t="s">
        <v>515</v>
      </c>
      <c r="E202" s="517" t="s">
        <v>371</v>
      </c>
      <c r="F202" s="518" t="s">
        <v>516</v>
      </c>
      <c r="G202" s="516" t="s">
        <v>371</v>
      </c>
      <c r="H202" s="516" t="s">
        <v>514</v>
      </c>
      <c r="I202" s="517">
        <v>2</v>
      </c>
      <c r="J202" s="517">
        <f t="shared" si="66"/>
        <v>-15.914057288339766</v>
      </c>
      <c r="K202" s="517">
        <f t="shared" si="67"/>
        <v>0.32603904386951327</v>
      </c>
      <c r="L202" s="517">
        <f t="shared" si="68"/>
        <v>1.1121570947719619</v>
      </c>
      <c r="M202" s="517">
        <v>4</v>
      </c>
      <c r="N202" s="517">
        <v>4</v>
      </c>
      <c r="O202" s="517">
        <v>1</v>
      </c>
      <c r="P202" s="517">
        <v>3</v>
      </c>
      <c r="Q202" s="517">
        <v>2</v>
      </c>
      <c r="R202" s="517">
        <f>IF(M202=1, '6. PEDIGREE MATRIX'!$B$4, IF(M202=2, '6. PEDIGREE MATRIX'!$C$4, IF(M202=3, '6. PEDIGREE MATRIX'!$D$4, IF(M202=4, '6. PEDIGREE MATRIX'!$E$4, IF(M202=5, '6. PEDIGREE MATRIX'!$F$4)))))</f>
        <v>1.0935646911485417</v>
      </c>
      <c r="S202" s="517">
        <f>IF(N202=1, '6. PEDIGREE MATRIX'!$B$6, IF(N202=2, '6. PEDIGREE MATRIX'!$C$6, IF(N202=3, '6. PEDIGREE MATRIX'!$D$6, IF(N202=4, '6. PEDIGREE MATRIX'!$E$6, IF(N202=5, '6. PEDIGREE MATRIX'!$F$6)))))</f>
        <v>1.0457364348384068</v>
      </c>
      <c r="T202" s="517">
        <f>IF(O202=1, '6. PEDIGREE MATRIX'!$B$8, IF(O202=2, '6. PEDIGREE MATRIX'!$C$8, IF(O202=3, '6. PEDIGREE MATRIX'!$D$8, IF(O202=4, '6. PEDIGREE MATRIX'!$E$8, IF(O202=5, '6. PEDIGREE MATRIX'!$F$8)))))</f>
        <v>1</v>
      </c>
      <c r="U202" s="517">
        <f>IF(P202=1, '6. PEDIGREE MATRIX'!$B$10, IF(P202=2, '6. PEDIGREE MATRIX'!$C$10, IF(P202=3, '6. PEDIGREE MATRIX'!$D$10, IF(P202=4, '6. PEDIGREE MATRIX'!$E$10, IF(P202=5, '6. PEDIGREE MATRIX'!$F$10)))))</f>
        <v>1.0100501670841679</v>
      </c>
      <c r="V202" s="517">
        <f>IF(Q202=1, '6. PEDIGREE MATRIX'!$B$12, IF(Q202=2, '6. PEDIGREE MATRIX'!$C$12, IF(Q202=3, '6. PEDIGREE MATRIX'!$D$12, IF(Q202=4, '6. PEDIGREE MATRIX'!$E$12, IF(Q202=5, '6. PEDIGREE MATRIX'!$F$12)))))</f>
        <v>1.0247973619913604</v>
      </c>
      <c r="W202" s="517">
        <v>5.9999999999999995E-4</v>
      </c>
      <c r="X202" s="520">
        <f t="shared" si="69"/>
        <v>1.0247973619913604</v>
      </c>
    </row>
    <row r="203" spans="1:24" x14ac:dyDescent="0.3">
      <c r="A203" s="731" t="s">
        <v>2265</v>
      </c>
      <c r="B203" s="302">
        <f>'24. WAFER FAB'!$D$106</f>
        <v>3.870566105692002E-10</v>
      </c>
      <c r="C203" s="43" t="s">
        <v>153</v>
      </c>
      <c r="D203" s="516" t="s">
        <v>515</v>
      </c>
      <c r="E203" s="517" t="s">
        <v>371</v>
      </c>
      <c r="F203" s="518" t="s">
        <v>516</v>
      </c>
      <c r="G203" s="516" t="s">
        <v>371</v>
      </c>
      <c r="H203" s="516" t="s">
        <v>514</v>
      </c>
      <c r="I203" s="517">
        <v>2</v>
      </c>
      <c r="J203" s="517">
        <f t="shared" si="66"/>
        <v>-21.672450153056154</v>
      </c>
      <c r="K203" s="517">
        <f t="shared" si="67"/>
        <v>0.32603904386951327</v>
      </c>
      <c r="L203" s="517">
        <f t="shared" si="68"/>
        <v>1.1121570947719619</v>
      </c>
      <c r="M203" s="517">
        <v>4</v>
      </c>
      <c r="N203" s="517">
        <v>4</v>
      </c>
      <c r="O203" s="517">
        <v>1</v>
      </c>
      <c r="P203" s="517">
        <v>3</v>
      </c>
      <c r="Q203" s="517">
        <v>2</v>
      </c>
      <c r="R203" s="517">
        <f>IF(M203=1, '6. PEDIGREE MATRIX'!$B$4, IF(M203=2, '6. PEDIGREE MATRIX'!$C$4, IF(M203=3, '6. PEDIGREE MATRIX'!$D$4, IF(M203=4, '6. PEDIGREE MATRIX'!$E$4, IF(M203=5, '6. PEDIGREE MATRIX'!$F$4)))))</f>
        <v>1.0935646911485417</v>
      </c>
      <c r="S203" s="517">
        <f>IF(N203=1, '6. PEDIGREE MATRIX'!$B$6, IF(N203=2, '6. PEDIGREE MATRIX'!$C$6, IF(N203=3, '6. PEDIGREE MATRIX'!$D$6, IF(N203=4, '6. PEDIGREE MATRIX'!$E$6, IF(N203=5, '6. PEDIGREE MATRIX'!$F$6)))))</f>
        <v>1.0457364348384068</v>
      </c>
      <c r="T203" s="517">
        <f>IF(O203=1, '6. PEDIGREE MATRIX'!$B$8, IF(O203=2, '6. PEDIGREE MATRIX'!$C$8, IF(O203=3, '6. PEDIGREE MATRIX'!$D$8, IF(O203=4, '6. PEDIGREE MATRIX'!$E$8, IF(O203=5, '6. PEDIGREE MATRIX'!$F$8)))))</f>
        <v>1</v>
      </c>
      <c r="U203" s="517">
        <f>IF(P203=1, '6. PEDIGREE MATRIX'!$B$10, IF(P203=2, '6. PEDIGREE MATRIX'!$C$10, IF(P203=3, '6. PEDIGREE MATRIX'!$D$10, IF(P203=4, '6. PEDIGREE MATRIX'!$E$10, IF(P203=5, '6. PEDIGREE MATRIX'!$F$10)))))</f>
        <v>1.0100501670841679</v>
      </c>
      <c r="V203" s="517">
        <f>IF(Q203=1, '6. PEDIGREE MATRIX'!$B$12, IF(Q203=2, '6. PEDIGREE MATRIX'!$C$12, IF(Q203=3, '6. PEDIGREE MATRIX'!$D$12, IF(Q203=4, '6. PEDIGREE MATRIX'!$E$12, IF(Q203=5, '6. PEDIGREE MATRIX'!$F$12)))))</f>
        <v>1.0247973619913604</v>
      </c>
      <c r="W203" s="517">
        <v>5.9999999999999995E-4</v>
      </c>
      <c r="X203" s="520">
        <f t="shared" si="69"/>
        <v>1.0247973619913604</v>
      </c>
    </row>
    <row r="204" spans="1:24" x14ac:dyDescent="0.3">
      <c r="A204" s="734" t="s">
        <v>2248</v>
      </c>
      <c r="B204" s="302">
        <f>'24. WAFER FAB'!$D$107</f>
        <v>1.4320395640256286E-9</v>
      </c>
      <c r="C204" s="43" t="s">
        <v>153</v>
      </c>
      <c r="D204" s="516" t="s">
        <v>515</v>
      </c>
      <c r="E204" s="517" t="s">
        <v>371</v>
      </c>
      <c r="F204" s="518" t="s">
        <v>516</v>
      </c>
      <c r="G204" s="516" t="s">
        <v>371</v>
      </c>
      <c r="H204" s="516" t="s">
        <v>514</v>
      </c>
      <c r="I204" s="517">
        <v>2</v>
      </c>
      <c r="J204" s="517">
        <f t="shared" si="66"/>
        <v>-20.364166140280101</v>
      </c>
      <c r="K204" s="517">
        <f t="shared" si="67"/>
        <v>0.32603904386951327</v>
      </c>
      <c r="L204" s="517">
        <f t="shared" si="68"/>
        <v>1.1121570947719619</v>
      </c>
      <c r="M204" s="517">
        <v>4</v>
      </c>
      <c r="N204" s="517">
        <v>4</v>
      </c>
      <c r="O204" s="517">
        <v>1</v>
      </c>
      <c r="P204" s="517">
        <v>3</v>
      </c>
      <c r="Q204" s="517">
        <v>2</v>
      </c>
      <c r="R204" s="517">
        <f>IF(M204=1, '6. PEDIGREE MATRIX'!$B$4, IF(M204=2, '6. PEDIGREE MATRIX'!$C$4, IF(M204=3, '6. PEDIGREE MATRIX'!$D$4, IF(M204=4, '6. PEDIGREE MATRIX'!$E$4, IF(M204=5, '6. PEDIGREE MATRIX'!$F$4)))))</f>
        <v>1.0935646911485417</v>
      </c>
      <c r="S204" s="517">
        <f>IF(N204=1, '6. PEDIGREE MATRIX'!$B$6, IF(N204=2, '6. PEDIGREE MATRIX'!$C$6, IF(N204=3, '6. PEDIGREE MATRIX'!$D$6, IF(N204=4, '6. PEDIGREE MATRIX'!$E$6, IF(N204=5, '6. PEDIGREE MATRIX'!$F$6)))))</f>
        <v>1.0457364348384068</v>
      </c>
      <c r="T204" s="517">
        <f>IF(O204=1, '6. PEDIGREE MATRIX'!$B$8, IF(O204=2, '6. PEDIGREE MATRIX'!$C$8, IF(O204=3, '6. PEDIGREE MATRIX'!$D$8, IF(O204=4, '6. PEDIGREE MATRIX'!$E$8, IF(O204=5, '6. PEDIGREE MATRIX'!$F$8)))))</f>
        <v>1</v>
      </c>
      <c r="U204" s="517">
        <f>IF(P204=1, '6. PEDIGREE MATRIX'!$B$10, IF(P204=2, '6. PEDIGREE MATRIX'!$C$10, IF(P204=3, '6. PEDIGREE MATRIX'!$D$10, IF(P204=4, '6. PEDIGREE MATRIX'!$E$10, IF(P204=5, '6. PEDIGREE MATRIX'!$F$10)))))</f>
        <v>1.0100501670841679</v>
      </c>
      <c r="V204" s="517">
        <f>IF(Q204=1, '6. PEDIGREE MATRIX'!$B$12, IF(Q204=2, '6. PEDIGREE MATRIX'!$C$12, IF(Q204=3, '6. PEDIGREE MATRIX'!$D$12, IF(Q204=4, '6. PEDIGREE MATRIX'!$E$12, IF(Q204=5, '6. PEDIGREE MATRIX'!$F$12)))))</f>
        <v>1.0247973619913604</v>
      </c>
      <c r="W204" s="517">
        <v>5.9999999999999995E-4</v>
      </c>
      <c r="X204" s="520">
        <f t="shared" si="69"/>
        <v>1.0247973619913604</v>
      </c>
    </row>
    <row r="205" spans="1:24" x14ac:dyDescent="0.3">
      <c r="A205" s="43" t="s">
        <v>1948</v>
      </c>
      <c r="B205" s="302">
        <f>'24. WAFER FAB'!$D$108</f>
        <v>3.9508588745554495E-11</v>
      </c>
      <c r="C205" s="43" t="s">
        <v>153</v>
      </c>
      <c r="D205" s="516" t="s">
        <v>515</v>
      </c>
      <c r="E205" s="517" t="s">
        <v>371</v>
      </c>
      <c r="F205" s="518" t="s">
        <v>516</v>
      </c>
      <c r="G205" s="516" t="s">
        <v>371</v>
      </c>
      <c r="H205" s="516" t="s">
        <v>514</v>
      </c>
      <c r="I205" s="517">
        <v>2</v>
      </c>
      <c r="J205" s="517">
        <f t="shared" si="66"/>
        <v>-23.954503031061066</v>
      </c>
      <c r="K205" s="517">
        <f t="shared" si="67"/>
        <v>0.32603904386951327</v>
      </c>
      <c r="L205" s="517">
        <f t="shared" si="68"/>
        <v>1.1121570947719619</v>
      </c>
      <c r="M205" s="517">
        <v>4</v>
      </c>
      <c r="N205" s="517">
        <v>4</v>
      </c>
      <c r="O205" s="517">
        <v>1</v>
      </c>
      <c r="P205" s="517">
        <v>3</v>
      </c>
      <c r="Q205" s="517">
        <v>2</v>
      </c>
      <c r="R205" s="517">
        <f>IF(M205=1, '6. PEDIGREE MATRIX'!$B$4, IF(M205=2, '6. PEDIGREE MATRIX'!$C$4, IF(M205=3, '6. PEDIGREE MATRIX'!$D$4, IF(M205=4, '6. PEDIGREE MATRIX'!$E$4, IF(M205=5, '6. PEDIGREE MATRIX'!$F$4)))))</f>
        <v>1.0935646911485417</v>
      </c>
      <c r="S205" s="517">
        <f>IF(N205=1, '6. PEDIGREE MATRIX'!$B$6, IF(N205=2, '6. PEDIGREE MATRIX'!$C$6, IF(N205=3, '6. PEDIGREE MATRIX'!$D$6, IF(N205=4, '6. PEDIGREE MATRIX'!$E$6, IF(N205=5, '6. PEDIGREE MATRIX'!$F$6)))))</f>
        <v>1.0457364348384068</v>
      </c>
      <c r="T205" s="517">
        <f>IF(O205=1, '6. PEDIGREE MATRIX'!$B$8, IF(O205=2, '6. PEDIGREE MATRIX'!$C$8, IF(O205=3, '6. PEDIGREE MATRIX'!$D$8, IF(O205=4, '6. PEDIGREE MATRIX'!$E$8, IF(O205=5, '6. PEDIGREE MATRIX'!$F$8)))))</f>
        <v>1</v>
      </c>
      <c r="U205" s="517">
        <f>IF(P205=1, '6. PEDIGREE MATRIX'!$B$10, IF(P205=2, '6. PEDIGREE MATRIX'!$C$10, IF(P205=3, '6. PEDIGREE MATRIX'!$D$10, IF(P205=4, '6. PEDIGREE MATRIX'!$E$10, IF(P205=5, '6. PEDIGREE MATRIX'!$F$10)))))</f>
        <v>1.0100501670841679</v>
      </c>
      <c r="V205" s="517">
        <f>IF(Q205=1, '6. PEDIGREE MATRIX'!$B$12, IF(Q205=2, '6. PEDIGREE MATRIX'!$C$12, IF(Q205=3, '6. PEDIGREE MATRIX'!$D$12, IF(Q205=4, '6. PEDIGREE MATRIX'!$E$12, IF(Q205=5, '6. PEDIGREE MATRIX'!$F$12)))))</f>
        <v>1.0247973619913604</v>
      </c>
      <c r="W205" s="517">
        <v>5.9999999999999995E-4</v>
      </c>
      <c r="X205" s="520">
        <f t="shared" si="69"/>
        <v>1.0247973619913604</v>
      </c>
    </row>
    <row r="206" spans="1:24" ht="15" thickBot="1" x14ac:dyDescent="0.35">
      <c r="A206" s="70" t="str">
        <f>B174</f>
        <v>CVD</v>
      </c>
      <c r="B206" s="71">
        <v>1</v>
      </c>
      <c r="C206" s="72" t="s">
        <v>224</v>
      </c>
      <c r="D206" s="72" t="str">
        <f>$B$1</f>
        <v>IGBT LCI dtb</v>
      </c>
      <c r="E206" s="71" t="str">
        <f>B178</f>
        <v>Processed cm² of Si IGBT good die</v>
      </c>
      <c r="F206" s="72" t="s">
        <v>371</v>
      </c>
      <c r="G206" s="72" t="s">
        <v>156</v>
      </c>
      <c r="H206" s="72" t="s">
        <v>383</v>
      </c>
      <c r="I206" s="71">
        <v>0</v>
      </c>
      <c r="J206" s="71" t="s">
        <v>371</v>
      </c>
      <c r="K206" s="71" t="s">
        <v>371</v>
      </c>
      <c r="L206" s="91" t="s">
        <v>371</v>
      </c>
      <c r="M206" s="71">
        <v>0</v>
      </c>
      <c r="N206" s="71">
        <v>0</v>
      </c>
      <c r="O206" s="71">
        <v>0</v>
      </c>
      <c r="P206" s="71">
        <v>0</v>
      </c>
      <c r="Q206" s="71">
        <v>0</v>
      </c>
      <c r="R206" s="71">
        <v>0</v>
      </c>
      <c r="S206" s="71">
        <v>0</v>
      </c>
      <c r="T206" s="89">
        <v>0</v>
      </c>
      <c r="U206" s="89">
        <v>0</v>
      </c>
      <c r="V206" s="89">
        <v>0</v>
      </c>
      <c r="W206" s="89">
        <v>0</v>
      </c>
      <c r="X206" s="92">
        <v>0</v>
      </c>
    </row>
    <row r="208" spans="1:24" ht="15" thickBot="1" x14ac:dyDescent="0.35"/>
    <row r="209" spans="1:24" s="14" customFormat="1" ht="30" customHeight="1" thickBot="1" x14ac:dyDescent="0.35">
      <c r="A209" s="178" t="s">
        <v>326</v>
      </c>
      <c r="B209" s="179" t="s">
        <v>1500</v>
      </c>
      <c r="C209" s="180"/>
      <c r="D209" s="180"/>
      <c r="E209" s="181"/>
      <c r="F209" s="180"/>
      <c r="G209" s="180"/>
      <c r="H209" s="180"/>
      <c r="I209" s="181"/>
      <c r="J209" s="181"/>
      <c r="K209" s="181"/>
      <c r="L209" s="181"/>
      <c r="M209" s="181"/>
      <c r="N209" s="181"/>
      <c r="O209" s="181"/>
      <c r="P209" s="181"/>
      <c r="Q209" s="181"/>
      <c r="R209" s="181"/>
      <c r="S209" s="181"/>
      <c r="T209" s="181"/>
      <c r="U209" s="181"/>
      <c r="V209" s="181"/>
      <c r="W209" s="181"/>
      <c r="X209" s="182"/>
    </row>
    <row r="210" spans="1:24" x14ac:dyDescent="0.3">
      <c r="A210" s="54" t="s">
        <v>163</v>
      </c>
      <c r="B210" s="56" t="s">
        <v>371</v>
      </c>
      <c r="C210" s="56"/>
      <c r="D210" s="56"/>
      <c r="E210" s="61"/>
      <c r="F210" s="56"/>
      <c r="G210" s="56"/>
      <c r="H210" s="56"/>
      <c r="I210" s="61"/>
      <c r="J210" s="61"/>
      <c r="K210" s="61"/>
      <c r="L210" s="61"/>
      <c r="M210" s="61"/>
      <c r="N210" s="61"/>
      <c r="O210" s="61"/>
      <c r="P210" s="61"/>
      <c r="Q210" s="61"/>
      <c r="R210" s="61"/>
      <c r="S210" s="61"/>
      <c r="T210" s="61"/>
      <c r="U210" s="61"/>
      <c r="V210" s="61"/>
      <c r="W210" s="61"/>
      <c r="X210" s="62"/>
    </row>
    <row r="211" spans="1:24" x14ac:dyDescent="0.3">
      <c r="A211" s="54" t="s">
        <v>227</v>
      </c>
      <c r="B211" s="56" t="s">
        <v>156</v>
      </c>
      <c r="C211" s="56"/>
      <c r="D211" s="56"/>
      <c r="E211" s="61"/>
      <c r="F211" s="56"/>
      <c r="G211" s="56"/>
      <c r="H211" s="56"/>
      <c r="I211" s="61"/>
      <c r="J211" s="61"/>
      <c r="K211" s="61"/>
      <c r="L211" s="61"/>
      <c r="M211" s="61"/>
      <c r="N211" s="61"/>
      <c r="O211" s="61"/>
      <c r="P211" s="61"/>
      <c r="Q211" s="61"/>
      <c r="R211" s="61"/>
      <c r="S211" s="61"/>
      <c r="T211" s="61"/>
      <c r="U211" s="61"/>
      <c r="V211" s="61"/>
      <c r="W211" s="61"/>
      <c r="X211" s="62"/>
    </row>
    <row r="212" spans="1:24" x14ac:dyDescent="0.3">
      <c r="A212" s="54" t="s">
        <v>428</v>
      </c>
      <c r="B212" s="61">
        <v>1</v>
      </c>
      <c r="C212" s="56"/>
      <c r="D212" s="56"/>
      <c r="E212" s="61"/>
      <c r="F212" s="56"/>
      <c r="G212" s="56"/>
      <c r="H212" s="56"/>
      <c r="I212" s="61"/>
      <c r="J212" s="61"/>
      <c r="K212" s="61"/>
      <c r="L212" s="61"/>
      <c r="M212" s="61"/>
      <c r="N212" s="61"/>
      <c r="O212" s="61"/>
      <c r="P212" s="61"/>
      <c r="Q212" s="61"/>
      <c r="R212" s="61"/>
      <c r="S212" s="61"/>
      <c r="T212" s="61"/>
      <c r="U212" s="61"/>
      <c r="V212" s="61"/>
      <c r="W212" s="61"/>
      <c r="X212" s="62"/>
    </row>
    <row r="213" spans="1:24" x14ac:dyDescent="0.3">
      <c r="A213" s="54" t="s">
        <v>147</v>
      </c>
      <c r="B213" s="56" t="s">
        <v>717</v>
      </c>
      <c r="C213" s="56"/>
      <c r="D213" s="56"/>
      <c r="E213" s="61"/>
      <c r="F213" s="56"/>
      <c r="G213" s="56"/>
      <c r="H213" s="56"/>
      <c r="I213" s="61"/>
      <c r="J213" s="61"/>
      <c r="K213" s="61"/>
      <c r="L213" s="61"/>
      <c r="M213" s="61"/>
      <c r="N213" s="61"/>
      <c r="O213" s="61"/>
      <c r="P213" s="61"/>
      <c r="Q213" s="61"/>
      <c r="R213" s="61"/>
      <c r="S213" s="61"/>
      <c r="T213" s="61"/>
      <c r="U213" s="61"/>
      <c r="V213" s="61"/>
      <c r="W213" s="61"/>
      <c r="X213" s="62"/>
    </row>
    <row r="214" spans="1:24" x14ac:dyDescent="0.3">
      <c r="A214" s="54" t="s">
        <v>327</v>
      </c>
      <c r="B214" s="61" t="s">
        <v>134</v>
      </c>
      <c r="C214" s="56"/>
      <c r="D214" s="56"/>
      <c r="E214" s="61"/>
      <c r="F214" s="56"/>
      <c r="G214" s="56"/>
      <c r="H214" s="56"/>
      <c r="I214" s="61"/>
      <c r="J214" s="61"/>
      <c r="K214" s="61"/>
      <c r="L214" s="61"/>
      <c r="M214" s="61"/>
      <c r="N214" s="61"/>
      <c r="O214" s="61"/>
      <c r="P214" s="61"/>
      <c r="Q214" s="61"/>
      <c r="R214" s="61"/>
      <c r="S214" s="61"/>
      <c r="T214" s="61"/>
      <c r="U214" s="61"/>
      <c r="V214" s="61"/>
      <c r="W214" s="61"/>
      <c r="X214" s="62"/>
    </row>
    <row r="215" spans="1:24" x14ac:dyDescent="0.3">
      <c r="A215" s="54" t="s">
        <v>224</v>
      </c>
      <c r="B215" s="56" t="s">
        <v>224</v>
      </c>
      <c r="C215" s="56"/>
      <c r="D215" s="56"/>
      <c r="E215" s="61"/>
      <c r="F215" s="56"/>
      <c r="G215" s="56"/>
      <c r="H215" s="56"/>
      <c r="I215" s="61"/>
      <c r="J215" s="61"/>
      <c r="K215" s="61"/>
      <c r="L215" s="61"/>
      <c r="M215" s="61"/>
      <c r="N215" s="61"/>
      <c r="O215" s="61"/>
      <c r="P215" s="61"/>
      <c r="Q215" s="61"/>
      <c r="R215" s="61"/>
      <c r="S215" s="61"/>
      <c r="T215" s="61"/>
      <c r="U215" s="61"/>
      <c r="V215" s="61"/>
      <c r="W215" s="61"/>
      <c r="X215" s="62"/>
    </row>
    <row r="216" spans="1:24" ht="15.6" x14ac:dyDescent="0.3">
      <c r="A216" s="55" t="s">
        <v>328</v>
      </c>
      <c r="B216" s="61"/>
      <c r="C216" s="56"/>
      <c r="D216" s="56"/>
      <c r="E216" s="61"/>
      <c r="F216" s="56"/>
      <c r="G216" s="56"/>
      <c r="H216" s="56"/>
      <c r="I216" s="61"/>
      <c r="J216" s="61"/>
      <c r="K216" s="61"/>
      <c r="L216" s="61"/>
      <c r="M216" s="61"/>
      <c r="N216" s="61"/>
      <c r="O216" s="61"/>
      <c r="P216" s="61"/>
      <c r="Q216" s="61"/>
      <c r="R216" s="61"/>
      <c r="S216" s="61"/>
      <c r="T216" s="61"/>
      <c r="U216" s="61"/>
      <c r="V216" s="61"/>
      <c r="W216" s="61"/>
      <c r="X216" s="62"/>
    </row>
    <row r="217" spans="1:24" x14ac:dyDescent="0.3">
      <c r="A217" s="54" t="s">
        <v>329</v>
      </c>
      <c r="B217" s="61" t="s">
        <v>330</v>
      </c>
      <c r="C217" s="56" t="s">
        <v>224</v>
      </c>
      <c r="D217" s="56" t="s">
        <v>331</v>
      </c>
      <c r="E217" s="61" t="s">
        <v>147</v>
      </c>
      <c r="F217" s="56" t="s">
        <v>332</v>
      </c>
      <c r="G217" s="56" t="s">
        <v>227</v>
      </c>
      <c r="H217" s="56" t="s">
        <v>327</v>
      </c>
      <c r="I217" s="61" t="s">
        <v>372</v>
      </c>
      <c r="J217" s="61" t="s">
        <v>373</v>
      </c>
      <c r="K217" s="61" t="s">
        <v>374</v>
      </c>
      <c r="L217" s="61" t="s">
        <v>148</v>
      </c>
      <c r="M217" s="61" t="s">
        <v>585</v>
      </c>
      <c r="N217" s="61" t="s">
        <v>586</v>
      </c>
      <c r="O217" s="61" t="s">
        <v>587</v>
      </c>
      <c r="P217" s="61" t="s">
        <v>220</v>
      </c>
      <c r="Q217" s="61" t="s">
        <v>588</v>
      </c>
      <c r="R217" s="61" t="s">
        <v>590</v>
      </c>
      <c r="S217" s="61" t="s">
        <v>591</v>
      </c>
      <c r="T217" s="61" t="s">
        <v>592</v>
      </c>
      <c r="U217" s="61" t="s">
        <v>593</v>
      </c>
      <c r="V217" s="61" t="s">
        <v>594</v>
      </c>
      <c r="W217" s="61" t="s">
        <v>595</v>
      </c>
      <c r="X217" s="62" t="s">
        <v>589</v>
      </c>
    </row>
    <row r="218" spans="1:24" x14ac:dyDescent="0.3">
      <c r="A218" s="285" t="str">
        <f>IF($G$218='4. INPUTS LIST'!$B$3,'4. INPUTS LIST'!$C$3, IF($G$218='4. INPUTS LIST'!$B$4,'4. INPUTS LIST'!$C$4, IF($G$218='4. INPUTS LIST'!$B$5,'4. INPUTS LIST'!$C$5, IF($G$218='4. INPUTS LIST'!$B$6,'4. INPUTS LIST'!$C$6, IF($G$218='4. INPUTS LIST'!$B$7,'4. INPUTS LIST'!$C$7, IF($G$218='4. INPUTS LIST'!$B$8,'4. INPUTS LIST'!$C$8, IF($G$218='4. INPUTS LIST'!$B$9,'4. INPUTS LIST'!$C$9, IF($G$218='4. INPUTS LIST'!$B$10,'4. INPUTS LIST'!$C$10, IF($G$218='4. INPUTS LIST'!$B$11,'4. INPUTS LIST'!$C$11, IF($G$218='4. INPUTS LIST'!$B$12,'4. INPUTS LIST'!$C$12))))))))))</f>
        <v>market for electricity, medium voltage</v>
      </c>
      <c r="B218" s="297">
        <f>'19. PVD'!$D$6</f>
        <v>4.2133491520167578E-2</v>
      </c>
      <c r="C218" s="3" t="s">
        <v>342</v>
      </c>
      <c r="D218" s="3" t="s">
        <v>385</v>
      </c>
      <c r="E218" s="58" t="str">
        <f>IF($A$218='4. INPUTS LIST'!$C$3,'4. INPUTS LIST'!$D$3, IF($A$218='4. INPUTS LIST'!$C$7, '4. INPUTS LIST'!$D$7, IF($A$218='4. INPUTS LIST'!$C$12,'4. INPUTS LIST'!$D$12)))</f>
        <v>electricity, medium voltage</v>
      </c>
      <c r="F218" s="3" t="s">
        <v>371</v>
      </c>
      <c r="G218" s="3" t="str">
        <f>'1. USER INPUTS'!$E$24</f>
        <v>JP</v>
      </c>
      <c r="H218" s="3" t="s">
        <v>154</v>
      </c>
      <c r="I218" s="58">
        <v>2</v>
      </c>
      <c r="J218" s="58">
        <f>IF(B218=0,"(Unknown)",LN((ABS(B218))))</f>
        <v>-3.1669123315101806</v>
      </c>
      <c r="K218" s="58">
        <f>IF(B218&gt;0,SQRT(LN(L218)),"(Unknown)")</f>
        <v>0.32603904386951327</v>
      </c>
      <c r="L218" s="90">
        <f>IF(B218&gt;0,(EXP(SQRT((LN(X218))^2+(LN(R218))^2+(LN(S218))^2+(LN(T218))^2+(LN(U218))^2+(LN(V218))^2))),"(Unknown)")</f>
        <v>1.1121570947719619</v>
      </c>
      <c r="M218" s="58">
        <v>4</v>
      </c>
      <c r="N218" s="58">
        <v>4</v>
      </c>
      <c r="O218" s="58">
        <v>1</v>
      </c>
      <c r="P218" s="58">
        <v>3</v>
      </c>
      <c r="Q218" s="58">
        <v>2</v>
      </c>
      <c r="R218" s="58">
        <f>IF(M218=1, '6. PEDIGREE MATRIX'!$B$4, IF(M218=2, '6. PEDIGREE MATRIX'!$C$4, IF(M218=3, '6. PEDIGREE MATRIX'!$D$4, IF(M218=4, '6. PEDIGREE MATRIX'!$E$4, IF(M218=5, '6. PEDIGREE MATRIX'!$F$4)))))</f>
        <v>1.0935646911485417</v>
      </c>
      <c r="S218" s="58">
        <f>IF(N218=1, '6. PEDIGREE MATRIX'!$B$6, IF(N218=2, '6. PEDIGREE MATRIX'!$C$6, IF(N218=3, '6. PEDIGREE MATRIX'!$D$6, IF(N218=4, '6. PEDIGREE MATRIX'!$E$6, IF(N218=5, '6. PEDIGREE MATRIX'!$F$6)))))</f>
        <v>1.0457364348384068</v>
      </c>
      <c r="T218" s="58">
        <f>IF(O218=1, '6. PEDIGREE MATRIX'!$B$8, IF(O218=2, '6. PEDIGREE MATRIX'!$C$8, IF(O218=3, '6. PEDIGREE MATRIX'!$D$8, IF(O218=4, '6. PEDIGREE MATRIX'!$E$8, IF(O218=5, '6. PEDIGREE MATRIX'!$F$8)))))</f>
        <v>1</v>
      </c>
      <c r="U218" s="58">
        <f>IF(P218=1, '6. PEDIGREE MATRIX'!$B$10, IF(P218=2, '6. PEDIGREE MATRIX'!$C$10, IF(P218=3, '6. PEDIGREE MATRIX'!$D$10, IF(P218=4, '6. PEDIGREE MATRIX'!$E$10, IF(P218=5, '6. PEDIGREE MATRIX'!$F$10)))))</f>
        <v>1.0100501670841679</v>
      </c>
      <c r="V218" s="58">
        <f>IF(Q218=1, '6. PEDIGREE MATRIX'!$B$12, IF(Q218=2, '6. PEDIGREE MATRIX'!$C$12, IF(Q218=3, '6. PEDIGREE MATRIX'!$D$12, IF(Q218=4, '6. PEDIGREE MATRIX'!$E$12, IF(Q218=5, '6. PEDIGREE MATRIX'!$F$12)))))</f>
        <v>1.0247973619913604</v>
      </c>
      <c r="W218" s="58">
        <v>5.9999999999999995E-4</v>
      </c>
      <c r="X218" s="63">
        <f>EXP(SQRT(W218))</f>
        <v>1.0247973619913604</v>
      </c>
    </row>
    <row r="219" spans="1:24" x14ac:dyDescent="0.3">
      <c r="A219" s="287" t="s">
        <v>701</v>
      </c>
      <c r="B219" s="297">
        <f>'19. PVD'!$D$7</f>
        <v>2.5509948341697122E-5</v>
      </c>
      <c r="C219" s="3" t="s">
        <v>153</v>
      </c>
      <c r="D219" s="3" t="s">
        <v>385</v>
      </c>
      <c r="E219" s="58" t="s">
        <v>465</v>
      </c>
      <c r="F219" s="3" t="s">
        <v>371</v>
      </c>
      <c r="G219" s="3" t="s">
        <v>429</v>
      </c>
      <c r="H219" s="3" t="s">
        <v>154</v>
      </c>
      <c r="I219" s="58">
        <v>2</v>
      </c>
      <c r="J219" s="58">
        <f t="shared" ref="J219:J223" si="70">IF(B219=0,"(Unknown)",LN((ABS(B219))))</f>
        <v>-10.576442050834277</v>
      </c>
      <c r="K219" s="58">
        <f t="shared" ref="K219:K223" si="71">IF(B219&gt;0,SQRT(LN(L219)),"(Unknown)")</f>
        <v>0.32603904386951327</v>
      </c>
      <c r="L219" s="90">
        <f t="shared" ref="L219:L223" si="72">IF(B219&gt;0,(EXP(SQRT((LN(X219))^2+(LN(R219))^2+(LN(S219))^2+(LN(T219))^2+(LN(U219))^2+(LN(V219))^2))),"(Unknown)")</f>
        <v>1.1121570947719619</v>
      </c>
      <c r="M219" s="58">
        <v>4</v>
      </c>
      <c r="N219" s="58">
        <v>4</v>
      </c>
      <c r="O219" s="58">
        <v>1</v>
      </c>
      <c r="P219" s="58">
        <v>3</v>
      </c>
      <c r="Q219" s="58">
        <v>2</v>
      </c>
      <c r="R219" s="58">
        <f>IF(M219=1, '6. PEDIGREE MATRIX'!$B$4, IF(M219=2, '6. PEDIGREE MATRIX'!$C$4, IF(M219=3, '6. PEDIGREE MATRIX'!$D$4, IF(M219=4, '6. PEDIGREE MATRIX'!$E$4, IF(M219=5, '6. PEDIGREE MATRIX'!$F$4)))))</f>
        <v>1.0935646911485417</v>
      </c>
      <c r="S219" s="58">
        <f>IF(N219=1, '6. PEDIGREE MATRIX'!$B$6, IF(N219=2, '6. PEDIGREE MATRIX'!$C$6, IF(N219=3, '6. PEDIGREE MATRIX'!$D$6, IF(N219=4, '6. PEDIGREE MATRIX'!$E$6, IF(N219=5, '6. PEDIGREE MATRIX'!$F$6)))))</f>
        <v>1.0457364348384068</v>
      </c>
      <c r="T219" s="58">
        <f>IF(O219=1, '6. PEDIGREE MATRIX'!$B$8, IF(O219=2, '6. PEDIGREE MATRIX'!$C$8, IF(O219=3, '6. PEDIGREE MATRIX'!$D$8, IF(O219=4, '6. PEDIGREE MATRIX'!$E$8, IF(O219=5, '6. PEDIGREE MATRIX'!$F$8)))))</f>
        <v>1</v>
      </c>
      <c r="U219" s="58">
        <f>IF(P219=1, '6. PEDIGREE MATRIX'!$B$10, IF(P219=2, '6. PEDIGREE MATRIX'!$C$10, IF(P219=3, '6. PEDIGREE MATRIX'!$D$10, IF(P219=4, '6. PEDIGREE MATRIX'!$E$10, IF(P219=5, '6. PEDIGREE MATRIX'!$F$10)))))</f>
        <v>1.0100501670841679</v>
      </c>
      <c r="V219" s="58">
        <f>IF(Q219=1, '6. PEDIGREE MATRIX'!$B$12, IF(Q219=2, '6. PEDIGREE MATRIX'!$C$12, IF(Q219=3, '6. PEDIGREE MATRIX'!$D$12, IF(Q219=4, '6. PEDIGREE MATRIX'!$E$12, IF(Q219=5, '6. PEDIGREE MATRIX'!$F$12)))))</f>
        <v>1.0247973619913604</v>
      </c>
      <c r="W219" s="58">
        <v>5.9999999999999995E-4</v>
      </c>
      <c r="X219" s="63">
        <f>EXP(SQRT(W219))</f>
        <v>1.0247973619913604</v>
      </c>
    </row>
    <row r="220" spans="1:24" x14ac:dyDescent="0.3">
      <c r="A220" s="49" t="s">
        <v>703</v>
      </c>
      <c r="B220" s="297">
        <f>'19. PVD'!$D$8</f>
        <v>3.6442783345281597E-6</v>
      </c>
      <c r="C220" s="3" t="s">
        <v>153</v>
      </c>
      <c r="D220" s="3" t="s">
        <v>385</v>
      </c>
      <c r="E220" s="49" t="s">
        <v>406</v>
      </c>
      <c r="F220" s="3" t="s">
        <v>371</v>
      </c>
      <c r="G220" s="3" t="s">
        <v>346</v>
      </c>
      <c r="H220" s="3" t="s">
        <v>154</v>
      </c>
      <c r="I220" s="58">
        <v>2</v>
      </c>
      <c r="J220" s="58">
        <f t="shared" si="70"/>
        <v>-12.522352199889591</v>
      </c>
      <c r="K220" s="58">
        <f t="shared" si="71"/>
        <v>0.32603904386951327</v>
      </c>
      <c r="L220" s="90">
        <f t="shared" si="72"/>
        <v>1.1121570947719619</v>
      </c>
      <c r="M220" s="58">
        <v>4</v>
      </c>
      <c r="N220" s="58">
        <v>4</v>
      </c>
      <c r="O220" s="58">
        <v>1</v>
      </c>
      <c r="P220" s="58">
        <v>3</v>
      </c>
      <c r="Q220" s="58">
        <v>2</v>
      </c>
      <c r="R220" s="58">
        <f>IF(M220=1, '6. PEDIGREE MATRIX'!$B$4, IF(M220=2, '6. PEDIGREE MATRIX'!$C$4, IF(M220=3, '6. PEDIGREE MATRIX'!$D$4, IF(M220=4, '6. PEDIGREE MATRIX'!$E$4, IF(M220=5, '6. PEDIGREE MATRIX'!$F$4)))))</f>
        <v>1.0935646911485417</v>
      </c>
      <c r="S220" s="58">
        <f>IF(N220=1, '6. PEDIGREE MATRIX'!$B$6, IF(N220=2, '6. PEDIGREE MATRIX'!$C$6, IF(N220=3, '6. PEDIGREE MATRIX'!$D$6, IF(N220=4, '6. PEDIGREE MATRIX'!$E$6, IF(N220=5, '6. PEDIGREE MATRIX'!$F$6)))))</f>
        <v>1.0457364348384068</v>
      </c>
      <c r="T220" s="58">
        <f>IF(O220=1, '6. PEDIGREE MATRIX'!$B$8, IF(O220=2, '6. PEDIGREE MATRIX'!$C$8, IF(O220=3, '6. PEDIGREE MATRIX'!$D$8, IF(O220=4, '6. PEDIGREE MATRIX'!$E$8, IF(O220=5, '6. PEDIGREE MATRIX'!$F$8)))))</f>
        <v>1</v>
      </c>
      <c r="U220" s="58">
        <f>IF(P220=1, '6. PEDIGREE MATRIX'!$B$10, IF(P220=2, '6. PEDIGREE MATRIX'!$C$10, IF(P220=3, '6. PEDIGREE MATRIX'!$D$10, IF(P220=4, '6. PEDIGREE MATRIX'!$E$10, IF(P220=5, '6. PEDIGREE MATRIX'!$F$10)))))</f>
        <v>1.0100501670841679</v>
      </c>
      <c r="V220" s="58">
        <f>IF(Q220=1, '6. PEDIGREE MATRIX'!$B$12, IF(Q220=2, '6. PEDIGREE MATRIX'!$C$12, IF(Q220=3, '6. PEDIGREE MATRIX'!$D$12, IF(Q220=4, '6. PEDIGREE MATRIX'!$E$12, IF(Q220=5, '6. PEDIGREE MATRIX'!$F$12)))))</f>
        <v>1.0247973619913604</v>
      </c>
      <c r="W220" s="58">
        <v>5.9999999999999995E-4</v>
      </c>
      <c r="X220" s="63">
        <f>EXP(SQRT(W220))</f>
        <v>1.0247973619913604</v>
      </c>
    </row>
    <row r="221" spans="1:24" x14ac:dyDescent="0.3">
      <c r="A221" s="287" t="s">
        <v>705</v>
      </c>
      <c r="B221" s="297">
        <f>'19. PVD'!$D$9</f>
        <v>1.2012621176778007E-5</v>
      </c>
      <c r="C221" s="3" t="s">
        <v>153</v>
      </c>
      <c r="D221" s="3" t="s">
        <v>385</v>
      </c>
      <c r="E221" s="49" t="s">
        <v>513</v>
      </c>
      <c r="F221" s="3" t="s">
        <v>371</v>
      </c>
      <c r="G221" s="3" t="s">
        <v>346</v>
      </c>
      <c r="H221" s="3" t="s">
        <v>154</v>
      </c>
      <c r="I221" s="58">
        <v>2</v>
      </c>
      <c r="J221" s="58">
        <f t="shared" si="70"/>
        <v>-11.32955269616178</v>
      </c>
      <c r="K221" s="58">
        <f t="shared" si="71"/>
        <v>0.32603904386951327</v>
      </c>
      <c r="L221" s="90">
        <f t="shared" si="72"/>
        <v>1.1121570947719619</v>
      </c>
      <c r="M221" s="58">
        <v>4</v>
      </c>
      <c r="N221" s="58">
        <v>4</v>
      </c>
      <c r="O221" s="58">
        <v>1</v>
      </c>
      <c r="P221" s="58">
        <v>3</v>
      </c>
      <c r="Q221" s="58">
        <v>2</v>
      </c>
      <c r="R221" s="58">
        <f>IF(M221=1, '6. PEDIGREE MATRIX'!$B$4, IF(M221=2, '6. PEDIGREE MATRIX'!$C$4, IF(M221=3, '6. PEDIGREE MATRIX'!$D$4, IF(M221=4, '6. PEDIGREE MATRIX'!$E$4, IF(M221=5, '6. PEDIGREE MATRIX'!$F$4)))))</f>
        <v>1.0935646911485417</v>
      </c>
      <c r="S221" s="58">
        <f>IF(N221=1, '6. PEDIGREE MATRIX'!$B$6, IF(N221=2, '6. PEDIGREE MATRIX'!$C$6, IF(N221=3, '6. PEDIGREE MATRIX'!$D$6, IF(N221=4, '6. PEDIGREE MATRIX'!$E$6, IF(N221=5, '6. PEDIGREE MATRIX'!$F$6)))))</f>
        <v>1.0457364348384068</v>
      </c>
      <c r="T221" s="58">
        <f>IF(O221=1, '6. PEDIGREE MATRIX'!$B$8, IF(O221=2, '6. PEDIGREE MATRIX'!$C$8, IF(O221=3, '6. PEDIGREE MATRIX'!$D$8, IF(O221=4, '6. PEDIGREE MATRIX'!$E$8, IF(O221=5, '6. PEDIGREE MATRIX'!$F$8)))))</f>
        <v>1</v>
      </c>
      <c r="U221" s="58">
        <f>IF(P221=1, '6. PEDIGREE MATRIX'!$B$10, IF(P221=2, '6. PEDIGREE MATRIX'!$C$10, IF(P221=3, '6. PEDIGREE MATRIX'!$D$10, IF(P221=4, '6. PEDIGREE MATRIX'!$E$10, IF(P221=5, '6. PEDIGREE MATRIX'!$F$10)))))</f>
        <v>1.0100501670841679</v>
      </c>
      <c r="V221" s="58">
        <f>IF(Q221=1, '6. PEDIGREE MATRIX'!$B$12, IF(Q221=2, '6. PEDIGREE MATRIX'!$C$12, IF(Q221=3, '6. PEDIGREE MATRIX'!$D$12, IF(Q221=4, '6. PEDIGREE MATRIX'!$E$12, IF(Q221=5, '6. PEDIGREE MATRIX'!$F$12)))))</f>
        <v>1.0247973619913604</v>
      </c>
      <c r="W221" s="58">
        <v>5.9999999999999995E-4</v>
      </c>
      <c r="X221" s="63">
        <f t="shared" ref="X221:X222" si="73">EXP(SQRT(W221))</f>
        <v>1.0247973619913604</v>
      </c>
    </row>
    <row r="222" spans="1:24" x14ac:dyDescent="0.3">
      <c r="A222" s="287" t="s">
        <v>1036</v>
      </c>
      <c r="B222" s="297">
        <f>'19. PVD'!$D$10</f>
        <v>5.6704970885258167E-6</v>
      </c>
      <c r="C222" s="3" t="s">
        <v>153</v>
      </c>
      <c r="D222" s="3" t="s">
        <v>385</v>
      </c>
      <c r="E222" s="49" t="s">
        <v>1047</v>
      </c>
      <c r="F222" s="3" t="s">
        <v>371</v>
      </c>
      <c r="G222" s="3" t="s">
        <v>346</v>
      </c>
      <c r="H222" s="3" t="s">
        <v>154</v>
      </c>
      <c r="I222" s="58">
        <v>2</v>
      </c>
      <c r="J222" s="58">
        <f t="shared" si="70"/>
        <v>-12.080233774133392</v>
      </c>
      <c r="K222" s="58">
        <f t="shared" si="71"/>
        <v>0.32603904386951327</v>
      </c>
      <c r="L222" s="90">
        <f t="shared" si="72"/>
        <v>1.1121570947719619</v>
      </c>
      <c r="M222" s="58">
        <v>4</v>
      </c>
      <c r="N222" s="58">
        <v>4</v>
      </c>
      <c r="O222" s="58">
        <v>1</v>
      </c>
      <c r="P222" s="58">
        <v>3</v>
      </c>
      <c r="Q222" s="58">
        <v>2</v>
      </c>
      <c r="R222" s="58">
        <f>IF(M222=1, '6. PEDIGREE MATRIX'!$B$4, IF(M222=2, '6. PEDIGREE MATRIX'!$C$4, IF(M222=3, '6. PEDIGREE MATRIX'!$D$4, IF(M222=4, '6. PEDIGREE MATRIX'!$E$4, IF(M222=5, '6. PEDIGREE MATRIX'!$F$4)))))</f>
        <v>1.0935646911485417</v>
      </c>
      <c r="S222" s="58">
        <f>IF(N222=1, '6. PEDIGREE MATRIX'!$B$6, IF(N222=2, '6. PEDIGREE MATRIX'!$C$6, IF(N222=3, '6. PEDIGREE MATRIX'!$D$6, IF(N222=4, '6. PEDIGREE MATRIX'!$E$6, IF(N222=5, '6. PEDIGREE MATRIX'!$F$6)))))</f>
        <v>1.0457364348384068</v>
      </c>
      <c r="T222" s="58">
        <f>IF(O222=1, '6. PEDIGREE MATRIX'!$B$8, IF(O222=2, '6. PEDIGREE MATRIX'!$C$8, IF(O222=3, '6. PEDIGREE MATRIX'!$D$8, IF(O222=4, '6. PEDIGREE MATRIX'!$E$8, IF(O222=5, '6. PEDIGREE MATRIX'!$F$8)))))</f>
        <v>1</v>
      </c>
      <c r="U222" s="58">
        <f>IF(P222=1, '6. PEDIGREE MATRIX'!$B$10, IF(P222=2, '6. PEDIGREE MATRIX'!$C$10, IF(P222=3, '6. PEDIGREE MATRIX'!$D$10, IF(P222=4, '6. PEDIGREE MATRIX'!$E$10, IF(P222=5, '6. PEDIGREE MATRIX'!$F$10)))))</f>
        <v>1.0100501670841679</v>
      </c>
      <c r="V222" s="58">
        <f>IF(Q222=1, '6. PEDIGREE MATRIX'!$B$12, IF(Q222=2, '6. PEDIGREE MATRIX'!$C$12, IF(Q222=3, '6. PEDIGREE MATRIX'!$D$12, IF(Q222=4, '6. PEDIGREE MATRIX'!$E$12, IF(Q222=5, '6. PEDIGREE MATRIX'!$F$12)))))</f>
        <v>1.0247973619913604</v>
      </c>
      <c r="W222" s="58">
        <v>5.9999999999999995E-4</v>
      </c>
      <c r="X222" s="63">
        <f t="shared" si="73"/>
        <v>1.0247973619913604</v>
      </c>
    </row>
    <row r="223" spans="1:24" x14ac:dyDescent="0.3">
      <c r="A223" s="49" t="s">
        <v>381</v>
      </c>
      <c r="B223" s="297">
        <f>'19. PVD'!$D$11</f>
        <v>6.2638457393315815E-5</v>
      </c>
      <c r="C223" s="3" t="s">
        <v>153</v>
      </c>
      <c r="D223" s="3" t="s">
        <v>385</v>
      </c>
      <c r="E223" s="49" t="s">
        <v>405</v>
      </c>
      <c r="F223" s="3" t="s">
        <v>371</v>
      </c>
      <c r="G223" s="3" t="s">
        <v>429</v>
      </c>
      <c r="H223" s="3" t="s">
        <v>154</v>
      </c>
      <c r="I223" s="58">
        <v>2</v>
      </c>
      <c r="J223" s="58">
        <f t="shared" si="70"/>
        <v>-9.6781311331284545</v>
      </c>
      <c r="K223" s="58">
        <f t="shared" si="71"/>
        <v>0.32603904386951327</v>
      </c>
      <c r="L223" s="90">
        <f t="shared" si="72"/>
        <v>1.1121570947719619</v>
      </c>
      <c r="M223" s="58">
        <v>4</v>
      </c>
      <c r="N223" s="58">
        <v>4</v>
      </c>
      <c r="O223" s="58">
        <v>1</v>
      </c>
      <c r="P223" s="58">
        <v>3</v>
      </c>
      <c r="Q223" s="58">
        <v>2</v>
      </c>
      <c r="R223" s="58">
        <f>IF(M223=1, '6. PEDIGREE MATRIX'!$B$4, IF(M223=2, '6. PEDIGREE MATRIX'!$C$4, IF(M223=3, '6. PEDIGREE MATRIX'!$D$4, IF(M223=4, '6. PEDIGREE MATRIX'!$E$4, IF(M223=5, '6. PEDIGREE MATRIX'!$F$4)))))</f>
        <v>1.0935646911485417</v>
      </c>
      <c r="S223" s="58">
        <f>IF(N223=1, '6. PEDIGREE MATRIX'!$B$6, IF(N223=2, '6. PEDIGREE MATRIX'!$C$6, IF(N223=3, '6. PEDIGREE MATRIX'!$D$6, IF(N223=4, '6. PEDIGREE MATRIX'!$E$6, IF(N223=5, '6. PEDIGREE MATRIX'!$F$6)))))</f>
        <v>1.0457364348384068</v>
      </c>
      <c r="T223" s="58">
        <f>IF(O223=1, '6. PEDIGREE MATRIX'!$B$8, IF(O223=2, '6. PEDIGREE MATRIX'!$C$8, IF(O223=3, '6. PEDIGREE MATRIX'!$D$8, IF(O223=4, '6. PEDIGREE MATRIX'!$E$8, IF(O223=5, '6. PEDIGREE MATRIX'!$F$8)))))</f>
        <v>1</v>
      </c>
      <c r="U223" s="58">
        <f>IF(P223=1, '6. PEDIGREE MATRIX'!$B$10, IF(P223=2, '6. PEDIGREE MATRIX'!$C$10, IF(P223=3, '6. PEDIGREE MATRIX'!$D$10, IF(P223=4, '6. PEDIGREE MATRIX'!$E$10, IF(P223=5, '6. PEDIGREE MATRIX'!$F$10)))))</f>
        <v>1.0100501670841679</v>
      </c>
      <c r="V223" s="58">
        <f>IF(Q223=1, '6. PEDIGREE MATRIX'!$B$12, IF(Q223=2, '6. PEDIGREE MATRIX'!$C$12, IF(Q223=3, '6. PEDIGREE MATRIX'!$D$12, IF(Q223=4, '6. PEDIGREE MATRIX'!$E$12, IF(Q223=5, '6. PEDIGREE MATRIX'!$F$12)))))</f>
        <v>1.0247973619913604</v>
      </c>
      <c r="W223" s="58">
        <v>5.9999999999999995E-4</v>
      </c>
      <c r="X223" s="63">
        <f>EXP(SQRT(W223))</f>
        <v>1.0247973619913604</v>
      </c>
    </row>
    <row r="224" spans="1:24" x14ac:dyDescent="0.3">
      <c r="A224" s="842" t="s">
        <v>1884</v>
      </c>
      <c r="B224" s="297">
        <f>-'19. PVD'!$D$14</f>
        <v>-4.4495477694452652E-5</v>
      </c>
      <c r="C224" s="244" t="s">
        <v>153</v>
      </c>
      <c r="D224" s="244" t="s">
        <v>385</v>
      </c>
      <c r="E224" s="521" t="s">
        <v>1904</v>
      </c>
      <c r="F224" s="244" t="s">
        <v>371</v>
      </c>
      <c r="G224" s="244" t="s">
        <v>429</v>
      </c>
      <c r="H224" s="244" t="s">
        <v>154</v>
      </c>
      <c r="I224" s="522">
        <v>2</v>
      </c>
      <c r="J224" s="522">
        <f t="shared" ref="J224:J227" si="74">IF(B224=0,"(Unknown)",LN((ABS(B224))))</f>
        <v>-10.020122998799994</v>
      </c>
      <c r="K224" s="522" t="str">
        <f t="shared" ref="K224:K227" si="75">IF(B224&gt;0,SQRT(LN(L224)),"(Unknown)")</f>
        <v>(Unknown)</v>
      </c>
      <c r="L224" s="523" t="str">
        <f t="shared" ref="L224:L227" si="76">IF(B224&gt;0,(EXP(SQRT((LN(X224))^2+(LN(R224))^2+(LN(S224))^2+(LN(T224))^2+(LN(U224))^2+(LN(V224))^2))),"(Unknown)")</f>
        <v>(Unknown)</v>
      </c>
      <c r="M224" s="522">
        <v>4</v>
      </c>
      <c r="N224" s="522">
        <v>4</v>
      </c>
      <c r="O224" s="522">
        <v>1</v>
      </c>
      <c r="P224" s="522">
        <v>3</v>
      </c>
      <c r="Q224" s="522">
        <v>2</v>
      </c>
      <c r="R224" s="522">
        <f>IF(M224=1, '6. PEDIGREE MATRIX'!$B$4, IF(M224=2, '6. PEDIGREE MATRIX'!$C$4, IF(M224=3, '6. PEDIGREE MATRIX'!$D$4, IF(M224=4, '6. PEDIGREE MATRIX'!$E$4, IF(M224=5, '6. PEDIGREE MATRIX'!$F$4)))))</f>
        <v>1.0935646911485417</v>
      </c>
      <c r="S224" s="522">
        <f>IF(N224=1, '6. PEDIGREE MATRIX'!$B$6, IF(N224=2, '6. PEDIGREE MATRIX'!$C$6, IF(N224=3, '6. PEDIGREE MATRIX'!$D$6, IF(N224=4, '6. PEDIGREE MATRIX'!$E$6, IF(N224=5, '6. PEDIGREE MATRIX'!$F$6)))))</f>
        <v>1.0457364348384068</v>
      </c>
      <c r="T224" s="522">
        <f>IF(O224=1, '6. PEDIGREE MATRIX'!$B$8, IF(O224=2, '6. PEDIGREE MATRIX'!$C$8, IF(O224=3, '6. PEDIGREE MATRIX'!$D$8, IF(O224=4, '6. PEDIGREE MATRIX'!$E$8, IF(O224=5, '6. PEDIGREE MATRIX'!$F$8)))))</f>
        <v>1</v>
      </c>
      <c r="U224" s="522">
        <f>IF(P224=1, '6. PEDIGREE MATRIX'!$B$10, IF(P224=2, '6. PEDIGREE MATRIX'!$C$10, IF(P224=3, '6. PEDIGREE MATRIX'!$D$10, IF(P224=4, '6. PEDIGREE MATRIX'!$E$10, IF(P224=5, '6. PEDIGREE MATRIX'!$F$10)))))</f>
        <v>1.0100501670841679</v>
      </c>
      <c r="V224" s="522">
        <f>IF(Q224=1, '6. PEDIGREE MATRIX'!$B$12, IF(Q224=2, '6. PEDIGREE MATRIX'!$C$12, IF(Q224=3, '6. PEDIGREE MATRIX'!$D$12, IF(Q224=4, '6. PEDIGREE MATRIX'!$E$12, IF(Q224=5, '6. PEDIGREE MATRIX'!$F$12)))))</f>
        <v>1.0247973619913604</v>
      </c>
      <c r="W224" s="522">
        <v>5.9999999999999995E-4</v>
      </c>
      <c r="X224" s="524">
        <f t="shared" ref="X224:X227" si="77">EXP(SQRT(W224))</f>
        <v>1.0247973619913604</v>
      </c>
    </row>
    <row r="225" spans="1:24" x14ac:dyDescent="0.3">
      <c r="A225" s="112" t="s">
        <v>1956</v>
      </c>
      <c r="B225" s="297">
        <f>'24. WAFER FAB'!$D$93</f>
        <v>-1.0533372880041895E-7</v>
      </c>
      <c r="C225" s="113" t="s">
        <v>521</v>
      </c>
      <c r="D225" s="244" t="s">
        <v>385</v>
      </c>
      <c r="E225" s="522" t="s">
        <v>1957</v>
      </c>
      <c r="F225" s="244" t="s">
        <v>371</v>
      </c>
      <c r="G225" s="244" t="s">
        <v>429</v>
      </c>
      <c r="H225" s="244" t="s">
        <v>154</v>
      </c>
      <c r="I225" s="522">
        <v>2</v>
      </c>
      <c r="J225" s="522">
        <f t="shared" ref="J225:J226" si="78">IF(B225=0,"(Unknown)",LN((ABS(B225))))</f>
        <v>-16.0661321576003</v>
      </c>
      <c r="K225" s="522" t="str">
        <f t="shared" ref="K225:K226" si="79">IF(B225&gt;0,SQRT(LN(L225)),"(Unknown)")</f>
        <v>(Unknown)</v>
      </c>
      <c r="L225" s="523" t="str">
        <f t="shared" ref="L225:L226" si="80">IF(B225&gt;0,(EXP(SQRT((LN(X225))^2+(LN(R225))^2+(LN(S225))^2+(LN(T225))^2+(LN(U225))^2+(LN(V225))^2))),"(Unknown)")</f>
        <v>(Unknown)</v>
      </c>
      <c r="M225" s="522">
        <v>4</v>
      </c>
      <c r="N225" s="522">
        <v>4</v>
      </c>
      <c r="O225" s="522">
        <v>1</v>
      </c>
      <c r="P225" s="522">
        <v>3</v>
      </c>
      <c r="Q225" s="522">
        <v>2</v>
      </c>
      <c r="R225" s="522">
        <f>IF(M225=1, '6. PEDIGREE MATRIX'!$B$4, IF(M225=2, '6. PEDIGREE MATRIX'!$C$4, IF(M225=3, '6. PEDIGREE MATRIX'!$D$4, IF(M225=4, '6. PEDIGREE MATRIX'!$E$4, IF(M225=5, '6. PEDIGREE MATRIX'!$F$4)))))</f>
        <v>1.0935646911485417</v>
      </c>
      <c r="S225" s="522">
        <f>IF(N225=1, '6. PEDIGREE MATRIX'!$B$6, IF(N225=2, '6. PEDIGREE MATRIX'!$C$6, IF(N225=3, '6. PEDIGREE MATRIX'!$D$6, IF(N225=4, '6. PEDIGREE MATRIX'!$E$6, IF(N225=5, '6. PEDIGREE MATRIX'!$F$6)))))</f>
        <v>1.0457364348384068</v>
      </c>
      <c r="T225" s="522">
        <f>IF(O225=1, '6. PEDIGREE MATRIX'!$B$8, IF(O225=2, '6. PEDIGREE MATRIX'!$C$8, IF(O225=3, '6. PEDIGREE MATRIX'!$D$8, IF(O225=4, '6. PEDIGREE MATRIX'!$E$8, IF(O225=5, '6. PEDIGREE MATRIX'!$F$8)))))</f>
        <v>1</v>
      </c>
      <c r="U225" s="522">
        <f>IF(P225=1, '6. PEDIGREE MATRIX'!$B$10, IF(P225=2, '6. PEDIGREE MATRIX'!$C$10, IF(P225=3, '6. PEDIGREE MATRIX'!$D$10, IF(P225=4, '6. PEDIGREE MATRIX'!$E$10, IF(P225=5, '6. PEDIGREE MATRIX'!$F$10)))))</f>
        <v>1.0100501670841679</v>
      </c>
      <c r="V225" s="522">
        <f>IF(Q225=1, '6. PEDIGREE MATRIX'!$B$12, IF(Q225=2, '6. PEDIGREE MATRIX'!$C$12, IF(Q225=3, '6. PEDIGREE MATRIX'!$D$12, IF(Q225=4, '6. PEDIGREE MATRIX'!$E$12, IF(Q225=5, '6. PEDIGREE MATRIX'!$F$12)))))</f>
        <v>1.0247973619913604</v>
      </c>
      <c r="W225" s="522">
        <v>5.9999999999999995E-4</v>
      </c>
      <c r="X225" s="524">
        <f t="shared" ref="X225:X226" si="81">EXP(SQRT(W225))</f>
        <v>1.0247973619913604</v>
      </c>
    </row>
    <row r="226" spans="1:24" x14ac:dyDescent="0.3">
      <c r="A226" s="116" t="s">
        <v>1968</v>
      </c>
      <c r="B226" s="297">
        <f>'24. WAFER FAB'!$D$94</f>
        <v>-5.2666864400209476E-8</v>
      </c>
      <c r="C226" s="113" t="s">
        <v>521</v>
      </c>
      <c r="D226" s="244" t="s">
        <v>385</v>
      </c>
      <c r="E226" s="522" t="s">
        <v>1969</v>
      </c>
      <c r="F226" s="244" t="s">
        <v>371</v>
      </c>
      <c r="G226" s="244" t="s">
        <v>429</v>
      </c>
      <c r="H226" s="244" t="s">
        <v>154</v>
      </c>
      <c r="I226" s="522">
        <v>2</v>
      </c>
      <c r="J226" s="522">
        <f t="shared" si="78"/>
        <v>-16.759279338160244</v>
      </c>
      <c r="K226" s="522" t="str">
        <f t="shared" si="79"/>
        <v>(Unknown)</v>
      </c>
      <c r="L226" s="523" t="str">
        <f t="shared" si="80"/>
        <v>(Unknown)</v>
      </c>
      <c r="M226" s="522">
        <v>4</v>
      </c>
      <c r="N226" s="522">
        <v>4</v>
      </c>
      <c r="O226" s="522">
        <v>1</v>
      </c>
      <c r="P226" s="522">
        <v>3</v>
      </c>
      <c r="Q226" s="522">
        <v>2</v>
      </c>
      <c r="R226" s="522">
        <f>IF(M226=1, '6. PEDIGREE MATRIX'!$B$4, IF(M226=2, '6. PEDIGREE MATRIX'!$C$4, IF(M226=3, '6. PEDIGREE MATRIX'!$D$4, IF(M226=4, '6. PEDIGREE MATRIX'!$E$4, IF(M226=5, '6. PEDIGREE MATRIX'!$F$4)))))</f>
        <v>1.0935646911485417</v>
      </c>
      <c r="S226" s="522">
        <f>IF(N226=1, '6. PEDIGREE MATRIX'!$B$6, IF(N226=2, '6. PEDIGREE MATRIX'!$C$6, IF(N226=3, '6. PEDIGREE MATRIX'!$D$6, IF(N226=4, '6. PEDIGREE MATRIX'!$E$6, IF(N226=5, '6. PEDIGREE MATRIX'!$F$6)))))</f>
        <v>1.0457364348384068</v>
      </c>
      <c r="T226" s="522">
        <f>IF(O226=1, '6. PEDIGREE MATRIX'!$B$8, IF(O226=2, '6. PEDIGREE MATRIX'!$C$8, IF(O226=3, '6. PEDIGREE MATRIX'!$D$8, IF(O226=4, '6. PEDIGREE MATRIX'!$E$8, IF(O226=5, '6. PEDIGREE MATRIX'!$F$8)))))</f>
        <v>1</v>
      </c>
      <c r="U226" s="522">
        <f>IF(P226=1, '6. PEDIGREE MATRIX'!$B$10, IF(P226=2, '6. PEDIGREE MATRIX'!$C$10, IF(P226=3, '6. PEDIGREE MATRIX'!$D$10, IF(P226=4, '6. PEDIGREE MATRIX'!$E$10, IF(P226=5, '6. PEDIGREE MATRIX'!$F$10)))))</f>
        <v>1.0100501670841679</v>
      </c>
      <c r="V226" s="522">
        <f>IF(Q226=1, '6. PEDIGREE MATRIX'!$B$12, IF(Q226=2, '6. PEDIGREE MATRIX'!$C$12, IF(Q226=3, '6. PEDIGREE MATRIX'!$D$12, IF(Q226=4, '6. PEDIGREE MATRIX'!$E$12, IF(Q226=5, '6. PEDIGREE MATRIX'!$F$12)))))</f>
        <v>1.0247973619913604</v>
      </c>
      <c r="W226" s="522">
        <v>5.9999999999999995E-4</v>
      </c>
      <c r="X226" s="524">
        <f t="shared" si="81"/>
        <v>1.0247973619913604</v>
      </c>
    </row>
    <row r="227" spans="1:24" x14ac:dyDescent="0.3">
      <c r="A227" s="782" t="s">
        <v>2266</v>
      </c>
      <c r="B227" s="297">
        <f>'24. WAFER FAB'!$D$95</f>
        <v>3.1319228696657936E-6</v>
      </c>
      <c r="C227" s="516" t="s">
        <v>153</v>
      </c>
      <c r="D227" s="516" t="s">
        <v>515</v>
      </c>
      <c r="E227" s="517" t="s">
        <v>371</v>
      </c>
      <c r="F227" s="518" t="s">
        <v>516</v>
      </c>
      <c r="G227" s="516" t="s">
        <v>371</v>
      </c>
      <c r="H227" s="516" t="s">
        <v>514</v>
      </c>
      <c r="I227" s="517">
        <v>2</v>
      </c>
      <c r="J227" s="517">
        <f t="shared" si="74"/>
        <v>-12.673863406682445</v>
      </c>
      <c r="K227" s="517">
        <f t="shared" si="75"/>
        <v>0.32603904386951327</v>
      </c>
      <c r="L227" s="519">
        <f t="shared" si="76"/>
        <v>1.1121570947719619</v>
      </c>
      <c r="M227" s="517">
        <v>4</v>
      </c>
      <c r="N227" s="517">
        <v>4</v>
      </c>
      <c r="O227" s="517">
        <v>1</v>
      </c>
      <c r="P227" s="517">
        <v>3</v>
      </c>
      <c r="Q227" s="517">
        <v>2</v>
      </c>
      <c r="R227" s="517">
        <f>IF(M227=1, '6. PEDIGREE MATRIX'!$B$4, IF(M227=2, '6. PEDIGREE MATRIX'!$C$4, IF(M227=3, '6. PEDIGREE MATRIX'!$D$4, IF(M227=4, '6. PEDIGREE MATRIX'!$E$4, IF(M227=5, '6. PEDIGREE MATRIX'!$F$4)))))</f>
        <v>1.0935646911485417</v>
      </c>
      <c r="S227" s="517">
        <f>IF(N227=1, '6. PEDIGREE MATRIX'!$B$6, IF(N227=2, '6. PEDIGREE MATRIX'!$C$6, IF(N227=3, '6. PEDIGREE MATRIX'!$D$6, IF(N227=4, '6. PEDIGREE MATRIX'!$E$6, IF(N227=5, '6. PEDIGREE MATRIX'!$F$6)))))</f>
        <v>1.0457364348384068</v>
      </c>
      <c r="T227" s="517">
        <f>IF(O227=1, '6. PEDIGREE MATRIX'!$B$8, IF(O227=2, '6. PEDIGREE MATRIX'!$C$8, IF(O227=3, '6. PEDIGREE MATRIX'!$D$8, IF(O227=4, '6. PEDIGREE MATRIX'!$E$8, IF(O227=5, '6. PEDIGREE MATRIX'!$F$8)))))</f>
        <v>1</v>
      </c>
      <c r="U227" s="517">
        <f>IF(P227=1, '6. PEDIGREE MATRIX'!$B$10, IF(P227=2, '6. PEDIGREE MATRIX'!$C$10, IF(P227=3, '6. PEDIGREE MATRIX'!$D$10, IF(P227=4, '6. PEDIGREE MATRIX'!$E$10, IF(P227=5, '6. PEDIGREE MATRIX'!$F$10)))))</f>
        <v>1.0100501670841679</v>
      </c>
      <c r="V227" s="517">
        <f>IF(Q227=1, '6. PEDIGREE MATRIX'!$B$12, IF(Q227=2, '6. PEDIGREE MATRIX'!$C$12, IF(Q227=3, '6. PEDIGREE MATRIX'!$D$12, IF(Q227=4, '6. PEDIGREE MATRIX'!$E$12, IF(Q227=5, '6. PEDIGREE MATRIX'!$F$12)))))</f>
        <v>1.0247973619913604</v>
      </c>
      <c r="W227" s="517">
        <v>5.9999999999999995E-4</v>
      </c>
      <c r="X227" s="520">
        <f t="shared" si="77"/>
        <v>1.0247973619913604</v>
      </c>
    </row>
    <row r="228" spans="1:24" ht="15" thickBot="1" x14ac:dyDescent="0.35">
      <c r="A228" s="70" t="str">
        <f>B209</f>
        <v>PVD</v>
      </c>
      <c r="B228" s="71">
        <v>1</v>
      </c>
      <c r="C228" s="72" t="s">
        <v>224</v>
      </c>
      <c r="D228" s="72" t="str">
        <f>$B$1</f>
        <v>IGBT LCI dtb</v>
      </c>
      <c r="E228" s="71" t="str">
        <f>B213</f>
        <v>Processed cm² of Si IGBT good die</v>
      </c>
      <c r="F228" s="72" t="s">
        <v>371</v>
      </c>
      <c r="G228" s="72" t="s">
        <v>156</v>
      </c>
      <c r="H228" s="72" t="s">
        <v>383</v>
      </c>
      <c r="I228" s="71">
        <v>0</v>
      </c>
      <c r="J228" s="71" t="s">
        <v>371</v>
      </c>
      <c r="K228" s="71" t="s">
        <v>371</v>
      </c>
      <c r="L228" s="91" t="s">
        <v>371</v>
      </c>
      <c r="M228" s="71">
        <v>0</v>
      </c>
      <c r="N228" s="71">
        <v>0</v>
      </c>
      <c r="O228" s="71">
        <v>0</v>
      </c>
      <c r="P228" s="71">
        <v>0</v>
      </c>
      <c r="Q228" s="71">
        <v>0</v>
      </c>
      <c r="R228" s="71">
        <v>0</v>
      </c>
      <c r="S228" s="71">
        <v>0</v>
      </c>
      <c r="T228" s="71">
        <v>0</v>
      </c>
      <c r="U228" s="71">
        <v>0</v>
      </c>
      <c r="V228" s="71">
        <v>0</v>
      </c>
      <c r="W228" s="71">
        <v>0</v>
      </c>
      <c r="X228" s="73">
        <v>0</v>
      </c>
    </row>
    <row r="230" spans="1:24" ht="15" thickBot="1" x14ac:dyDescent="0.35"/>
    <row r="231" spans="1:24" s="14" customFormat="1" ht="30" customHeight="1" thickBot="1" x14ac:dyDescent="0.35">
      <c r="A231" s="178" t="s">
        <v>326</v>
      </c>
      <c r="B231" s="179" t="s">
        <v>177</v>
      </c>
      <c r="C231" s="180"/>
      <c r="D231" s="180"/>
      <c r="E231" s="181"/>
      <c r="F231" s="180"/>
      <c r="G231" s="180"/>
      <c r="H231" s="180"/>
      <c r="I231" s="181"/>
      <c r="J231" s="181"/>
      <c r="K231" s="181"/>
      <c r="L231" s="181"/>
      <c r="M231" s="181"/>
      <c r="N231" s="181"/>
      <c r="O231" s="181"/>
      <c r="P231" s="181"/>
      <c r="Q231" s="181"/>
      <c r="R231" s="181"/>
      <c r="S231" s="181"/>
      <c r="T231" s="181"/>
      <c r="U231" s="181"/>
      <c r="V231" s="181"/>
      <c r="W231" s="181"/>
      <c r="X231" s="182"/>
    </row>
    <row r="232" spans="1:24" x14ac:dyDescent="0.3">
      <c r="A232" s="54" t="s">
        <v>163</v>
      </c>
      <c r="B232" s="56" t="s">
        <v>371</v>
      </c>
      <c r="C232" s="56"/>
      <c r="D232" s="56"/>
      <c r="E232" s="61"/>
      <c r="F232" s="56"/>
      <c r="G232" s="56"/>
      <c r="H232" s="56"/>
      <c r="I232" s="61"/>
      <c r="J232" s="61"/>
      <c r="K232" s="61"/>
      <c r="L232" s="61"/>
      <c r="M232" s="61"/>
      <c r="N232" s="61"/>
      <c r="O232" s="61"/>
      <c r="P232" s="61"/>
      <c r="Q232" s="61"/>
      <c r="R232" s="61"/>
      <c r="S232" s="61"/>
      <c r="T232" s="61"/>
      <c r="U232" s="61"/>
      <c r="V232" s="61"/>
      <c r="W232" s="61"/>
      <c r="X232" s="62"/>
    </row>
    <row r="233" spans="1:24" x14ac:dyDescent="0.3">
      <c r="A233" s="54" t="s">
        <v>227</v>
      </c>
      <c r="B233" s="56" t="s">
        <v>156</v>
      </c>
      <c r="C233" s="56"/>
      <c r="D233" s="56"/>
      <c r="E233" s="61"/>
      <c r="F233" s="56"/>
      <c r="G233" s="56"/>
      <c r="H233" s="56"/>
      <c r="I233" s="61"/>
      <c r="J233" s="61"/>
      <c r="K233" s="61"/>
      <c r="L233" s="61"/>
      <c r="M233" s="61"/>
      <c r="N233" s="61"/>
      <c r="O233" s="61"/>
      <c r="P233" s="61"/>
      <c r="Q233" s="61"/>
      <c r="R233" s="61"/>
      <c r="S233" s="61"/>
      <c r="T233" s="61"/>
      <c r="U233" s="61"/>
      <c r="V233" s="61"/>
      <c r="W233" s="61"/>
      <c r="X233" s="62"/>
    </row>
    <row r="234" spans="1:24" x14ac:dyDescent="0.3">
      <c r="A234" s="54" t="s">
        <v>428</v>
      </c>
      <c r="B234" s="61">
        <v>1</v>
      </c>
      <c r="C234" s="56"/>
      <c r="D234" s="56"/>
      <c r="E234" s="61"/>
      <c r="F234" s="56"/>
      <c r="G234" s="56"/>
      <c r="H234" s="56"/>
      <c r="I234" s="61"/>
      <c r="J234" s="61"/>
      <c r="K234" s="61"/>
      <c r="L234" s="61"/>
      <c r="M234" s="61"/>
      <c r="N234" s="61"/>
      <c r="O234" s="61"/>
      <c r="P234" s="61"/>
      <c r="Q234" s="61"/>
      <c r="R234" s="61"/>
      <c r="S234" s="61"/>
      <c r="T234" s="61"/>
      <c r="U234" s="61"/>
      <c r="V234" s="61"/>
      <c r="W234" s="61"/>
      <c r="X234" s="62"/>
    </row>
    <row r="235" spans="1:24" x14ac:dyDescent="0.3">
      <c r="A235" s="54" t="s">
        <v>147</v>
      </c>
      <c r="B235" s="56" t="s">
        <v>717</v>
      </c>
      <c r="C235" s="56"/>
      <c r="D235" s="56"/>
      <c r="E235" s="61"/>
      <c r="F235" s="56"/>
      <c r="G235" s="56"/>
      <c r="H235" s="56"/>
      <c r="I235" s="61"/>
      <c r="J235" s="61"/>
      <c r="K235" s="61"/>
      <c r="L235" s="61"/>
      <c r="M235" s="61"/>
      <c r="N235" s="61"/>
      <c r="O235" s="61"/>
      <c r="P235" s="61"/>
      <c r="Q235" s="61"/>
      <c r="R235" s="61"/>
      <c r="S235" s="61"/>
      <c r="T235" s="61"/>
      <c r="U235" s="61"/>
      <c r="V235" s="61"/>
      <c r="W235" s="61"/>
      <c r="X235" s="62"/>
    </row>
    <row r="236" spans="1:24" x14ac:dyDescent="0.3">
      <c r="A236" s="54" t="s">
        <v>327</v>
      </c>
      <c r="B236" s="61" t="s">
        <v>134</v>
      </c>
      <c r="C236" s="56"/>
      <c r="D236" s="56"/>
      <c r="E236" s="61"/>
      <c r="F236" s="56"/>
      <c r="G236" s="56"/>
      <c r="H236" s="56"/>
      <c r="I236" s="61"/>
      <c r="J236" s="61"/>
      <c r="K236" s="61"/>
      <c r="L236" s="61"/>
      <c r="M236" s="61"/>
      <c r="N236" s="61"/>
      <c r="O236" s="61"/>
      <c r="P236" s="61"/>
      <c r="Q236" s="61"/>
      <c r="R236" s="61"/>
      <c r="S236" s="61"/>
      <c r="T236" s="61"/>
      <c r="U236" s="61"/>
      <c r="V236" s="61"/>
      <c r="W236" s="61"/>
      <c r="X236" s="62"/>
    </row>
    <row r="237" spans="1:24" x14ac:dyDescent="0.3">
      <c r="A237" s="54" t="s">
        <v>224</v>
      </c>
      <c r="B237" s="56" t="s">
        <v>224</v>
      </c>
      <c r="C237" s="56"/>
      <c r="D237" s="56"/>
      <c r="E237" s="61"/>
      <c r="F237" s="56"/>
      <c r="G237" s="56"/>
      <c r="H237" s="56"/>
      <c r="I237" s="61"/>
      <c r="J237" s="61"/>
      <c r="K237" s="61"/>
      <c r="L237" s="61"/>
      <c r="M237" s="61"/>
      <c r="N237" s="61"/>
      <c r="O237" s="61"/>
      <c r="P237" s="61"/>
      <c r="Q237" s="61"/>
      <c r="R237" s="61"/>
      <c r="S237" s="61"/>
      <c r="T237" s="61"/>
      <c r="U237" s="61"/>
      <c r="V237" s="61"/>
      <c r="W237" s="61"/>
      <c r="X237" s="62"/>
    </row>
    <row r="238" spans="1:24" ht="15.6" x14ac:dyDescent="0.3">
      <c r="A238" s="55" t="s">
        <v>328</v>
      </c>
      <c r="B238" s="61"/>
      <c r="C238" s="56"/>
      <c r="D238" s="56"/>
      <c r="E238" s="61"/>
      <c r="F238" s="56"/>
      <c r="G238" s="56"/>
      <c r="H238" s="56"/>
      <c r="I238" s="61"/>
      <c r="J238" s="61"/>
      <c r="K238" s="61"/>
      <c r="L238" s="61"/>
      <c r="M238" s="61"/>
      <c r="N238" s="61"/>
      <c r="O238" s="61"/>
      <c r="P238" s="61"/>
      <c r="Q238" s="61"/>
      <c r="R238" s="61"/>
      <c r="S238" s="61"/>
      <c r="T238" s="61"/>
      <c r="U238" s="61"/>
      <c r="V238" s="61"/>
      <c r="W238" s="61"/>
      <c r="X238" s="62"/>
    </row>
    <row r="239" spans="1:24" x14ac:dyDescent="0.3">
      <c r="A239" s="54" t="s">
        <v>329</v>
      </c>
      <c r="B239" s="61" t="s">
        <v>330</v>
      </c>
      <c r="C239" s="56" t="s">
        <v>224</v>
      </c>
      <c r="D239" s="56" t="s">
        <v>331</v>
      </c>
      <c r="E239" s="61" t="s">
        <v>147</v>
      </c>
      <c r="F239" s="56" t="s">
        <v>332</v>
      </c>
      <c r="G239" s="56" t="s">
        <v>227</v>
      </c>
      <c r="H239" s="56" t="s">
        <v>327</v>
      </c>
      <c r="I239" s="61" t="s">
        <v>372</v>
      </c>
      <c r="J239" s="61" t="s">
        <v>373</v>
      </c>
      <c r="K239" s="61" t="s">
        <v>374</v>
      </c>
      <c r="L239" s="61" t="s">
        <v>148</v>
      </c>
      <c r="M239" s="61" t="s">
        <v>585</v>
      </c>
      <c r="N239" s="61" t="s">
        <v>586</v>
      </c>
      <c r="O239" s="61" t="s">
        <v>587</v>
      </c>
      <c r="P239" s="61" t="s">
        <v>220</v>
      </c>
      <c r="Q239" s="61" t="s">
        <v>588</v>
      </c>
      <c r="R239" s="61" t="s">
        <v>590</v>
      </c>
      <c r="S239" s="61" t="s">
        <v>591</v>
      </c>
      <c r="T239" s="61" t="s">
        <v>592</v>
      </c>
      <c r="U239" s="61" t="s">
        <v>593</v>
      </c>
      <c r="V239" s="61" t="s">
        <v>594</v>
      </c>
      <c r="W239" s="61" t="s">
        <v>595</v>
      </c>
      <c r="X239" s="62" t="s">
        <v>589</v>
      </c>
    </row>
    <row r="240" spans="1:24" x14ac:dyDescent="0.3">
      <c r="A240" s="285" t="str">
        <f>IF($G$240='4. INPUTS LIST'!$B$3,'4. INPUTS LIST'!$C$3, IF($G$240='4. INPUTS LIST'!$B$4,'4. INPUTS LIST'!$C$4, IF($G$240='4. INPUTS LIST'!$B$5,'4. INPUTS LIST'!$C$5, IF($G$240='4. INPUTS LIST'!$B$6,'4. INPUTS LIST'!$C$6, IF($G$240='4. INPUTS LIST'!$B$7,'4. INPUTS LIST'!$C$7, IF($G$240='4. INPUTS LIST'!$B$8,'4. INPUTS LIST'!$C$8, IF($G$240='4. INPUTS LIST'!$B$9,'4. INPUTS LIST'!$C$9, IF($G$240='4. INPUTS LIST'!$B$10,'4. INPUTS LIST'!$C$10, IF($G$240='4. INPUTS LIST'!$B$11,'4. INPUTS LIST'!$C$11, IF($G$240='4. INPUTS LIST'!$B$12,'4. INPUTS LIST'!$C$12))))))))))</f>
        <v>market for electricity, medium voltage</v>
      </c>
      <c r="B240" s="297">
        <f>'20. CMP'!$D$6</f>
        <v>1.0941327208897338E-2</v>
      </c>
      <c r="C240" s="3" t="s">
        <v>342</v>
      </c>
      <c r="D240" s="3" t="s">
        <v>385</v>
      </c>
      <c r="E240" s="58" t="str">
        <f>IF($A$240='4. INPUTS LIST'!$C$3,'4. INPUTS LIST'!$D$3, IF($A$240='4. INPUTS LIST'!$C$7, '4. INPUTS LIST'!$D$7, IF($A$240='4. INPUTS LIST'!$C$12,'4. INPUTS LIST'!$D$12)))</f>
        <v>electricity, medium voltage</v>
      </c>
      <c r="F240" s="3" t="s">
        <v>371</v>
      </c>
      <c r="G240" s="3" t="str">
        <f>'1. USER INPUTS'!$E$24</f>
        <v>JP</v>
      </c>
      <c r="H240" s="3" t="s">
        <v>154</v>
      </c>
      <c r="I240" s="58">
        <v>2</v>
      </c>
      <c r="J240" s="58">
        <f>IF(B240=0,"(Unknown)",LN((ABS(B240))))</f>
        <v>-4.5152081722627724</v>
      </c>
      <c r="K240" s="58">
        <f>IF(B240&gt;0,SQRT(LN(L240)),"(Unknown)")</f>
        <v>0.32603904386951327</v>
      </c>
      <c r="L240" s="90">
        <f>IF(B240&gt;0,(EXP(SQRT((LN(X240))^2+(LN(R240))^2+(LN(S240))^2+(LN(T240))^2+(LN(U240))^2+(LN(V240))^2))),"(Unknown)")</f>
        <v>1.1121570947719619</v>
      </c>
      <c r="M240" s="58">
        <v>4</v>
      </c>
      <c r="N240" s="58">
        <v>4</v>
      </c>
      <c r="O240" s="58">
        <v>1</v>
      </c>
      <c r="P240" s="58">
        <v>3</v>
      </c>
      <c r="Q240" s="58">
        <v>2</v>
      </c>
      <c r="R240" s="58">
        <f>IF(M240=1, '6. PEDIGREE MATRIX'!$B$4, IF(M240=2, '6. PEDIGREE MATRIX'!$C$4, IF(M240=3, '6. PEDIGREE MATRIX'!$D$4, IF(M240=4, '6. PEDIGREE MATRIX'!$E$4, IF(M240=5, '6. PEDIGREE MATRIX'!$F$4)))))</f>
        <v>1.0935646911485417</v>
      </c>
      <c r="S240" s="58">
        <f>IF(N240=1, '6. PEDIGREE MATRIX'!$B$6, IF(N240=2, '6. PEDIGREE MATRIX'!$C$6, IF(N240=3, '6. PEDIGREE MATRIX'!$D$6, IF(N240=4, '6. PEDIGREE MATRIX'!$E$6, IF(N240=5, '6. PEDIGREE MATRIX'!$F$6)))))</f>
        <v>1.0457364348384068</v>
      </c>
      <c r="T240" s="58">
        <f>IF(O240=1, '6. PEDIGREE MATRIX'!$B$8, IF(O240=2, '6. PEDIGREE MATRIX'!$C$8, IF(O240=3, '6. PEDIGREE MATRIX'!$D$8, IF(O240=4, '6. PEDIGREE MATRIX'!$E$8, IF(O240=5, '6. PEDIGREE MATRIX'!$F$8)))))</f>
        <v>1</v>
      </c>
      <c r="U240" s="58">
        <f>IF(P240=1, '6. PEDIGREE MATRIX'!$B$10, IF(P240=2, '6. PEDIGREE MATRIX'!$C$10, IF(P240=3, '6. PEDIGREE MATRIX'!$D$10, IF(P240=4, '6. PEDIGREE MATRIX'!$E$10, IF(P240=5, '6. PEDIGREE MATRIX'!$F$10)))))</f>
        <v>1.0100501670841679</v>
      </c>
      <c r="V240" s="58">
        <f>IF(Q240=1, '6. PEDIGREE MATRIX'!$B$12, IF(Q240=2, '6. PEDIGREE MATRIX'!$C$12, IF(Q240=3, '6. PEDIGREE MATRIX'!$D$12, IF(Q240=4, '6. PEDIGREE MATRIX'!$E$12, IF(Q240=5, '6. PEDIGREE MATRIX'!$F$12)))))</f>
        <v>1.0247973619913604</v>
      </c>
      <c r="W240" s="58">
        <v>5.9999999999999995E-4</v>
      </c>
      <c r="X240" s="63">
        <f>EXP(SQRT(W240))</f>
        <v>1.0247973619913604</v>
      </c>
    </row>
    <row r="241" spans="1:24" x14ac:dyDescent="0.3">
      <c r="A241" s="293" t="s">
        <v>704</v>
      </c>
      <c r="B241" s="297">
        <f>'20. CMP'!$D$7</f>
        <v>4.3129165177710797E-4</v>
      </c>
      <c r="C241" s="3" t="s">
        <v>153</v>
      </c>
      <c r="D241" s="3" t="s">
        <v>385</v>
      </c>
      <c r="E241" s="58" t="s">
        <v>720</v>
      </c>
      <c r="F241" s="3" t="s">
        <v>371</v>
      </c>
      <c r="G241" s="3" t="s">
        <v>346</v>
      </c>
      <c r="H241" s="3" t="s">
        <v>154</v>
      </c>
      <c r="I241" s="58">
        <v>2</v>
      </c>
      <c r="J241" s="58">
        <f t="shared" ref="J241:J245" si="82">IF(B241=0,"(Unknown)",LN((ABS(B241))))</f>
        <v>-7.7487260104516471</v>
      </c>
      <c r="K241" s="58">
        <f t="shared" ref="K241:K245" si="83">IF(B241&gt;0,SQRT(LN(L241)),"(Unknown)")</f>
        <v>0.32603904386951327</v>
      </c>
      <c r="L241" s="90">
        <f t="shared" ref="L241:L245" si="84">IF(B241&gt;0,(EXP(SQRT((LN(X241))^2+(LN(R241))^2+(LN(S241))^2+(LN(T241))^2+(LN(U241))^2+(LN(V241))^2))),"(Unknown)")</f>
        <v>1.1121570947719619</v>
      </c>
      <c r="M241" s="58">
        <v>4</v>
      </c>
      <c r="N241" s="58">
        <v>4</v>
      </c>
      <c r="O241" s="58">
        <v>1</v>
      </c>
      <c r="P241" s="58">
        <v>3</v>
      </c>
      <c r="Q241" s="58">
        <v>2</v>
      </c>
      <c r="R241" s="58">
        <f>IF(M241=1, '6. PEDIGREE MATRIX'!$B$4, IF(M241=2, '6. PEDIGREE MATRIX'!$C$4, IF(M241=3, '6. PEDIGREE MATRIX'!$D$4, IF(M241=4, '6. PEDIGREE MATRIX'!$E$4, IF(M241=5, '6. PEDIGREE MATRIX'!$F$4)))))</f>
        <v>1.0935646911485417</v>
      </c>
      <c r="S241" s="58">
        <f>IF(N241=1, '6. PEDIGREE MATRIX'!$B$6, IF(N241=2, '6. PEDIGREE MATRIX'!$C$6, IF(N241=3, '6. PEDIGREE MATRIX'!$D$6, IF(N241=4, '6. PEDIGREE MATRIX'!$E$6, IF(N241=5, '6. PEDIGREE MATRIX'!$F$6)))))</f>
        <v>1.0457364348384068</v>
      </c>
      <c r="T241" s="58">
        <f>IF(O241=1, '6. PEDIGREE MATRIX'!$B$8, IF(O241=2, '6. PEDIGREE MATRIX'!$C$8, IF(O241=3, '6. PEDIGREE MATRIX'!$D$8, IF(O241=4, '6. PEDIGREE MATRIX'!$E$8, IF(O241=5, '6. PEDIGREE MATRIX'!$F$8)))))</f>
        <v>1</v>
      </c>
      <c r="U241" s="58">
        <f>IF(P241=1, '6. PEDIGREE MATRIX'!$B$10, IF(P241=2, '6. PEDIGREE MATRIX'!$C$10, IF(P241=3, '6. PEDIGREE MATRIX'!$D$10, IF(P241=4, '6. PEDIGREE MATRIX'!$E$10, IF(P241=5, '6. PEDIGREE MATRIX'!$F$10)))))</f>
        <v>1.0100501670841679</v>
      </c>
      <c r="V241" s="58">
        <f>IF(Q241=1, '6. PEDIGREE MATRIX'!$B$12, IF(Q241=2, '6. PEDIGREE MATRIX'!$C$12, IF(Q241=3, '6. PEDIGREE MATRIX'!$D$12, IF(Q241=4, '6. PEDIGREE MATRIX'!$E$12, IF(Q241=5, '6. PEDIGREE MATRIX'!$F$12)))))</f>
        <v>1.0247973619913604</v>
      </c>
      <c r="W241" s="58">
        <v>5.9999999999999995E-4</v>
      </c>
      <c r="X241" s="63">
        <f>EXP(SQRT(W241))</f>
        <v>1.0247973619913604</v>
      </c>
    </row>
    <row r="242" spans="1:24" x14ac:dyDescent="0.3">
      <c r="A242" s="293" t="s">
        <v>430</v>
      </c>
      <c r="B242" s="297">
        <f>'20. CMP'!$D$8</f>
        <v>5.3214105327306646E-3</v>
      </c>
      <c r="C242" s="3" t="s">
        <v>153</v>
      </c>
      <c r="D242" s="3" t="s">
        <v>385</v>
      </c>
      <c r="E242" s="58" t="s">
        <v>161</v>
      </c>
      <c r="F242" s="3" t="s">
        <v>371</v>
      </c>
      <c r="G242" s="3" t="s">
        <v>429</v>
      </c>
      <c r="H242" s="3" t="s">
        <v>154</v>
      </c>
      <c r="I242" s="58">
        <v>2</v>
      </c>
      <c r="J242" s="58">
        <f t="shared" si="82"/>
        <v>-5.2360168730400529</v>
      </c>
      <c r="K242" s="58">
        <f t="shared" si="83"/>
        <v>0.32603904386951327</v>
      </c>
      <c r="L242" s="90">
        <f t="shared" si="84"/>
        <v>1.1121570947719619</v>
      </c>
      <c r="M242" s="58">
        <v>4</v>
      </c>
      <c r="N242" s="58">
        <v>4</v>
      </c>
      <c r="O242" s="58">
        <v>1</v>
      </c>
      <c r="P242" s="58">
        <v>3</v>
      </c>
      <c r="Q242" s="58">
        <v>2</v>
      </c>
      <c r="R242" s="58">
        <f>IF(M242=1, '6. PEDIGREE MATRIX'!$B$4, IF(M242=2, '6. PEDIGREE MATRIX'!$C$4, IF(M242=3, '6. PEDIGREE MATRIX'!$D$4, IF(M242=4, '6. PEDIGREE MATRIX'!$E$4, IF(M242=5, '6. PEDIGREE MATRIX'!$F$4)))))</f>
        <v>1.0935646911485417</v>
      </c>
      <c r="S242" s="58">
        <f>IF(N242=1, '6. PEDIGREE MATRIX'!$B$6, IF(N242=2, '6. PEDIGREE MATRIX'!$C$6, IF(N242=3, '6. PEDIGREE MATRIX'!$D$6, IF(N242=4, '6. PEDIGREE MATRIX'!$E$6, IF(N242=5, '6. PEDIGREE MATRIX'!$F$6)))))</f>
        <v>1.0457364348384068</v>
      </c>
      <c r="T242" s="58">
        <f>IF(O242=1, '6. PEDIGREE MATRIX'!$B$8, IF(O242=2, '6. PEDIGREE MATRIX'!$C$8, IF(O242=3, '6. PEDIGREE MATRIX'!$D$8, IF(O242=4, '6. PEDIGREE MATRIX'!$E$8, IF(O242=5, '6. PEDIGREE MATRIX'!$F$8)))))</f>
        <v>1</v>
      </c>
      <c r="U242" s="58">
        <f>IF(P242=1, '6. PEDIGREE MATRIX'!$B$10, IF(P242=2, '6. PEDIGREE MATRIX'!$C$10, IF(P242=3, '6. PEDIGREE MATRIX'!$D$10, IF(P242=4, '6. PEDIGREE MATRIX'!$E$10, IF(P242=5, '6. PEDIGREE MATRIX'!$F$10)))))</f>
        <v>1.0100501670841679</v>
      </c>
      <c r="V242" s="58">
        <f>IF(Q242=1, '6. PEDIGREE MATRIX'!$B$12, IF(Q242=2, '6. PEDIGREE MATRIX'!$C$12, IF(Q242=3, '6. PEDIGREE MATRIX'!$D$12, IF(Q242=4, '6. PEDIGREE MATRIX'!$E$12, IF(Q242=5, '6. PEDIGREE MATRIX'!$F$12)))))</f>
        <v>1.0247973619913604</v>
      </c>
      <c r="W242" s="58">
        <v>5.9999999999999995E-4</v>
      </c>
      <c r="X242" s="63">
        <f>EXP(SQRT(W242))</f>
        <v>1.0247973619913604</v>
      </c>
    </row>
    <row r="243" spans="1:24" x14ac:dyDescent="0.3">
      <c r="A243" s="285" t="s">
        <v>158</v>
      </c>
      <c r="B243" s="297">
        <f>'20. CMP'!$D$9</f>
        <v>1.48955795871727</v>
      </c>
      <c r="C243" s="3" t="s">
        <v>153</v>
      </c>
      <c r="D243" s="3" t="s">
        <v>385</v>
      </c>
      <c r="E243" s="58" t="s">
        <v>159</v>
      </c>
      <c r="F243" s="3" t="s">
        <v>371</v>
      </c>
      <c r="G243" s="3" t="s">
        <v>429</v>
      </c>
      <c r="H243" s="3" t="s">
        <v>154</v>
      </c>
      <c r="I243" s="58">
        <v>2</v>
      </c>
      <c r="J243" s="58">
        <f t="shared" si="82"/>
        <v>0.3984794039396915</v>
      </c>
      <c r="K243" s="58">
        <f t="shared" si="83"/>
        <v>0.32603904386951327</v>
      </c>
      <c r="L243" s="90">
        <f t="shared" si="84"/>
        <v>1.1121570947719619</v>
      </c>
      <c r="M243" s="58">
        <v>4</v>
      </c>
      <c r="N243" s="58">
        <v>4</v>
      </c>
      <c r="O243" s="58">
        <v>1</v>
      </c>
      <c r="P243" s="58">
        <v>3</v>
      </c>
      <c r="Q243" s="58">
        <v>2</v>
      </c>
      <c r="R243" s="58">
        <f>IF(M243=1, '6. PEDIGREE MATRIX'!$B$4, IF(M243=2, '6. PEDIGREE MATRIX'!$C$4, IF(M243=3, '6. PEDIGREE MATRIX'!$D$4, IF(M243=4, '6. PEDIGREE MATRIX'!$E$4, IF(M243=5, '6. PEDIGREE MATRIX'!$F$4)))))</f>
        <v>1.0935646911485417</v>
      </c>
      <c r="S243" s="58">
        <f>IF(N243=1, '6. PEDIGREE MATRIX'!$B$6, IF(N243=2, '6. PEDIGREE MATRIX'!$C$6, IF(N243=3, '6. PEDIGREE MATRIX'!$D$6, IF(N243=4, '6. PEDIGREE MATRIX'!$E$6, IF(N243=5, '6. PEDIGREE MATRIX'!$F$6)))))</f>
        <v>1.0457364348384068</v>
      </c>
      <c r="T243" s="58">
        <f>IF(O243=1, '6. PEDIGREE MATRIX'!$B$8, IF(O243=2, '6. PEDIGREE MATRIX'!$C$8, IF(O243=3, '6. PEDIGREE MATRIX'!$D$8, IF(O243=4, '6. PEDIGREE MATRIX'!$E$8, IF(O243=5, '6. PEDIGREE MATRIX'!$F$8)))))</f>
        <v>1</v>
      </c>
      <c r="U243" s="58">
        <f>IF(P243=1, '6. PEDIGREE MATRIX'!$B$10, IF(P243=2, '6. PEDIGREE MATRIX'!$C$10, IF(P243=3, '6. PEDIGREE MATRIX'!$D$10, IF(P243=4, '6. PEDIGREE MATRIX'!$E$10, IF(P243=5, '6. PEDIGREE MATRIX'!$F$10)))))</f>
        <v>1.0100501670841679</v>
      </c>
      <c r="V243" s="58">
        <f>IF(Q243=1, '6. PEDIGREE MATRIX'!$B$12, IF(Q243=2, '6. PEDIGREE MATRIX'!$C$12, IF(Q243=3, '6. PEDIGREE MATRIX'!$D$12, IF(Q243=4, '6. PEDIGREE MATRIX'!$E$12, IF(Q243=5, '6. PEDIGREE MATRIX'!$F$12)))))</f>
        <v>1.0247973619913604</v>
      </c>
      <c r="W243" s="58">
        <v>5.9999999999999995E-4</v>
      </c>
      <c r="X243" s="63">
        <f t="shared" ref="X243:X245" si="85">EXP(SQRT(W243))</f>
        <v>1.0247973619913604</v>
      </c>
    </row>
    <row r="244" spans="1:24" x14ac:dyDescent="0.3">
      <c r="A244" s="3" t="s">
        <v>380</v>
      </c>
      <c r="B244" s="302">
        <f>'20. CMP'!$D$10</f>
        <v>1.5820495710368969E-3</v>
      </c>
      <c r="C244" s="3" t="s">
        <v>153</v>
      </c>
      <c r="D244" s="3" t="s">
        <v>385</v>
      </c>
      <c r="E244" s="58" t="s">
        <v>155</v>
      </c>
      <c r="F244" s="3" t="s">
        <v>371</v>
      </c>
      <c r="G244" s="3" t="s">
        <v>429</v>
      </c>
      <c r="H244" s="3" t="s">
        <v>154</v>
      </c>
      <c r="I244" s="58">
        <v>2</v>
      </c>
      <c r="J244" s="58">
        <f t="shared" si="82"/>
        <v>-6.4490340757174121</v>
      </c>
      <c r="K244" s="58">
        <f t="shared" si="83"/>
        <v>0.32603904386951327</v>
      </c>
      <c r="L244" s="90">
        <f t="shared" si="84"/>
        <v>1.1121570947719619</v>
      </c>
      <c r="M244" s="58">
        <v>4</v>
      </c>
      <c r="N244" s="58">
        <v>4</v>
      </c>
      <c r="O244" s="58">
        <v>1</v>
      </c>
      <c r="P244" s="58">
        <v>3</v>
      </c>
      <c r="Q244" s="58">
        <v>2</v>
      </c>
      <c r="R244" s="58">
        <f>IF(M244=1, '6. PEDIGREE MATRIX'!$B$4, IF(M244=2, '6. PEDIGREE MATRIX'!$C$4, IF(M244=3, '6. PEDIGREE MATRIX'!$D$4, IF(M244=4, '6. PEDIGREE MATRIX'!$E$4, IF(M244=5, '6. PEDIGREE MATRIX'!$F$4)))))</f>
        <v>1.0935646911485417</v>
      </c>
      <c r="S244" s="58">
        <f>IF(N244=1, '6. PEDIGREE MATRIX'!$B$6, IF(N244=2, '6. PEDIGREE MATRIX'!$C$6, IF(N244=3, '6. PEDIGREE MATRIX'!$D$6, IF(N244=4, '6. PEDIGREE MATRIX'!$E$6, IF(N244=5, '6. PEDIGREE MATRIX'!$F$6)))))</f>
        <v>1.0457364348384068</v>
      </c>
      <c r="T244" s="58">
        <f>IF(O244=1, '6. PEDIGREE MATRIX'!$B$8, IF(O244=2, '6. PEDIGREE MATRIX'!$C$8, IF(O244=3, '6. PEDIGREE MATRIX'!$D$8, IF(O244=4, '6. PEDIGREE MATRIX'!$E$8, IF(O244=5, '6. PEDIGREE MATRIX'!$F$8)))))</f>
        <v>1</v>
      </c>
      <c r="U244" s="58">
        <f>IF(P244=1, '6. PEDIGREE MATRIX'!$B$10, IF(P244=2, '6. PEDIGREE MATRIX'!$C$10, IF(P244=3, '6. PEDIGREE MATRIX'!$D$10, IF(P244=4, '6. PEDIGREE MATRIX'!$E$10, IF(P244=5, '6. PEDIGREE MATRIX'!$F$10)))))</f>
        <v>1.0100501670841679</v>
      </c>
      <c r="V244" s="58">
        <f>IF(Q244=1, '6. PEDIGREE MATRIX'!$B$12, IF(Q244=2, '6. PEDIGREE MATRIX'!$C$12, IF(Q244=3, '6. PEDIGREE MATRIX'!$D$12, IF(Q244=4, '6. PEDIGREE MATRIX'!$E$12, IF(Q244=5, '6. PEDIGREE MATRIX'!$F$12)))))</f>
        <v>1.0247973619913604</v>
      </c>
      <c r="W244" s="58">
        <v>5.9999999999999995E-4</v>
      </c>
      <c r="X244" s="63">
        <f t="shared" si="85"/>
        <v>1.0247973619913604</v>
      </c>
    </row>
    <row r="245" spans="1:24" x14ac:dyDescent="0.3">
      <c r="A245" s="293" t="s">
        <v>962</v>
      </c>
      <c r="B245" s="302">
        <f>'20. CMP'!$D$11</f>
        <v>2.2813526497085681E-3</v>
      </c>
      <c r="C245" s="841" t="s">
        <v>153</v>
      </c>
      <c r="D245" s="3" t="s">
        <v>385</v>
      </c>
      <c r="E245" s="58" t="s">
        <v>392</v>
      </c>
      <c r="F245" s="3" t="s">
        <v>371</v>
      </c>
      <c r="G245" s="3" t="s">
        <v>429</v>
      </c>
      <c r="H245" s="3" t="s">
        <v>154</v>
      </c>
      <c r="I245" s="58">
        <v>2</v>
      </c>
      <c r="J245" s="58">
        <f t="shared" si="82"/>
        <v>-6.0829867445132901</v>
      </c>
      <c r="K245" s="58">
        <f t="shared" si="83"/>
        <v>0.32603904386951327</v>
      </c>
      <c r="L245" s="90">
        <f t="shared" si="84"/>
        <v>1.1121570947719619</v>
      </c>
      <c r="M245" s="58">
        <v>4</v>
      </c>
      <c r="N245" s="58">
        <v>4</v>
      </c>
      <c r="O245" s="58">
        <v>1</v>
      </c>
      <c r="P245" s="58">
        <v>3</v>
      </c>
      <c r="Q245" s="58">
        <v>2</v>
      </c>
      <c r="R245" s="58">
        <f>IF(M245=1, '6. PEDIGREE MATRIX'!$B$4, IF(M245=2, '6. PEDIGREE MATRIX'!$C$4, IF(M245=3, '6. PEDIGREE MATRIX'!$D$4, IF(M245=4, '6. PEDIGREE MATRIX'!$E$4, IF(M245=5, '6. PEDIGREE MATRIX'!$F$4)))))</f>
        <v>1.0935646911485417</v>
      </c>
      <c r="S245" s="58">
        <f>IF(N245=1, '6. PEDIGREE MATRIX'!$B$6, IF(N245=2, '6. PEDIGREE MATRIX'!$C$6, IF(N245=3, '6. PEDIGREE MATRIX'!$D$6, IF(N245=4, '6. PEDIGREE MATRIX'!$E$6, IF(N245=5, '6. PEDIGREE MATRIX'!$F$6)))))</f>
        <v>1.0457364348384068</v>
      </c>
      <c r="T245" s="58">
        <f>IF(O245=1, '6. PEDIGREE MATRIX'!$B$8, IF(O245=2, '6. PEDIGREE MATRIX'!$C$8, IF(O245=3, '6. PEDIGREE MATRIX'!$D$8, IF(O245=4, '6. PEDIGREE MATRIX'!$E$8, IF(O245=5, '6. PEDIGREE MATRIX'!$F$8)))))</f>
        <v>1</v>
      </c>
      <c r="U245" s="58">
        <f>IF(P245=1, '6. PEDIGREE MATRIX'!$B$10, IF(P245=2, '6. PEDIGREE MATRIX'!$C$10, IF(P245=3, '6. PEDIGREE MATRIX'!$D$10, IF(P245=4, '6. PEDIGREE MATRIX'!$E$10, IF(P245=5, '6. PEDIGREE MATRIX'!$F$10)))))</f>
        <v>1.0100501670841679</v>
      </c>
      <c r="V245" s="58">
        <f>IF(Q245=1, '6. PEDIGREE MATRIX'!$B$12, IF(Q245=2, '6. PEDIGREE MATRIX'!$C$12, IF(Q245=3, '6. PEDIGREE MATRIX'!$D$12, IF(Q245=4, '6. PEDIGREE MATRIX'!$E$12, IF(Q245=5, '6. PEDIGREE MATRIX'!$F$12)))))</f>
        <v>1.0247973619913604</v>
      </c>
      <c r="W245" s="58">
        <v>5.9999999999999995E-4</v>
      </c>
      <c r="X245" s="63">
        <f t="shared" si="85"/>
        <v>1.0247973619913604</v>
      </c>
    </row>
    <row r="246" spans="1:24" x14ac:dyDescent="0.3">
      <c r="A246" s="112" t="s">
        <v>961</v>
      </c>
      <c r="B246" s="297">
        <f>'24. WAFER FAB'!$D$53</f>
        <v>-2.8752776785140533E-4</v>
      </c>
      <c r="C246" s="112" t="s">
        <v>1845</v>
      </c>
      <c r="D246" s="244" t="s">
        <v>385</v>
      </c>
      <c r="E246" s="522" t="s">
        <v>1844</v>
      </c>
      <c r="F246" s="244" t="s">
        <v>371</v>
      </c>
      <c r="G246" s="244" t="s">
        <v>429</v>
      </c>
      <c r="H246" s="244" t="s">
        <v>154</v>
      </c>
      <c r="I246" s="522">
        <v>2</v>
      </c>
      <c r="J246" s="522">
        <f t="shared" ref="J246:J253" si="86">IF(B246=0,"(Unknown)",LN((ABS(B246))))</f>
        <v>-8.1541911185598117</v>
      </c>
      <c r="K246" s="522" t="str">
        <f t="shared" ref="K246:K253" si="87">IF(B246&gt;0,SQRT(LN(L246)),"(Unknown)")</f>
        <v>(Unknown)</v>
      </c>
      <c r="L246" s="523" t="str">
        <f t="shared" ref="L246:L253" si="88">IF(B246&gt;0,(EXP(SQRT((LN(X246))^2+(LN(R246))^2+(LN(S246))^2+(LN(T246))^2+(LN(U246))^2+(LN(V246))^2))),"(Unknown)")</f>
        <v>(Unknown)</v>
      </c>
      <c r="M246" s="522">
        <v>4</v>
      </c>
      <c r="N246" s="522">
        <v>4</v>
      </c>
      <c r="O246" s="522">
        <v>1</v>
      </c>
      <c r="P246" s="522">
        <v>3</v>
      </c>
      <c r="Q246" s="522">
        <v>2</v>
      </c>
      <c r="R246" s="522">
        <f>IF(M246=1, '6. PEDIGREE MATRIX'!$B$4, IF(M246=2, '6. PEDIGREE MATRIX'!$C$4, IF(M246=3, '6. PEDIGREE MATRIX'!$D$4, IF(M246=4, '6. PEDIGREE MATRIX'!$E$4, IF(M246=5, '6. PEDIGREE MATRIX'!$F$4)))))</f>
        <v>1.0935646911485417</v>
      </c>
      <c r="S246" s="522">
        <f>IF(N246=1, '6. PEDIGREE MATRIX'!$B$6, IF(N246=2, '6. PEDIGREE MATRIX'!$C$6, IF(N246=3, '6. PEDIGREE MATRIX'!$D$6, IF(N246=4, '6. PEDIGREE MATRIX'!$E$6, IF(N246=5, '6. PEDIGREE MATRIX'!$F$6)))))</f>
        <v>1.0457364348384068</v>
      </c>
      <c r="T246" s="522">
        <f>IF(O246=1, '6. PEDIGREE MATRIX'!$B$8, IF(O246=2, '6. PEDIGREE MATRIX'!$C$8, IF(O246=3, '6. PEDIGREE MATRIX'!$D$8, IF(O246=4, '6. PEDIGREE MATRIX'!$E$8, IF(O246=5, '6. PEDIGREE MATRIX'!$F$8)))))</f>
        <v>1</v>
      </c>
      <c r="U246" s="522">
        <f>IF(P246=1, '6. PEDIGREE MATRIX'!$B$10, IF(P246=2, '6. PEDIGREE MATRIX'!$C$10, IF(P246=3, '6. PEDIGREE MATRIX'!$D$10, IF(P246=4, '6. PEDIGREE MATRIX'!$E$10, IF(P246=5, '6. PEDIGREE MATRIX'!$F$10)))))</f>
        <v>1.0100501670841679</v>
      </c>
      <c r="V246" s="522">
        <f>IF(Q246=1, '6. PEDIGREE MATRIX'!$B$12, IF(Q246=2, '6. PEDIGREE MATRIX'!$C$12, IF(Q246=3, '6. PEDIGREE MATRIX'!$D$12, IF(Q246=4, '6. PEDIGREE MATRIX'!$E$12, IF(Q246=5, '6. PEDIGREE MATRIX'!$F$12)))))</f>
        <v>1.0247973619913604</v>
      </c>
      <c r="W246" s="522">
        <v>5.9999999999999995E-4</v>
      </c>
      <c r="X246" s="524">
        <f t="shared" ref="X246:X253" si="89">EXP(SQRT(W246))</f>
        <v>1.0247973619913604</v>
      </c>
    </row>
    <row r="247" spans="1:24" x14ac:dyDescent="0.3">
      <c r="A247" s="116" t="s">
        <v>1956</v>
      </c>
      <c r="B247" s="297">
        <f>'24. WAFER FAB'!$D$54</f>
        <v>-1.0821603795289441E-3</v>
      </c>
      <c r="C247" s="113" t="s">
        <v>521</v>
      </c>
      <c r="D247" s="244" t="s">
        <v>385</v>
      </c>
      <c r="E247" s="522" t="s">
        <v>1957</v>
      </c>
      <c r="F247" s="244" t="s">
        <v>371</v>
      </c>
      <c r="G247" s="244" t="s">
        <v>429</v>
      </c>
      <c r="H247" s="244" t="s">
        <v>154</v>
      </c>
      <c r="I247" s="522">
        <v>2</v>
      </c>
      <c r="J247" s="522">
        <f t="shared" si="86"/>
        <v>-6.8287958844691365</v>
      </c>
      <c r="K247" s="522" t="str">
        <f t="shared" si="87"/>
        <v>(Unknown)</v>
      </c>
      <c r="L247" s="523" t="str">
        <f t="shared" si="88"/>
        <v>(Unknown)</v>
      </c>
      <c r="M247" s="522">
        <v>4</v>
      </c>
      <c r="N247" s="522">
        <v>4</v>
      </c>
      <c r="O247" s="522">
        <v>1</v>
      </c>
      <c r="P247" s="522">
        <v>3</v>
      </c>
      <c r="Q247" s="522">
        <v>2</v>
      </c>
      <c r="R247" s="522">
        <f>IF(M247=1, '6. PEDIGREE MATRIX'!$B$4, IF(M247=2, '6. PEDIGREE MATRIX'!$C$4, IF(M247=3, '6. PEDIGREE MATRIX'!$D$4, IF(M247=4, '6. PEDIGREE MATRIX'!$E$4, IF(M247=5, '6. PEDIGREE MATRIX'!$F$4)))))</f>
        <v>1.0935646911485417</v>
      </c>
      <c r="S247" s="522">
        <f>IF(N247=1, '6. PEDIGREE MATRIX'!$B$6, IF(N247=2, '6. PEDIGREE MATRIX'!$C$6, IF(N247=3, '6. PEDIGREE MATRIX'!$D$6, IF(N247=4, '6. PEDIGREE MATRIX'!$E$6, IF(N247=5, '6. PEDIGREE MATRIX'!$F$6)))))</f>
        <v>1.0457364348384068</v>
      </c>
      <c r="T247" s="522">
        <f>IF(O247=1, '6. PEDIGREE MATRIX'!$B$8, IF(O247=2, '6. PEDIGREE MATRIX'!$C$8, IF(O247=3, '6. PEDIGREE MATRIX'!$D$8, IF(O247=4, '6. PEDIGREE MATRIX'!$E$8, IF(O247=5, '6. PEDIGREE MATRIX'!$F$8)))))</f>
        <v>1</v>
      </c>
      <c r="U247" s="522">
        <f>IF(P247=1, '6. PEDIGREE MATRIX'!$B$10, IF(P247=2, '6. PEDIGREE MATRIX'!$C$10, IF(P247=3, '6. PEDIGREE MATRIX'!$D$10, IF(P247=4, '6. PEDIGREE MATRIX'!$E$10, IF(P247=5, '6. PEDIGREE MATRIX'!$F$10)))))</f>
        <v>1.0100501670841679</v>
      </c>
      <c r="V247" s="522">
        <f>IF(Q247=1, '6. PEDIGREE MATRIX'!$B$12, IF(Q247=2, '6. PEDIGREE MATRIX'!$C$12, IF(Q247=3, '6. PEDIGREE MATRIX'!$D$12, IF(Q247=4, '6. PEDIGREE MATRIX'!$E$12, IF(Q247=5, '6. PEDIGREE MATRIX'!$F$12)))))</f>
        <v>1.0247973619913604</v>
      </c>
      <c r="W247" s="522">
        <v>5.9999999999999995E-4</v>
      </c>
      <c r="X247" s="524">
        <f t="shared" si="89"/>
        <v>1.0247973619913604</v>
      </c>
    </row>
    <row r="248" spans="1:24" x14ac:dyDescent="0.3">
      <c r="A248" s="284" t="s">
        <v>1968</v>
      </c>
      <c r="B248" s="297">
        <f>'24. WAFER FAB'!$D$55</f>
        <v>-5.4108018976447203E-4</v>
      </c>
      <c r="C248" s="113" t="s">
        <v>521</v>
      </c>
      <c r="D248" s="244" t="s">
        <v>385</v>
      </c>
      <c r="E248" s="522" t="s">
        <v>1969</v>
      </c>
      <c r="F248" s="244" t="s">
        <v>371</v>
      </c>
      <c r="G248" s="244" t="s">
        <v>429</v>
      </c>
      <c r="H248" s="244" t="s">
        <v>154</v>
      </c>
      <c r="I248" s="522">
        <v>2</v>
      </c>
      <c r="J248" s="522">
        <f t="shared" si="86"/>
        <v>-7.5219430650290819</v>
      </c>
      <c r="K248" s="522" t="str">
        <f t="shared" si="87"/>
        <v>(Unknown)</v>
      </c>
      <c r="L248" s="523" t="str">
        <f t="shared" si="88"/>
        <v>(Unknown)</v>
      </c>
      <c r="M248" s="522">
        <v>4</v>
      </c>
      <c r="N248" s="522">
        <v>4</v>
      </c>
      <c r="O248" s="522">
        <v>1</v>
      </c>
      <c r="P248" s="522">
        <v>3</v>
      </c>
      <c r="Q248" s="522">
        <v>2</v>
      </c>
      <c r="R248" s="522">
        <f>IF(M248=1, '6. PEDIGREE MATRIX'!$B$4, IF(M248=2, '6. PEDIGREE MATRIX'!$C$4, IF(M248=3, '6. PEDIGREE MATRIX'!$D$4, IF(M248=4, '6. PEDIGREE MATRIX'!$E$4, IF(M248=5, '6. PEDIGREE MATRIX'!$F$4)))))</f>
        <v>1.0935646911485417</v>
      </c>
      <c r="S248" s="522">
        <f>IF(N248=1, '6. PEDIGREE MATRIX'!$B$6, IF(N248=2, '6. PEDIGREE MATRIX'!$C$6, IF(N248=3, '6. PEDIGREE MATRIX'!$D$6, IF(N248=4, '6. PEDIGREE MATRIX'!$E$6, IF(N248=5, '6. PEDIGREE MATRIX'!$F$6)))))</f>
        <v>1.0457364348384068</v>
      </c>
      <c r="T248" s="522">
        <f>IF(O248=1, '6. PEDIGREE MATRIX'!$B$8, IF(O248=2, '6. PEDIGREE MATRIX'!$C$8, IF(O248=3, '6. PEDIGREE MATRIX'!$D$8, IF(O248=4, '6. PEDIGREE MATRIX'!$E$8, IF(O248=5, '6. PEDIGREE MATRIX'!$F$8)))))</f>
        <v>1</v>
      </c>
      <c r="U248" s="522">
        <f>IF(P248=1, '6. PEDIGREE MATRIX'!$B$10, IF(P248=2, '6. PEDIGREE MATRIX'!$C$10, IF(P248=3, '6. PEDIGREE MATRIX'!$D$10, IF(P248=4, '6. PEDIGREE MATRIX'!$E$10, IF(P248=5, '6. PEDIGREE MATRIX'!$F$10)))))</f>
        <v>1.0100501670841679</v>
      </c>
      <c r="V248" s="522">
        <f>IF(Q248=1, '6. PEDIGREE MATRIX'!$B$12, IF(Q248=2, '6. PEDIGREE MATRIX'!$C$12, IF(Q248=3, '6. PEDIGREE MATRIX'!$D$12, IF(Q248=4, '6. PEDIGREE MATRIX'!$E$12, IF(Q248=5, '6. PEDIGREE MATRIX'!$F$12)))))</f>
        <v>1.0247973619913604</v>
      </c>
      <c r="W248" s="522">
        <v>5.9999999999999995E-4</v>
      </c>
      <c r="X248" s="524">
        <f t="shared" si="89"/>
        <v>1.0247973619913604</v>
      </c>
    </row>
    <row r="249" spans="1:24" x14ac:dyDescent="0.3">
      <c r="A249" s="284" t="s">
        <v>1956</v>
      </c>
      <c r="B249" s="297">
        <f>'24. WAFER FAB'!$D$56</f>
        <v>-5.4752463593005627E-6</v>
      </c>
      <c r="C249" s="112" t="s">
        <v>521</v>
      </c>
      <c r="D249" s="244" t="s">
        <v>385</v>
      </c>
      <c r="E249" s="522" t="s">
        <v>1957</v>
      </c>
      <c r="F249" s="244" t="s">
        <v>371</v>
      </c>
      <c r="G249" s="244" t="s">
        <v>429</v>
      </c>
      <c r="H249" s="244" t="s">
        <v>154</v>
      </c>
      <c r="I249" s="522">
        <v>2</v>
      </c>
      <c r="J249" s="522">
        <f t="shared" si="86"/>
        <v>-12.115273286141527</v>
      </c>
      <c r="K249" s="522" t="str">
        <f t="shared" si="87"/>
        <v>(Unknown)</v>
      </c>
      <c r="L249" s="523" t="str">
        <f t="shared" si="88"/>
        <v>(Unknown)</v>
      </c>
      <c r="M249" s="522">
        <v>4</v>
      </c>
      <c r="N249" s="522">
        <v>4</v>
      </c>
      <c r="O249" s="522">
        <v>1</v>
      </c>
      <c r="P249" s="522">
        <v>3</v>
      </c>
      <c r="Q249" s="522">
        <v>2</v>
      </c>
      <c r="R249" s="522">
        <f>IF(M249=1, '6. PEDIGREE MATRIX'!$B$4, IF(M249=2, '6. PEDIGREE MATRIX'!$C$4, IF(M249=3, '6. PEDIGREE MATRIX'!$D$4, IF(M249=4, '6. PEDIGREE MATRIX'!$E$4, IF(M249=5, '6. PEDIGREE MATRIX'!$F$4)))))</f>
        <v>1.0935646911485417</v>
      </c>
      <c r="S249" s="522">
        <f>IF(N249=1, '6. PEDIGREE MATRIX'!$B$6, IF(N249=2, '6. PEDIGREE MATRIX'!$C$6, IF(N249=3, '6. PEDIGREE MATRIX'!$D$6, IF(N249=4, '6. PEDIGREE MATRIX'!$E$6, IF(N249=5, '6. PEDIGREE MATRIX'!$F$6)))))</f>
        <v>1.0457364348384068</v>
      </c>
      <c r="T249" s="522">
        <f>IF(O249=1, '6. PEDIGREE MATRIX'!$B$8, IF(O249=2, '6. PEDIGREE MATRIX'!$C$8, IF(O249=3, '6. PEDIGREE MATRIX'!$D$8, IF(O249=4, '6. PEDIGREE MATRIX'!$E$8, IF(O249=5, '6. PEDIGREE MATRIX'!$F$8)))))</f>
        <v>1</v>
      </c>
      <c r="U249" s="522">
        <f>IF(P249=1, '6. PEDIGREE MATRIX'!$B$10, IF(P249=2, '6. PEDIGREE MATRIX'!$C$10, IF(P249=3, '6. PEDIGREE MATRIX'!$D$10, IF(P249=4, '6. PEDIGREE MATRIX'!$E$10, IF(P249=5, '6. PEDIGREE MATRIX'!$F$10)))))</f>
        <v>1.0100501670841679</v>
      </c>
      <c r="V249" s="522">
        <f>IF(Q249=1, '6. PEDIGREE MATRIX'!$B$12, IF(Q249=2, '6. PEDIGREE MATRIX'!$C$12, IF(Q249=3, '6. PEDIGREE MATRIX'!$D$12, IF(Q249=4, '6. PEDIGREE MATRIX'!$E$12, IF(Q249=5, '6. PEDIGREE MATRIX'!$F$12)))))</f>
        <v>1.0247973619913604</v>
      </c>
      <c r="W249" s="522">
        <v>5.9999999999999995E-4</v>
      </c>
      <c r="X249" s="524">
        <f t="shared" si="89"/>
        <v>1.0247973619913604</v>
      </c>
    </row>
    <row r="250" spans="1:24" x14ac:dyDescent="0.3">
      <c r="A250" s="284" t="s">
        <v>1968</v>
      </c>
      <c r="B250" s="297">
        <f>'24. WAFER FAB'!$D$57</f>
        <v>-2.7376231796502813E-6</v>
      </c>
      <c r="C250" s="113" t="s">
        <v>521</v>
      </c>
      <c r="D250" s="244" t="s">
        <v>385</v>
      </c>
      <c r="E250" s="522" t="s">
        <v>1969</v>
      </c>
      <c r="F250" s="244" t="s">
        <v>371</v>
      </c>
      <c r="G250" s="244" t="s">
        <v>429</v>
      </c>
      <c r="H250" s="244" t="s">
        <v>154</v>
      </c>
      <c r="I250" s="522">
        <v>2</v>
      </c>
      <c r="J250" s="522">
        <f t="shared" si="86"/>
        <v>-12.808420466701472</v>
      </c>
      <c r="K250" s="522" t="str">
        <f t="shared" si="87"/>
        <v>(Unknown)</v>
      </c>
      <c r="L250" s="523" t="str">
        <f t="shared" si="88"/>
        <v>(Unknown)</v>
      </c>
      <c r="M250" s="522">
        <v>4</v>
      </c>
      <c r="N250" s="522">
        <v>4</v>
      </c>
      <c r="O250" s="522">
        <v>1</v>
      </c>
      <c r="P250" s="522">
        <v>3</v>
      </c>
      <c r="Q250" s="522">
        <v>2</v>
      </c>
      <c r="R250" s="522">
        <f>IF(M250=1, '6. PEDIGREE MATRIX'!$B$4, IF(M250=2, '6. PEDIGREE MATRIX'!$C$4, IF(M250=3, '6. PEDIGREE MATRIX'!$D$4, IF(M250=4, '6. PEDIGREE MATRIX'!$E$4, IF(M250=5, '6. PEDIGREE MATRIX'!$F$4)))))</f>
        <v>1.0935646911485417</v>
      </c>
      <c r="S250" s="522">
        <f>IF(N250=1, '6. PEDIGREE MATRIX'!$B$6, IF(N250=2, '6. PEDIGREE MATRIX'!$C$6, IF(N250=3, '6. PEDIGREE MATRIX'!$D$6, IF(N250=4, '6. PEDIGREE MATRIX'!$E$6, IF(N250=5, '6. PEDIGREE MATRIX'!$F$6)))))</f>
        <v>1.0457364348384068</v>
      </c>
      <c r="T250" s="522">
        <f>IF(O250=1, '6. PEDIGREE MATRIX'!$B$8, IF(O250=2, '6. PEDIGREE MATRIX'!$C$8, IF(O250=3, '6. PEDIGREE MATRIX'!$D$8, IF(O250=4, '6. PEDIGREE MATRIX'!$E$8, IF(O250=5, '6. PEDIGREE MATRIX'!$F$8)))))</f>
        <v>1</v>
      </c>
      <c r="U250" s="522">
        <f>IF(P250=1, '6. PEDIGREE MATRIX'!$B$10, IF(P250=2, '6. PEDIGREE MATRIX'!$C$10, IF(P250=3, '6. PEDIGREE MATRIX'!$D$10, IF(P250=4, '6. PEDIGREE MATRIX'!$E$10, IF(P250=5, '6. PEDIGREE MATRIX'!$F$10)))))</f>
        <v>1.0100501670841679</v>
      </c>
      <c r="V250" s="522">
        <f>IF(Q250=1, '6. PEDIGREE MATRIX'!$B$12, IF(Q250=2, '6. PEDIGREE MATRIX'!$C$12, IF(Q250=3, '6. PEDIGREE MATRIX'!$D$12, IF(Q250=4, '6. PEDIGREE MATRIX'!$E$12, IF(Q250=5, '6. PEDIGREE MATRIX'!$F$12)))))</f>
        <v>1.0247973619913604</v>
      </c>
      <c r="W250" s="522">
        <v>5.9999999999999995E-4</v>
      </c>
      <c r="X250" s="524">
        <f t="shared" si="89"/>
        <v>1.0247973619913604</v>
      </c>
    </row>
    <row r="251" spans="1:24" x14ac:dyDescent="0.3">
      <c r="A251" s="284" t="s">
        <v>1956</v>
      </c>
      <c r="B251" s="297">
        <f>'24. WAFER FAB'!$D$58</f>
        <v>-1.4108813393143575E-5</v>
      </c>
      <c r="C251" s="112" t="s">
        <v>521</v>
      </c>
      <c r="D251" s="244" t="s">
        <v>385</v>
      </c>
      <c r="E251" s="522" t="s">
        <v>1957</v>
      </c>
      <c r="F251" s="244" t="s">
        <v>371</v>
      </c>
      <c r="G251" s="244" t="s">
        <v>429</v>
      </c>
      <c r="H251" s="244" t="s">
        <v>154</v>
      </c>
      <c r="I251" s="522">
        <v>2</v>
      </c>
      <c r="J251" s="522">
        <f t="shared" si="86"/>
        <v>-11.168710892507361</v>
      </c>
      <c r="K251" s="522" t="str">
        <f t="shared" si="87"/>
        <v>(Unknown)</v>
      </c>
      <c r="L251" s="523" t="str">
        <f t="shared" si="88"/>
        <v>(Unknown)</v>
      </c>
      <c r="M251" s="522">
        <v>4</v>
      </c>
      <c r="N251" s="522">
        <v>4</v>
      </c>
      <c r="O251" s="522">
        <v>1</v>
      </c>
      <c r="P251" s="522">
        <v>3</v>
      </c>
      <c r="Q251" s="522">
        <v>2</v>
      </c>
      <c r="R251" s="522">
        <f>IF(M251=1, '6. PEDIGREE MATRIX'!$B$4, IF(M251=2, '6. PEDIGREE MATRIX'!$C$4, IF(M251=3, '6. PEDIGREE MATRIX'!$D$4, IF(M251=4, '6. PEDIGREE MATRIX'!$E$4, IF(M251=5, '6. PEDIGREE MATRIX'!$F$4)))))</f>
        <v>1.0935646911485417</v>
      </c>
      <c r="S251" s="522">
        <f>IF(N251=1, '6. PEDIGREE MATRIX'!$B$6, IF(N251=2, '6. PEDIGREE MATRIX'!$C$6, IF(N251=3, '6. PEDIGREE MATRIX'!$D$6, IF(N251=4, '6. PEDIGREE MATRIX'!$E$6, IF(N251=5, '6. PEDIGREE MATRIX'!$F$6)))))</f>
        <v>1.0457364348384068</v>
      </c>
      <c r="T251" s="522">
        <f>IF(O251=1, '6. PEDIGREE MATRIX'!$B$8, IF(O251=2, '6. PEDIGREE MATRIX'!$C$8, IF(O251=3, '6. PEDIGREE MATRIX'!$D$8, IF(O251=4, '6. PEDIGREE MATRIX'!$E$8, IF(O251=5, '6. PEDIGREE MATRIX'!$F$8)))))</f>
        <v>1</v>
      </c>
      <c r="U251" s="522">
        <f>IF(P251=1, '6. PEDIGREE MATRIX'!$B$10, IF(P251=2, '6. PEDIGREE MATRIX'!$C$10, IF(P251=3, '6. PEDIGREE MATRIX'!$D$10, IF(P251=4, '6. PEDIGREE MATRIX'!$E$10, IF(P251=5, '6. PEDIGREE MATRIX'!$F$10)))))</f>
        <v>1.0100501670841679</v>
      </c>
      <c r="V251" s="522">
        <f>IF(Q251=1, '6. PEDIGREE MATRIX'!$B$12, IF(Q251=2, '6. PEDIGREE MATRIX'!$C$12, IF(Q251=3, '6. PEDIGREE MATRIX'!$D$12, IF(Q251=4, '6. PEDIGREE MATRIX'!$E$12, IF(Q251=5, '6. PEDIGREE MATRIX'!$F$12)))))</f>
        <v>1.0247973619913604</v>
      </c>
      <c r="W251" s="522">
        <v>5.9999999999999995E-4</v>
      </c>
      <c r="X251" s="524">
        <f t="shared" si="89"/>
        <v>1.0247973619913604</v>
      </c>
    </row>
    <row r="252" spans="1:24" x14ac:dyDescent="0.3">
      <c r="A252" s="284" t="s">
        <v>1968</v>
      </c>
      <c r="B252" s="297">
        <f>'24. WAFER FAB'!$D$59</f>
        <v>-7.0544066965717874E-6</v>
      </c>
      <c r="C252" s="113" t="s">
        <v>521</v>
      </c>
      <c r="D252" s="244" t="s">
        <v>385</v>
      </c>
      <c r="E252" s="522" t="s">
        <v>1969</v>
      </c>
      <c r="F252" s="244" t="s">
        <v>371</v>
      </c>
      <c r="G252" s="244" t="s">
        <v>429</v>
      </c>
      <c r="H252" s="244" t="s">
        <v>154</v>
      </c>
      <c r="I252" s="522">
        <v>2</v>
      </c>
      <c r="J252" s="522">
        <f t="shared" si="86"/>
        <v>-11.861858073067305</v>
      </c>
      <c r="K252" s="522" t="str">
        <f t="shared" si="87"/>
        <v>(Unknown)</v>
      </c>
      <c r="L252" s="523" t="str">
        <f t="shared" si="88"/>
        <v>(Unknown)</v>
      </c>
      <c r="M252" s="522">
        <v>4</v>
      </c>
      <c r="N252" s="522">
        <v>4</v>
      </c>
      <c r="O252" s="522">
        <v>1</v>
      </c>
      <c r="P252" s="522">
        <v>3</v>
      </c>
      <c r="Q252" s="522">
        <v>2</v>
      </c>
      <c r="R252" s="522">
        <f>IF(M252=1, '6. PEDIGREE MATRIX'!$B$4, IF(M252=2, '6. PEDIGREE MATRIX'!$C$4, IF(M252=3, '6. PEDIGREE MATRIX'!$D$4, IF(M252=4, '6. PEDIGREE MATRIX'!$E$4, IF(M252=5, '6. PEDIGREE MATRIX'!$F$4)))))</f>
        <v>1.0935646911485417</v>
      </c>
      <c r="S252" s="522">
        <f>IF(N252=1, '6. PEDIGREE MATRIX'!$B$6, IF(N252=2, '6. PEDIGREE MATRIX'!$C$6, IF(N252=3, '6. PEDIGREE MATRIX'!$D$6, IF(N252=4, '6. PEDIGREE MATRIX'!$E$6, IF(N252=5, '6. PEDIGREE MATRIX'!$F$6)))))</f>
        <v>1.0457364348384068</v>
      </c>
      <c r="T252" s="522">
        <f>IF(O252=1, '6. PEDIGREE MATRIX'!$B$8, IF(O252=2, '6. PEDIGREE MATRIX'!$C$8, IF(O252=3, '6. PEDIGREE MATRIX'!$D$8, IF(O252=4, '6. PEDIGREE MATRIX'!$E$8, IF(O252=5, '6. PEDIGREE MATRIX'!$F$8)))))</f>
        <v>1</v>
      </c>
      <c r="U252" s="522">
        <f>IF(P252=1, '6. PEDIGREE MATRIX'!$B$10, IF(P252=2, '6. PEDIGREE MATRIX'!$C$10, IF(P252=3, '6. PEDIGREE MATRIX'!$D$10, IF(P252=4, '6. PEDIGREE MATRIX'!$E$10, IF(P252=5, '6. PEDIGREE MATRIX'!$F$10)))))</f>
        <v>1.0100501670841679</v>
      </c>
      <c r="V252" s="522">
        <f>IF(Q252=1, '6. PEDIGREE MATRIX'!$B$12, IF(Q252=2, '6. PEDIGREE MATRIX'!$C$12, IF(Q252=3, '6. PEDIGREE MATRIX'!$D$12, IF(Q252=4, '6. PEDIGREE MATRIX'!$E$12, IF(Q252=5, '6. PEDIGREE MATRIX'!$F$12)))))</f>
        <v>1.0247973619913604</v>
      </c>
      <c r="W252" s="522">
        <v>5.9999999999999995E-4</v>
      </c>
      <c r="X252" s="524">
        <f t="shared" si="89"/>
        <v>1.0247973619913604</v>
      </c>
    </row>
    <row r="253" spans="1:24" x14ac:dyDescent="0.3">
      <c r="A253" s="43" t="s">
        <v>816</v>
      </c>
      <c r="B253" s="297">
        <f>'24. WAFER FAB'!$D$60</f>
        <v>1.1406763248542851E-4</v>
      </c>
      <c r="C253" s="516" t="s">
        <v>153</v>
      </c>
      <c r="D253" s="516" t="s">
        <v>515</v>
      </c>
      <c r="E253" s="517" t="s">
        <v>371</v>
      </c>
      <c r="F253" s="518" t="s">
        <v>516</v>
      </c>
      <c r="G253" s="516" t="s">
        <v>371</v>
      </c>
      <c r="H253" s="516" t="s">
        <v>514</v>
      </c>
      <c r="I253" s="517">
        <v>2</v>
      </c>
      <c r="J253" s="517">
        <f t="shared" si="86"/>
        <v>-9.0787190180672805</v>
      </c>
      <c r="K253" s="517">
        <f t="shared" si="87"/>
        <v>0.3216221452697029</v>
      </c>
      <c r="L253" s="519">
        <f t="shared" si="88"/>
        <v>1.1089801445970049</v>
      </c>
      <c r="M253" s="517">
        <v>4</v>
      </c>
      <c r="N253" s="517">
        <v>4</v>
      </c>
      <c r="O253" s="517">
        <v>1</v>
      </c>
      <c r="P253" s="517">
        <v>3</v>
      </c>
      <c r="Q253" s="517">
        <v>1</v>
      </c>
      <c r="R253" s="517">
        <f>IF(M253=1, '6. PEDIGREE MATRIX'!$B$4, IF(M253=2, '6. PEDIGREE MATRIX'!$C$4, IF(M253=3, '6. PEDIGREE MATRIX'!$D$4, IF(M253=4, '6. PEDIGREE MATRIX'!$E$4, IF(M253=5, '6. PEDIGREE MATRIX'!$F$4)))))</f>
        <v>1.0935646911485417</v>
      </c>
      <c r="S253" s="517">
        <f>IF(N253=1, '6. PEDIGREE MATRIX'!$B$6, IF(N253=2, '6. PEDIGREE MATRIX'!$C$6, IF(N253=3, '6. PEDIGREE MATRIX'!$D$6, IF(N253=4, '6. PEDIGREE MATRIX'!$E$6, IF(N253=5, '6. PEDIGREE MATRIX'!$F$6)))))</f>
        <v>1.0457364348384068</v>
      </c>
      <c r="T253" s="517">
        <f>IF(O253=1, '6. PEDIGREE MATRIX'!$B$8, IF(O253=2, '6. PEDIGREE MATRIX'!$C$8, IF(O253=3, '6. PEDIGREE MATRIX'!$D$8, IF(O253=4, '6. PEDIGREE MATRIX'!$E$8, IF(O253=5, '6. PEDIGREE MATRIX'!$F$8)))))</f>
        <v>1</v>
      </c>
      <c r="U253" s="517">
        <f>IF(P253=1, '6. PEDIGREE MATRIX'!$B$10, IF(P253=2, '6. PEDIGREE MATRIX'!$C$10, IF(P253=3, '6. PEDIGREE MATRIX'!$D$10, IF(P253=4, '6. PEDIGREE MATRIX'!$E$10, IF(P253=5, '6. PEDIGREE MATRIX'!$F$10)))))</f>
        <v>1.0100501670841679</v>
      </c>
      <c r="V253" s="517">
        <f>IF(Q253=1, '6. PEDIGREE MATRIX'!$B$12, IF(Q253=2, '6. PEDIGREE MATRIX'!$C$12, IF(Q253=3, '6. PEDIGREE MATRIX'!$D$12, IF(Q253=4, '6. PEDIGREE MATRIX'!$E$12, IF(Q253=5, '6. PEDIGREE MATRIX'!$F$12)))))</f>
        <v>1</v>
      </c>
      <c r="W253" s="517">
        <v>5.9999999999999995E-4</v>
      </c>
      <c r="X253" s="520">
        <f t="shared" si="89"/>
        <v>1.0247973619913604</v>
      </c>
    </row>
    <row r="254" spans="1:24" ht="15" thickBot="1" x14ac:dyDescent="0.35">
      <c r="A254" s="70" t="str">
        <f>B231</f>
        <v>CMP</v>
      </c>
      <c r="B254" s="71">
        <v>1</v>
      </c>
      <c r="C254" s="72" t="s">
        <v>224</v>
      </c>
      <c r="D254" s="72" t="str">
        <f>$B$1</f>
        <v>IGBT LCI dtb</v>
      </c>
      <c r="E254" s="71" t="str">
        <f>B235</f>
        <v>Processed cm² of Si IGBT good die</v>
      </c>
      <c r="F254" s="72" t="s">
        <v>371</v>
      </c>
      <c r="G254" s="72" t="s">
        <v>156</v>
      </c>
      <c r="H254" s="72" t="s">
        <v>383</v>
      </c>
      <c r="I254" s="71">
        <v>0</v>
      </c>
      <c r="J254" s="71" t="s">
        <v>371</v>
      </c>
      <c r="K254" s="71" t="s">
        <v>371</v>
      </c>
      <c r="L254" s="91" t="s">
        <v>371</v>
      </c>
      <c r="M254" s="71">
        <v>0</v>
      </c>
      <c r="N254" s="71">
        <v>0</v>
      </c>
      <c r="O254" s="71">
        <v>0</v>
      </c>
      <c r="P254" s="71">
        <v>0</v>
      </c>
      <c r="Q254" s="71">
        <v>0</v>
      </c>
      <c r="R254" s="71">
        <v>0</v>
      </c>
      <c r="S254" s="71">
        <v>0</v>
      </c>
      <c r="T254" s="71">
        <v>0</v>
      </c>
      <c r="U254" s="71">
        <v>0</v>
      </c>
      <c r="V254" s="71">
        <v>0</v>
      </c>
      <c r="W254" s="71">
        <v>0</v>
      </c>
      <c r="X254" s="73">
        <v>0</v>
      </c>
    </row>
    <row r="256" spans="1:24" ht="15" thickBot="1" x14ac:dyDescent="0.35"/>
    <row r="257" spans="1:24" s="14" customFormat="1" ht="30" customHeight="1" thickBot="1" x14ac:dyDescent="0.35">
      <c r="A257" s="178" t="s">
        <v>326</v>
      </c>
      <c r="B257" s="179" t="s">
        <v>1497</v>
      </c>
      <c r="C257" s="180"/>
      <c r="D257" s="180"/>
      <c r="E257" s="181"/>
      <c r="F257" s="180"/>
      <c r="G257" s="180"/>
      <c r="H257" s="180"/>
      <c r="I257" s="181"/>
      <c r="J257" s="181"/>
      <c r="K257" s="181"/>
      <c r="L257" s="181"/>
      <c r="M257" s="181"/>
      <c r="N257" s="181"/>
      <c r="O257" s="181"/>
      <c r="P257" s="181"/>
      <c r="Q257" s="181"/>
      <c r="R257" s="181"/>
      <c r="S257" s="181"/>
      <c r="T257" s="181"/>
      <c r="U257" s="181"/>
      <c r="V257" s="181"/>
      <c r="W257" s="181"/>
      <c r="X257" s="182"/>
    </row>
    <row r="258" spans="1:24" x14ac:dyDescent="0.3">
      <c r="A258" s="54" t="s">
        <v>163</v>
      </c>
      <c r="B258" s="56" t="s">
        <v>371</v>
      </c>
      <c r="C258" s="56"/>
      <c r="D258" s="56"/>
      <c r="E258" s="61"/>
      <c r="F258" s="56"/>
      <c r="G258" s="56"/>
      <c r="H258" s="56"/>
      <c r="I258" s="61"/>
      <c r="J258" s="61"/>
      <c r="K258" s="61"/>
      <c r="L258" s="61"/>
      <c r="M258" s="61"/>
      <c r="N258" s="61"/>
      <c r="O258" s="61"/>
      <c r="P258" s="61"/>
      <c r="Q258" s="61"/>
      <c r="R258" s="61"/>
      <c r="S258" s="61"/>
      <c r="T258" s="61"/>
      <c r="U258" s="61"/>
      <c r="V258" s="61"/>
      <c r="W258" s="61"/>
      <c r="X258" s="62"/>
    </row>
    <row r="259" spans="1:24" x14ac:dyDescent="0.3">
      <c r="A259" s="54" t="s">
        <v>227</v>
      </c>
      <c r="B259" s="56" t="s">
        <v>156</v>
      </c>
      <c r="C259" s="56"/>
      <c r="D259" s="56"/>
      <c r="E259" s="61"/>
      <c r="F259" s="56"/>
      <c r="G259" s="56"/>
      <c r="H259" s="56"/>
      <c r="I259" s="61"/>
      <c r="J259" s="61"/>
      <c r="K259" s="61"/>
      <c r="L259" s="61"/>
      <c r="M259" s="61"/>
      <c r="N259" s="61"/>
      <c r="O259" s="61"/>
      <c r="P259" s="61"/>
      <c r="Q259" s="61"/>
      <c r="R259" s="61"/>
      <c r="S259" s="61"/>
      <c r="T259" s="61"/>
      <c r="U259" s="61"/>
      <c r="V259" s="61"/>
      <c r="W259" s="61"/>
      <c r="X259" s="62"/>
    </row>
    <row r="260" spans="1:24" x14ac:dyDescent="0.3">
      <c r="A260" s="54" t="s">
        <v>428</v>
      </c>
      <c r="B260" s="61">
        <v>1</v>
      </c>
      <c r="C260" s="56"/>
      <c r="D260" s="56"/>
      <c r="E260" s="61"/>
      <c r="F260" s="56"/>
      <c r="G260" s="56"/>
      <c r="H260" s="56"/>
      <c r="I260" s="61"/>
      <c r="J260" s="61"/>
      <c r="K260" s="61"/>
      <c r="L260" s="61"/>
      <c r="M260" s="61"/>
      <c r="N260" s="61"/>
      <c r="O260" s="61"/>
      <c r="P260" s="61"/>
      <c r="Q260" s="61"/>
      <c r="R260" s="61"/>
      <c r="S260" s="61"/>
      <c r="T260" s="61"/>
      <c r="U260" s="61"/>
      <c r="V260" s="61"/>
      <c r="W260" s="61"/>
      <c r="X260" s="62"/>
    </row>
    <row r="261" spans="1:24" x14ac:dyDescent="0.3">
      <c r="A261" s="54" t="s">
        <v>147</v>
      </c>
      <c r="B261" s="56" t="s">
        <v>717</v>
      </c>
      <c r="C261" s="56"/>
      <c r="D261" s="56"/>
      <c r="E261" s="61"/>
      <c r="F261" s="56"/>
      <c r="G261" s="56"/>
      <c r="H261" s="56"/>
      <c r="I261" s="61"/>
      <c r="J261" s="61"/>
      <c r="K261" s="61"/>
      <c r="L261" s="61"/>
      <c r="M261" s="61"/>
      <c r="N261" s="61"/>
      <c r="O261" s="61"/>
      <c r="P261" s="61"/>
      <c r="Q261" s="61"/>
      <c r="R261" s="61"/>
      <c r="S261" s="61"/>
      <c r="T261" s="61"/>
      <c r="U261" s="61"/>
      <c r="V261" s="61"/>
      <c r="W261" s="61"/>
      <c r="X261" s="62"/>
    </row>
    <row r="262" spans="1:24" x14ac:dyDescent="0.3">
      <c r="A262" s="54" t="s">
        <v>327</v>
      </c>
      <c r="B262" s="61" t="s">
        <v>134</v>
      </c>
      <c r="C262" s="56"/>
      <c r="D262" s="56"/>
      <c r="E262" s="61"/>
      <c r="F262" s="56"/>
      <c r="G262" s="56"/>
      <c r="H262" s="56"/>
      <c r="I262" s="61"/>
      <c r="J262" s="61"/>
      <c r="K262" s="61"/>
      <c r="L262" s="61"/>
      <c r="M262" s="61"/>
      <c r="N262" s="61"/>
      <c r="O262" s="61"/>
      <c r="P262" s="61"/>
      <c r="Q262" s="61"/>
      <c r="R262" s="61"/>
      <c r="S262" s="61"/>
      <c r="T262" s="61"/>
      <c r="U262" s="61"/>
      <c r="V262" s="61"/>
      <c r="W262" s="61"/>
      <c r="X262" s="62"/>
    </row>
    <row r="263" spans="1:24" x14ac:dyDescent="0.3">
      <c r="A263" s="54" t="s">
        <v>224</v>
      </c>
      <c r="B263" s="56" t="s">
        <v>224</v>
      </c>
      <c r="C263" s="56"/>
      <c r="D263" s="56"/>
      <c r="E263" s="61"/>
      <c r="F263" s="56"/>
      <c r="G263" s="56"/>
      <c r="H263" s="56"/>
      <c r="I263" s="61"/>
      <c r="J263" s="61"/>
      <c r="K263" s="61"/>
      <c r="L263" s="61"/>
      <c r="M263" s="61"/>
      <c r="N263" s="61"/>
      <c r="O263" s="61"/>
      <c r="P263" s="61"/>
      <c r="Q263" s="61"/>
      <c r="R263" s="61"/>
      <c r="S263" s="61"/>
      <c r="T263" s="61"/>
      <c r="U263" s="61"/>
      <c r="V263" s="61"/>
      <c r="W263" s="61"/>
      <c r="X263" s="62"/>
    </row>
    <row r="264" spans="1:24" ht="15.6" x14ac:dyDescent="0.3">
      <c r="A264" s="55" t="s">
        <v>328</v>
      </c>
      <c r="B264" s="61"/>
      <c r="C264" s="56"/>
      <c r="D264" s="56"/>
      <c r="E264" s="61"/>
      <c r="F264" s="56"/>
      <c r="G264" s="56"/>
      <c r="H264" s="56"/>
      <c r="I264" s="61"/>
      <c r="J264" s="61"/>
      <c r="K264" s="61"/>
      <c r="L264" s="61"/>
      <c r="M264" s="61"/>
      <c r="N264" s="61"/>
      <c r="O264" s="61"/>
      <c r="P264" s="61"/>
      <c r="Q264" s="61"/>
      <c r="R264" s="61"/>
      <c r="S264" s="61"/>
      <c r="T264" s="61"/>
      <c r="U264" s="61"/>
      <c r="V264" s="61"/>
      <c r="W264" s="61"/>
      <c r="X264" s="62"/>
    </row>
    <row r="265" spans="1:24" x14ac:dyDescent="0.3">
      <c r="A265" s="54" t="s">
        <v>329</v>
      </c>
      <c r="B265" s="61" t="s">
        <v>330</v>
      </c>
      <c r="C265" s="56" t="s">
        <v>224</v>
      </c>
      <c r="D265" s="56" t="s">
        <v>331</v>
      </c>
      <c r="E265" s="61" t="s">
        <v>147</v>
      </c>
      <c r="F265" s="56" t="s">
        <v>332</v>
      </c>
      <c r="G265" s="56" t="s">
        <v>227</v>
      </c>
      <c r="H265" s="56" t="s">
        <v>327</v>
      </c>
      <c r="I265" s="61" t="s">
        <v>372</v>
      </c>
      <c r="J265" s="61" t="s">
        <v>373</v>
      </c>
      <c r="K265" s="61" t="s">
        <v>374</v>
      </c>
      <c r="L265" s="61" t="s">
        <v>148</v>
      </c>
      <c r="M265" s="61" t="s">
        <v>585</v>
      </c>
      <c r="N265" s="61" t="s">
        <v>586</v>
      </c>
      <c r="O265" s="61" t="s">
        <v>587</v>
      </c>
      <c r="P265" s="61" t="s">
        <v>220</v>
      </c>
      <c r="Q265" s="61" t="s">
        <v>588</v>
      </c>
      <c r="R265" s="61" t="s">
        <v>590</v>
      </c>
      <c r="S265" s="61" t="s">
        <v>591</v>
      </c>
      <c r="T265" s="61" t="s">
        <v>592</v>
      </c>
      <c r="U265" s="61" t="s">
        <v>593</v>
      </c>
      <c r="V265" s="61" t="s">
        <v>594</v>
      </c>
      <c r="W265" s="61" t="s">
        <v>595</v>
      </c>
      <c r="X265" s="62" t="s">
        <v>589</v>
      </c>
    </row>
    <row r="266" spans="1:24" x14ac:dyDescent="0.3">
      <c r="A266" s="285" t="str">
        <f>IF($G$266='4. INPUTS LIST'!$B$3,'4. INPUTS LIST'!$C$3, IF($G$266='4. INPUTS LIST'!$B$4,'4. INPUTS LIST'!$C$4, IF($G$266='4. INPUTS LIST'!$B$5,'4. INPUTS LIST'!$C$5, IF($G$266='4. INPUTS LIST'!$B$6,'4. INPUTS LIST'!$C$6, IF($G$266='4. INPUTS LIST'!$B$7,'4. INPUTS LIST'!$C$7, IF($G$266='4. INPUTS LIST'!$B$8,'4. INPUTS LIST'!$C$8, IF($G$266='4. INPUTS LIST'!$B$9,'4. INPUTS LIST'!$C$9, IF($G$266='4. INPUTS LIST'!$B$10,'4. INPUTS LIST'!$C$10, IF($G$266='4. INPUTS LIST'!$B$11,'4. INPUTS LIST'!$C$11, IF($G$266='4. INPUTS LIST'!$B$12,'4. INPUTS LIST'!$C$12))))))))))</f>
        <v>market for electricity, medium voltage</v>
      </c>
      <c r="B266" s="297">
        <f>'21. THINNING'!$D$6</f>
        <v>5.6386111544186549E-3</v>
      </c>
      <c r="C266" s="3" t="s">
        <v>342</v>
      </c>
      <c r="D266" s="3" t="s">
        <v>385</v>
      </c>
      <c r="E266" s="58" t="str">
        <f>IF($A$266='4. INPUTS LIST'!$C$3,'4. INPUTS LIST'!$D$3, IF($A$266='4. INPUTS LIST'!$C$7, '4. INPUTS LIST'!$D$7, IF($A$266='4. INPUTS LIST'!$C$12,'4. INPUTS LIST'!$D$12)))</f>
        <v>electricity, medium voltage</v>
      </c>
      <c r="F266" s="3" t="s">
        <v>371</v>
      </c>
      <c r="G266" s="3" t="str">
        <f>'1. USER INPUTS'!$E$24</f>
        <v>JP</v>
      </c>
      <c r="H266" s="3" t="s">
        <v>154</v>
      </c>
      <c r="I266" s="58">
        <v>2</v>
      </c>
      <c r="J266" s="58">
        <f>IF(B266=0,"(Unknown)",LN((ABS(B266))))</f>
        <v>-5.1781174930130369</v>
      </c>
      <c r="K266" s="58">
        <f>IF(B266&gt;0,SQRT(LN(L266)),"(Unknown)")</f>
        <v>0.32603904386951327</v>
      </c>
      <c r="L266" s="90">
        <f>IF(B266&gt;0,(EXP(SQRT((LN(X266))^2+(LN(R266))^2+(LN(S266))^2+(LN(T266))^2+(LN(U266))^2+(LN(V266))^2))),"(Unknown)")</f>
        <v>1.1121570947719619</v>
      </c>
      <c r="M266" s="58">
        <v>4</v>
      </c>
      <c r="N266" s="58">
        <v>4</v>
      </c>
      <c r="O266" s="58">
        <v>1</v>
      </c>
      <c r="P266" s="58">
        <v>3</v>
      </c>
      <c r="Q266" s="58">
        <v>2</v>
      </c>
      <c r="R266" s="58">
        <f>IF(M266=1, '6. PEDIGREE MATRIX'!$B$4, IF(M266=2, '6. PEDIGREE MATRIX'!$C$4, IF(M266=3, '6. PEDIGREE MATRIX'!$D$4, IF(M266=4, '6. PEDIGREE MATRIX'!$E$4, IF(M266=5, '6. PEDIGREE MATRIX'!$F$4)))))</f>
        <v>1.0935646911485417</v>
      </c>
      <c r="S266" s="58">
        <f>IF(N266=1, '6. PEDIGREE MATRIX'!$B$6, IF(N266=2, '6. PEDIGREE MATRIX'!$C$6, IF(N266=3, '6. PEDIGREE MATRIX'!$D$6, IF(N266=4, '6. PEDIGREE MATRIX'!$E$6, IF(N266=5, '6. PEDIGREE MATRIX'!$F$6)))))</f>
        <v>1.0457364348384068</v>
      </c>
      <c r="T266" s="58">
        <f>IF(O266=1, '6. PEDIGREE MATRIX'!$B$8, IF(O266=2, '6. PEDIGREE MATRIX'!$C$8, IF(O266=3, '6. PEDIGREE MATRIX'!$D$8, IF(O266=4, '6. PEDIGREE MATRIX'!$E$8, IF(O266=5, '6. PEDIGREE MATRIX'!$F$8)))))</f>
        <v>1</v>
      </c>
      <c r="U266" s="58">
        <f>IF(P266=1, '6. PEDIGREE MATRIX'!$B$10, IF(P266=2, '6. PEDIGREE MATRIX'!$C$10, IF(P266=3, '6. PEDIGREE MATRIX'!$D$10, IF(P266=4, '6. PEDIGREE MATRIX'!$E$10, IF(P266=5, '6. PEDIGREE MATRIX'!$F$10)))))</f>
        <v>1.0100501670841679</v>
      </c>
      <c r="V266" s="58">
        <f>IF(Q266=1, '6. PEDIGREE MATRIX'!$B$12, IF(Q266=2, '6. PEDIGREE MATRIX'!$C$12, IF(Q266=3, '6. PEDIGREE MATRIX'!$D$12, IF(Q266=4, '6. PEDIGREE MATRIX'!$E$12, IF(Q266=5, '6. PEDIGREE MATRIX'!$F$12)))))</f>
        <v>1.0247973619913604</v>
      </c>
      <c r="W266" s="58">
        <v>5.9999999999999995E-4</v>
      </c>
      <c r="X266" s="63">
        <f>EXP(SQRT(W266))</f>
        <v>1.0247973619913604</v>
      </c>
    </row>
    <row r="267" spans="1:24" x14ac:dyDescent="0.3">
      <c r="A267" s="15" t="s">
        <v>158</v>
      </c>
      <c r="B267" s="297">
        <f>'21. THINNING'!$D$7</f>
        <v>0.53297308735630033</v>
      </c>
      <c r="C267" s="3" t="s">
        <v>153</v>
      </c>
      <c r="D267" s="3" t="s">
        <v>385</v>
      </c>
      <c r="E267" s="58" t="s">
        <v>159</v>
      </c>
      <c r="F267" s="3" t="s">
        <v>371</v>
      </c>
      <c r="G267" s="3" t="s">
        <v>429</v>
      </c>
      <c r="H267" s="3" t="s">
        <v>154</v>
      </c>
      <c r="I267" s="58">
        <v>2</v>
      </c>
      <c r="J267" s="58">
        <f t="shared" ref="J267:J272" si="90">IF(B267=0,"(Unknown)",LN((ABS(B267))))</f>
        <v>-0.62928434885601003</v>
      </c>
      <c r="K267" s="58">
        <f t="shared" ref="K267:K272" si="91">IF(B267&gt;0,SQRT(LN(L267)),"(Unknown)")</f>
        <v>0.32603904386951327</v>
      </c>
      <c r="L267" s="90">
        <f t="shared" ref="L267:L272" si="92">IF(B267&gt;0,(EXP(SQRT((LN(X267))^2+(LN(R267))^2+(LN(S267))^2+(LN(T267))^2+(LN(U267))^2+(LN(V267))^2))),"(Unknown)")</f>
        <v>1.1121570947719619</v>
      </c>
      <c r="M267" s="58">
        <v>4</v>
      </c>
      <c r="N267" s="58">
        <v>4</v>
      </c>
      <c r="O267" s="58">
        <v>1</v>
      </c>
      <c r="P267" s="58">
        <v>3</v>
      </c>
      <c r="Q267" s="58">
        <v>2</v>
      </c>
      <c r="R267" s="58">
        <f>IF(M267=1, '6. PEDIGREE MATRIX'!$B$4, IF(M267=2, '6. PEDIGREE MATRIX'!$C$4, IF(M267=3, '6. PEDIGREE MATRIX'!$D$4, IF(M267=4, '6. PEDIGREE MATRIX'!$E$4, IF(M267=5, '6. PEDIGREE MATRIX'!$F$4)))))</f>
        <v>1.0935646911485417</v>
      </c>
      <c r="S267" s="58">
        <f>IF(N267=1, '6. PEDIGREE MATRIX'!$B$6, IF(N267=2, '6. PEDIGREE MATRIX'!$C$6, IF(N267=3, '6. PEDIGREE MATRIX'!$D$6, IF(N267=4, '6. PEDIGREE MATRIX'!$E$6, IF(N267=5, '6. PEDIGREE MATRIX'!$F$6)))))</f>
        <v>1.0457364348384068</v>
      </c>
      <c r="T267" s="58">
        <f>IF(O267=1, '6. PEDIGREE MATRIX'!$B$8, IF(O267=2, '6. PEDIGREE MATRIX'!$C$8, IF(O267=3, '6. PEDIGREE MATRIX'!$D$8, IF(O267=4, '6. PEDIGREE MATRIX'!$E$8, IF(O267=5, '6. PEDIGREE MATRIX'!$F$8)))))</f>
        <v>1</v>
      </c>
      <c r="U267" s="58">
        <f>IF(P267=1, '6. PEDIGREE MATRIX'!$B$10, IF(P267=2, '6. PEDIGREE MATRIX'!$C$10, IF(P267=3, '6. PEDIGREE MATRIX'!$D$10, IF(P267=4, '6. PEDIGREE MATRIX'!$E$10, IF(P267=5, '6. PEDIGREE MATRIX'!$F$10)))))</f>
        <v>1.0100501670841679</v>
      </c>
      <c r="V267" s="58">
        <f>IF(Q267=1, '6. PEDIGREE MATRIX'!$B$12, IF(Q267=2, '6. PEDIGREE MATRIX'!$C$12, IF(Q267=3, '6. PEDIGREE MATRIX'!$D$12, IF(Q267=4, '6. PEDIGREE MATRIX'!$E$12, IF(Q267=5, '6. PEDIGREE MATRIX'!$F$12)))))</f>
        <v>1.0247973619913604</v>
      </c>
      <c r="W267" s="58">
        <v>5.9999999999999995E-4</v>
      </c>
      <c r="X267" s="63">
        <f>EXP(SQRT(W267))</f>
        <v>1.0247973619913604</v>
      </c>
    </row>
    <row r="268" spans="1:24" x14ac:dyDescent="0.3">
      <c r="A268" s="293" t="s">
        <v>400</v>
      </c>
      <c r="B268" s="297">
        <f>'21. THINNING'!$D$8</f>
        <v>3.7522569518475129E-5</v>
      </c>
      <c r="C268" s="3" t="s">
        <v>153</v>
      </c>
      <c r="D268" s="3" t="s">
        <v>385</v>
      </c>
      <c r="E268" s="49" t="s">
        <v>909</v>
      </c>
      <c r="F268" s="3" t="s">
        <v>371</v>
      </c>
      <c r="G268" s="3" t="s">
        <v>429</v>
      </c>
      <c r="H268" s="3" t="s">
        <v>154</v>
      </c>
      <c r="I268" s="58">
        <v>2</v>
      </c>
      <c r="J268" s="58">
        <f t="shared" si="90"/>
        <v>-10.190567952203283</v>
      </c>
      <c r="K268" s="58">
        <f t="shared" si="91"/>
        <v>0.32603904386951327</v>
      </c>
      <c r="L268" s="90">
        <f t="shared" si="92"/>
        <v>1.1121570947719619</v>
      </c>
      <c r="M268" s="58">
        <v>4</v>
      </c>
      <c r="N268" s="58">
        <v>4</v>
      </c>
      <c r="O268" s="58">
        <v>1</v>
      </c>
      <c r="P268" s="58">
        <v>3</v>
      </c>
      <c r="Q268" s="58">
        <v>2</v>
      </c>
      <c r="R268" s="58">
        <f>IF(M268=1, '6. PEDIGREE MATRIX'!$B$4, IF(M268=2, '6. PEDIGREE MATRIX'!$C$4, IF(M268=3, '6. PEDIGREE MATRIX'!$D$4, IF(M268=4, '6. PEDIGREE MATRIX'!$E$4, IF(M268=5, '6. PEDIGREE MATRIX'!$F$4)))))</f>
        <v>1.0935646911485417</v>
      </c>
      <c r="S268" s="58">
        <f>IF(N268=1, '6. PEDIGREE MATRIX'!$B$6, IF(N268=2, '6. PEDIGREE MATRIX'!$C$6, IF(N268=3, '6. PEDIGREE MATRIX'!$D$6, IF(N268=4, '6. PEDIGREE MATRIX'!$E$6, IF(N268=5, '6. PEDIGREE MATRIX'!$F$6)))))</f>
        <v>1.0457364348384068</v>
      </c>
      <c r="T268" s="58">
        <f>IF(O268=1, '6. PEDIGREE MATRIX'!$B$8, IF(O268=2, '6. PEDIGREE MATRIX'!$C$8, IF(O268=3, '6. PEDIGREE MATRIX'!$D$8, IF(O268=4, '6. PEDIGREE MATRIX'!$E$8, IF(O268=5, '6. PEDIGREE MATRIX'!$F$8)))))</f>
        <v>1</v>
      </c>
      <c r="U268" s="58">
        <f>IF(P268=1, '6. PEDIGREE MATRIX'!$B$10, IF(P268=2, '6. PEDIGREE MATRIX'!$C$10, IF(P268=3, '6. PEDIGREE MATRIX'!$D$10, IF(P268=4, '6. PEDIGREE MATRIX'!$E$10, IF(P268=5, '6. PEDIGREE MATRIX'!$F$10)))))</f>
        <v>1.0100501670841679</v>
      </c>
      <c r="V268" s="58">
        <f>IF(Q268=1, '6. PEDIGREE MATRIX'!$B$12, IF(Q268=2, '6. PEDIGREE MATRIX'!$C$12, IF(Q268=3, '6. PEDIGREE MATRIX'!$D$12, IF(Q268=4, '6. PEDIGREE MATRIX'!$E$12, IF(Q268=5, '6. PEDIGREE MATRIX'!$F$12)))))</f>
        <v>1.0247973619913604</v>
      </c>
      <c r="W268" s="58">
        <v>5.9999999999999995E-4</v>
      </c>
      <c r="X268" s="63">
        <f>EXP(SQRT(W268))</f>
        <v>1.0247973619913604</v>
      </c>
    </row>
    <row r="269" spans="1:24" x14ac:dyDescent="0.3">
      <c r="A269" s="38" t="s">
        <v>718</v>
      </c>
      <c r="B269" s="297">
        <f>'21. THINNING'!$D$9</f>
        <v>2.9964066306120425E-4</v>
      </c>
      <c r="C269" s="3" t="s">
        <v>153</v>
      </c>
      <c r="D269" s="3" t="s">
        <v>385</v>
      </c>
      <c r="E269" s="58" t="s">
        <v>910</v>
      </c>
      <c r="F269" s="3" t="s">
        <v>371</v>
      </c>
      <c r="G269" s="3" t="s">
        <v>346</v>
      </c>
      <c r="H269" s="3" t="s">
        <v>154</v>
      </c>
      <c r="I269" s="58">
        <v>2</v>
      </c>
      <c r="J269" s="58">
        <f t="shared" si="90"/>
        <v>-8.1129265910275947</v>
      </c>
      <c r="K269" s="58">
        <f t="shared" si="91"/>
        <v>0.32603904386951327</v>
      </c>
      <c r="L269" s="90">
        <f t="shared" si="92"/>
        <v>1.1121570947719619</v>
      </c>
      <c r="M269" s="58">
        <v>4</v>
      </c>
      <c r="N269" s="58">
        <v>4</v>
      </c>
      <c r="O269" s="58">
        <v>1</v>
      </c>
      <c r="P269" s="58">
        <v>3</v>
      </c>
      <c r="Q269" s="58">
        <v>2</v>
      </c>
      <c r="R269" s="58">
        <f>IF(M269=1, '6. PEDIGREE MATRIX'!$B$4, IF(M269=2, '6. PEDIGREE MATRIX'!$C$4, IF(M269=3, '6. PEDIGREE MATRIX'!$D$4, IF(M269=4, '6. PEDIGREE MATRIX'!$E$4, IF(M269=5, '6. PEDIGREE MATRIX'!$F$4)))))</f>
        <v>1.0935646911485417</v>
      </c>
      <c r="S269" s="58">
        <f>IF(N269=1, '6. PEDIGREE MATRIX'!$B$6, IF(N269=2, '6. PEDIGREE MATRIX'!$C$6, IF(N269=3, '6. PEDIGREE MATRIX'!$D$6, IF(N269=4, '6. PEDIGREE MATRIX'!$E$6, IF(N269=5, '6. PEDIGREE MATRIX'!$F$6)))))</f>
        <v>1.0457364348384068</v>
      </c>
      <c r="T269" s="58">
        <f>IF(O269=1, '6. PEDIGREE MATRIX'!$B$8, IF(O269=2, '6. PEDIGREE MATRIX'!$C$8, IF(O269=3, '6. PEDIGREE MATRIX'!$D$8, IF(O269=4, '6. PEDIGREE MATRIX'!$E$8, IF(O269=5, '6. PEDIGREE MATRIX'!$F$8)))))</f>
        <v>1</v>
      </c>
      <c r="U269" s="58">
        <f>IF(P269=1, '6. PEDIGREE MATRIX'!$B$10, IF(P269=2, '6. PEDIGREE MATRIX'!$C$10, IF(P269=3, '6. PEDIGREE MATRIX'!$D$10, IF(P269=4, '6. PEDIGREE MATRIX'!$E$10, IF(P269=5, '6. PEDIGREE MATRIX'!$F$10)))))</f>
        <v>1.0100501670841679</v>
      </c>
      <c r="V269" s="58">
        <f>IF(Q269=1, '6. PEDIGREE MATRIX'!$B$12, IF(Q269=2, '6. PEDIGREE MATRIX'!$C$12, IF(Q269=3, '6. PEDIGREE MATRIX'!$D$12, IF(Q269=4, '6. PEDIGREE MATRIX'!$E$12, IF(Q269=5, '6. PEDIGREE MATRIX'!$F$12)))))</f>
        <v>1.0247973619913604</v>
      </c>
      <c r="W269" s="58">
        <v>5.9999999999999995E-4</v>
      </c>
      <c r="X269" s="63">
        <f>EXP(SQRT(W269))</f>
        <v>1.0247973619913604</v>
      </c>
    </row>
    <row r="270" spans="1:24" x14ac:dyDescent="0.3">
      <c r="A270" s="116" t="s">
        <v>961</v>
      </c>
      <c r="B270" s="297">
        <f>'24. WAFER FAB'!$D$61</f>
        <v>-1.3732630568494202E-4</v>
      </c>
      <c r="C270" s="112" t="s">
        <v>1845</v>
      </c>
      <c r="D270" s="244" t="s">
        <v>385</v>
      </c>
      <c r="E270" s="522" t="s">
        <v>1844</v>
      </c>
      <c r="F270" s="244" t="s">
        <v>371</v>
      </c>
      <c r="G270" s="244" t="s">
        <v>429</v>
      </c>
      <c r="H270" s="244" t="s">
        <v>154</v>
      </c>
      <c r="I270" s="522">
        <v>2</v>
      </c>
      <c r="J270" s="522">
        <f t="shared" si="90"/>
        <v>-8.8931506707892236</v>
      </c>
      <c r="K270" s="522" t="str">
        <f t="shared" si="91"/>
        <v>(Unknown)</v>
      </c>
      <c r="L270" s="523" t="str">
        <f t="shared" si="92"/>
        <v>(Unknown)</v>
      </c>
      <c r="M270" s="522">
        <v>4</v>
      </c>
      <c r="N270" s="522">
        <v>4</v>
      </c>
      <c r="O270" s="522">
        <v>1</v>
      </c>
      <c r="P270" s="522">
        <v>3</v>
      </c>
      <c r="Q270" s="522">
        <v>2</v>
      </c>
      <c r="R270" s="522">
        <f>IF(M270=1, '6. PEDIGREE MATRIX'!$B$4, IF(M270=2, '6. PEDIGREE MATRIX'!$C$4, IF(M270=3, '6. PEDIGREE MATRIX'!$D$4, IF(M270=4, '6. PEDIGREE MATRIX'!$E$4, IF(M270=5, '6. PEDIGREE MATRIX'!$F$4)))))</f>
        <v>1.0935646911485417</v>
      </c>
      <c r="S270" s="522">
        <f>IF(N270=1, '6. PEDIGREE MATRIX'!$B$6, IF(N270=2, '6. PEDIGREE MATRIX'!$C$6, IF(N270=3, '6. PEDIGREE MATRIX'!$D$6, IF(N270=4, '6. PEDIGREE MATRIX'!$E$6, IF(N270=5, '6. PEDIGREE MATRIX'!$F$6)))))</f>
        <v>1.0457364348384068</v>
      </c>
      <c r="T270" s="522">
        <f>IF(O270=1, '6. PEDIGREE MATRIX'!$B$8, IF(O270=2, '6. PEDIGREE MATRIX'!$C$8, IF(O270=3, '6. PEDIGREE MATRIX'!$D$8, IF(O270=4, '6. PEDIGREE MATRIX'!$E$8, IF(O270=5, '6. PEDIGREE MATRIX'!$F$8)))))</f>
        <v>1</v>
      </c>
      <c r="U270" s="522">
        <f>IF(P270=1, '6. PEDIGREE MATRIX'!$B$10, IF(P270=2, '6. PEDIGREE MATRIX'!$C$10, IF(P270=3, '6. PEDIGREE MATRIX'!$D$10, IF(P270=4, '6. PEDIGREE MATRIX'!$E$10, IF(P270=5, '6. PEDIGREE MATRIX'!$F$10)))))</f>
        <v>1.0100501670841679</v>
      </c>
      <c r="V270" s="522">
        <f>IF(Q270=1, '6. PEDIGREE MATRIX'!$B$12, IF(Q270=2, '6. PEDIGREE MATRIX'!$C$12, IF(Q270=3, '6. PEDIGREE MATRIX'!$D$12, IF(Q270=4, '6. PEDIGREE MATRIX'!$E$12, IF(Q270=5, '6. PEDIGREE MATRIX'!$F$12)))))</f>
        <v>1.0247973619913604</v>
      </c>
      <c r="W270" s="522">
        <v>5.9999999999999995E-4</v>
      </c>
      <c r="X270" s="524">
        <f t="shared" ref="X270:X272" si="93">EXP(SQRT(W270))</f>
        <v>1.0247973619913604</v>
      </c>
    </row>
    <row r="271" spans="1:24" x14ac:dyDescent="0.3">
      <c r="A271" s="726" t="s">
        <v>1956</v>
      </c>
      <c r="B271" s="297">
        <f>'24. WAFER FAB'!$D$62</f>
        <v>-5.3297308735630032E-4</v>
      </c>
      <c r="C271" s="112" t="s">
        <v>521</v>
      </c>
      <c r="D271" s="244" t="s">
        <v>385</v>
      </c>
      <c r="E271" s="522" t="s">
        <v>1957</v>
      </c>
      <c r="F271" s="244" t="s">
        <v>371</v>
      </c>
      <c r="G271" s="244" t="s">
        <v>429</v>
      </c>
      <c r="H271" s="244" t="s">
        <v>154</v>
      </c>
      <c r="I271" s="522">
        <v>2</v>
      </c>
      <c r="J271" s="522">
        <f t="shared" si="90"/>
        <v>-7.5370396278381468</v>
      </c>
      <c r="K271" s="522" t="str">
        <f t="shared" si="91"/>
        <v>(Unknown)</v>
      </c>
      <c r="L271" s="523" t="str">
        <f t="shared" si="92"/>
        <v>(Unknown)</v>
      </c>
      <c r="M271" s="522">
        <v>4</v>
      </c>
      <c r="N271" s="522">
        <v>4</v>
      </c>
      <c r="O271" s="522">
        <v>1</v>
      </c>
      <c r="P271" s="522">
        <v>3</v>
      </c>
      <c r="Q271" s="522">
        <v>2</v>
      </c>
      <c r="R271" s="522">
        <f>IF(M271=1, '6. PEDIGREE MATRIX'!$B$4, IF(M271=2, '6. PEDIGREE MATRIX'!$C$4, IF(M271=3, '6. PEDIGREE MATRIX'!$D$4, IF(M271=4, '6. PEDIGREE MATRIX'!$E$4, IF(M271=5, '6. PEDIGREE MATRIX'!$F$4)))))</f>
        <v>1.0935646911485417</v>
      </c>
      <c r="S271" s="522">
        <f>IF(N271=1, '6. PEDIGREE MATRIX'!$B$6, IF(N271=2, '6. PEDIGREE MATRIX'!$C$6, IF(N271=3, '6. PEDIGREE MATRIX'!$D$6, IF(N271=4, '6. PEDIGREE MATRIX'!$E$6, IF(N271=5, '6. PEDIGREE MATRIX'!$F$6)))))</f>
        <v>1.0457364348384068</v>
      </c>
      <c r="T271" s="522">
        <f>IF(O271=1, '6. PEDIGREE MATRIX'!$B$8, IF(O271=2, '6. PEDIGREE MATRIX'!$C$8, IF(O271=3, '6. PEDIGREE MATRIX'!$D$8, IF(O271=4, '6. PEDIGREE MATRIX'!$E$8, IF(O271=5, '6. PEDIGREE MATRIX'!$F$8)))))</f>
        <v>1</v>
      </c>
      <c r="U271" s="522">
        <f>IF(P271=1, '6. PEDIGREE MATRIX'!$B$10, IF(P271=2, '6. PEDIGREE MATRIX'!$C$10, IF(P271=3, '6. PEDIGREE MATRIX'!$D$10, IF(P271=4, '6. PEDIGREE MATRIX'!$E$10, IF(P271=5, '6. PEDIGREE MATRIX'!$F$10)))))</f>
        <v>1.0100501670841679</v>
      </c>
      <c r="V271" s="522">
        <f>IF(Q271=1, '6. PEDIGREE MATRIX'!$B$12, IF(Q271=2, '6. PEDIGREE MATRIX'!$C$12, IF(Q271=3, '6. PEDIGREE MATRIX'!$D$12, IF(Q271=4, '6. PEDIGREE MATRIX'!$E$12, IF(Q271=5, '6. PEDIGREE MATRIX'!$F$12)))))</f>
        <v>1.0247973619913604</v>
      </c>
      <c r="W271" s="522">
        <v>5.9999999999999995E-4</v>
      </c>
      <c r="X271" s="524">
        <f t="shared" si="93"/>
        <v>1.0247973619913604</v>
      </c>
    </row>
    <row r="272" spans="1:24" x14ac:dyDescent="0.3">
      <c r="A272" s="112" t="s">
        <v>1968</v>
      </c>
      <c r="B272" s="297">
        <f>'24. WAFER FAB'!$D$63</f>
        <v>-2.6648654367815016E-4</v>
      </c>
      <c r="C272" s="112" t="s">
        <v>521</v>
      </c>
      <c r="D272" s="244" t="s">
        <v>385</v>
      </c>
      <c r="E272" s="522" t="s">
        <v>1969</v>
      </c>
      <c r="F272" s="244" t="s">
        <v>371</v>
      </c>
      <c r="G272" s="244" t="s">
        <v>429</v>
      </c>
      <c r="H272" s="244" t="s">
        <v>154</v>
      </c>
      <c r="I272" s="522">
        <v>2</v>
      </c>
      <c r="J272" s="522">
        <f t="shared" si="90"/>
        <v>-8.2301868083980931</v>
      </c>
      <c r="K272" s="522" t="str">
        <f t="shared" si="91"/>
        <v>(Unknown)</v>
      </c>
      <c r="L272" s="523" t="str">
        <f t="shared" si="92"/>
        <v>(Unknown)</v>
      </c>
      <c r="M272" s="522">
        <v>4</v>
      </c>
      <c r="N272" s="522">
        <v>4</v>
      </c>
      <c r="O272" s="522">
        <v>1</v>
      </c>
      <c r="P272" s="522">
        <v>3</v>
      </c>
      <c r="Q272" s="522">
        <v>2</v>
      </c>
      <c r="R272" s="522">
        <f>IF(M272=1, '6. PEDIGREE MATRIX'!$B$4, IF(M272=2, '6. PEDIGREE MATRIX'!$C$4, IF(M272=3, '6. PEDIGREE MATRIX'!$D$4, IF(M272=4, '6. PEDIGREE MATRIX'!$E$4, IF(M272=5, '6. PEDIGREE MATRIX'!$F$4)))))</f>
        <v>1.0935646911485417</v>
      </c>
      <c r="S272" s="522">
        <f>IF(N272=1, '6. PEDIGREE MATRIX'!$B$6, IF(N272=2, '6. PEDIGREE MATRIX'!$C$6, IF(N272=3, '6. PEDIGREE MATRIX'!$D$6, IF(N272=4, '6. PEDIGREE MATRIX'!$E$6, IF(N272=5, '6. PEDIGREE MATRIX'!$F$6)))))</f>
        <v>1.0457364348384068</v>
      </c>
      <c r="T272" s="522">
        <f>IF(O272=1, '6. PEDIGREE MATRIX'!$B$8, IF(O272=2, '6. PEDIGREE MATRIX'!$C$8, IF(O272=3, '6. PEDIGREE MATRIX'!$D$8, IF(O272=4, '6. PEDIGREE MATRIX'!$E$8, IF(O272=5, '6. PEDIGREE MATRIX'!$F$8)))))</f>
        <v>1</v>
      </c>
      <c r="U272" s="522">
        <f>IF(P272=1, '6. PEDIGREE MATRIX'!$B$10, IF(P272=2, '6. PEDIGREE MATRIX'!$C$10, IF(P272=3, '6. PEDIGREE MATRIX'!$D$10, IF(P272=4, '6. PEDIGREE MATRIX'!$E$10, IF(P272=5, '6. PEDIGREE MATRIX'!$F$10)))))</f>
        <v>1.0100501670841679</v>
      </c>
      <c r="V272" s="522">
        <f>IF(Q272=1, '6. PEDIGREE MATRIX'!$B$12, IF(Q272=2, '6. PEDIGREE MATRIX'!$C$12, IF(Q272=3, '6. PEDIGREE MATRIX'!$D$12, IF(Q272=4, '6. PEDIGREE MATRIX'!$E$12, IF(Q272=5, '6. PEDIGREE MATRIX'!$F$12)))))</f>
        <v>1.0247973619913604</v>
      </c>
      <c r="W272" s="522">
        <v>5.9999999999999995E-4</v>
      </c>
      <c r="X272" s="524">
        <f t="shared" si="93"/>
        <v>1.0247973619913604</v>
      </c>
    </row>
    <row r="273" spans="1:24" ht="15" thickBot="1" x14ac:dyDescent="0.35">
      <c r="A273" s="70" t="str">
        <f>B257</f>
        <v>THINNING</v>
      </c>
      <c r="B273" s="71">
        <v>1</v>
      </c>
      <c r="C273" s="72" t="s">
        <v>224</v>
      </c>
      <c r="D273" s="72" t="str">
        <f>$B$1</f>
        <v>IGBT LCI dtb</v>
      </c>
      <c r="E273" s="71" t="str">
        <f>B261</f>
        <v>Processed cm² of Si IGBT good die</v>
      </c>
      <c r="F273" s="72" t="s">
        <v>371</v>
      </c>
      <c r="G273" s="72" t="s">
        <v>156</v>
      </c>
      <c r="H273" s="72" t="s">
        <v>383</v>
      </c>
      <c r="I273" s="71">
        <v>0</v>
      </c>
      <c r="J273" s="71" t="s">
        <v>371</v>
      </c>
      <c r="K273" s="71" t="s">
        <v>371</v>
      </c>
      <c r="L273" s="91" t="s">
        <v>371</v>
      </c>
      <c r="M273" s="89">
        <v>0</v>
      </c>
      <c r="N273" s="89">
        <v>0</v>
      </c>
      <c r="O273" s="89">
        <v>0</v>
      </c>
      <c r="P273" s="89">
        <v>0</v>
      </c>
      <c r="Q273" s="89">
        <v>0</v>
      </c>
      <c r="R273" s="89">
        <v>0</v>
      </c>
      <c r="S273" s="89">
        <v>0</v>
      </c>
      <c r="T273" s="89">
        <v>0</v>
      </c>
      <c r="U273" s="89">
        <v>0</v>
      </c>
      <c r="V273" s="89">
        <v>0</v>
      </c>
      <c r="W273" s="89">
        <v>0</v>
      </c>
      <c r="X273" s="92">
        <v>0</v>
      </c>
    </row>
    <row r="275" spans="1:24" ht="15" thickBot="1" x14ac:dyDescent="0.35"/>
    <row r="276" spans="1:24" s="14" customFormat="1" ht="30" customHeight="1" thickBot="1" x14ac:dyDescent="0.35">
      <c r="A276" s="178" t="s">
        <v>326</v>
      </c>
      <c r="B276" s="179" t="s">
        <v>1498</v>
      </c>
      <c r="C276" s="180"/>
      <c r="D276" s="180"/>
      <c r="E276" s="181"/>
      <c r="F276" s="180"/>
      <c r="G276" s="180"/>
      <c r="H276" s="180"/>
      <c r="I276" s="181"/>
      <c r="J276" s="181"/>
      <c r="K276" s="181"/>
      <c r="L276" s="181"/>
      <c r="M276" s="181"/>
      <c r="N276" s="181"/>
      <c r="O276" s="181"/>
      <c r="P276" s="181"/>
      <c r="Q276" s="181"/>
      <c r="R276" s="181"/>
      <c r="S276" s="181"/>
      <c r="T276" s="181"/>
      <c r="U276" s="181"/>
      <c r="V276" s="181"/>
      <c r="W276" s="181"/>
      <c r="X276" s="182"/>
    </row>
    <row r="277" spans="1:24" x14ac:dyDescent="0.3">
      <c r="A277" s="54" t="s">
        <v>163</v>
      </c>
      <c r="B277" s="56" t="s">
        <v>371</v>
      </c>
      <c r="C277" s="56"/>
      <c r="D277" s="56"/>
      <c r="E277" s="61"/>
      <c r="F277" s="56"/>
      <c r="G277" s="56"/>
      <c r="H277" s="56"/>
      <c r="I277" s="61"/>
      <c r="J277" s="61"/>
      <c r="K277" s="61"/>
      <c r="L277" s="61"/>
      <c r="M277" s="61"/>
      <c r="N277" s="61"/>
      <c r="O277" s="61"/>
      <c r="P277" s="61"/>
      <c r="Q277" s="61"/>
      <c r="R277" s="61"/>
      <c r="S277" s="61"/>
      <c r="T277" s="61"/>
      <c r="U277" s="61"/>
      <c r="V277" s="61"/>
      <c r="W277" s="61"/>
      <c r="X277" s="62"/>
    </row>
    <row r="278" spans="1:24" x14ac:dyDescent="0.3">
      <c r="A278" s="54" t="s">
        <v>227</v>
      </c>
      <c r="B278" s="56" t="s">
        <v>156</v>
      </c>
      <c r="C278" s="56"/>
      <c r="D278" s="56"/>
      <c r="E278" s="61"/>
      <c r="F278" s="56"/>
      <c r="G278" s="56"/>
      <c r="H278" s="56"/>
      <c r="I278" s="61"/>
      <c r="J278" s="61"/>
      <c r="K278" s="61"/>
      <c r="L278" s="61"/>
      <c r="M278" s="61"/>
      <c r="N278" s="61"/>
      <c r="O278" s="61"/>
      <c r="P278" s="61"/>
      <c r="Q278" s="61"/>
      <c r="R278" s="61"/>
      <c r="S278" s="61"/>
      <c r="T278" s="61"/>
      <c r="U278" s="61"/>
      <c r="V278" s="61"/>
      <c r="W278" s="61"/>
      <c r="X278" s="62"/>
    </row>
    <row r="279" spans="1:24" x14ac:dyDescent="0.3">
      <c r="A279" s="54" t="s">
        <v>428</v>
      </c>
      <c r="B279" s="61">
        <v>1</v>
      </c>
      <c r="C279" s="56"/>
      <c r="D279" s="56"/>
      <c r="E279" s="61"/>
      <c r="F279" s="56"/>
      <c r="G279" s="56"/>
      <c r="H279" s="56"/>
      <c r="I279" s="61"/>
      <c r="J279" s="61"/>
      <c r="K279" s="61"/>
      <c r="L279" s="61"/>
      <c r="M279" s="61"/>
      <c r="N279" s="61"/>
      <c r="O279" s="61"/>
      <c r="P279" s="61"/>
      <c r="Q279" s="61"/>
      <c r="R279" s="61"/>
      <c r="S279" s="61"/>
      <c r="T279" s="61"/>
      <c r="U279" s="61"/>
      <c r="V279" s="61"/>
      <c r="W279" s="61"/>
      <c r="X279" s="62"/>
    </row>
    <row r="280" spans="1:24" x14ac:dyDescent="0.3">
      <c r="A280" s="54" t="s">
        <v>147</v>
      </c>
      <c r="B280" s="56" t="s">
        <v>717</v>
      </c>
      <c r="C280" s="56"/>
      <c r="D280" s="56"/>
      <c r="E280" s="61"/>
      <c r="F280" s="56"/>
      <c r="G280" s="56"/>
      <c r="H280" s="56"/>
      <c r="I280" s="61"/>
      <c r="J280" s="61"/>
      <c r="K280" s="61"/>
      <c r="L280" s="61"/>
      <c r="M280" s="61"/>
      <c r="N280" s="61"/>
      <c r="O280" s="61"/>
      <c r="P280" s="61"/>
      <c r="Q280" s="61"/>
      <c r="R280" s="61"/>
      <c r="S280" s="61"/>
      <c r="T280" s="61"/>
      <c r="U280" s="61"/>
      <c r="V280" s="61"/>
      <c r="W280" s="61"/>
      <c r="X280" s="62"/>
    </row>
    <row r="281" spans="1:24" x14ac:dyDescent="0.3">
      <c r="A281" s="54" t="s">
        <v>327</v>
      </c>
      <c r="B281" s="61" t="s">
        <v>134</v>
      </c>
      <c r="C281" s="56"/>
      <c r="D281" s="56"/>
      <c r="E281" s="61"/>
      <c r="F281" s="56"/>
      <c r="G281" s="56"/>
      <c r="H281" s="56"/>
      <c r="I281" s="61"/>
      <c r="J281" s="61"/>
      <c r="K281" s="61"/>
      <c r="L281" s="61"/>
      <c r="M281" s="61"/>
      <c r="N281" s="61"/>
      <c r="O281" s="61"/>
      <c r="P281" s="61"/>
      <c r="Q281" s="61"/>
      <c r="R281" s="61"/>
      <c r="S281" s="61"/>
      <c r="T281" s="61"/>
      <c r="U281" s="61"/>
      <c r="V281" s="61"/>
      <c r="W281" s="61"/>
      <c r="X281" s="62"/>
    </row>
    <row r="282" spans="1:24" x14ac:dyDescent="0.3">
      <c r="A282" s="54" t="s">
        <v>224</v>
      </c>
      <c r="B282" s="56" t="s">
        <v>224</v>
      </c>
      <c r="C282" s="56"/>
      <c r="D282" s="56"/>
      <c r="E282" s="61"/>
      <c r="F282" s="56"/>
      <c r="G282" s="56"/>
      <c r="H282" s="56"/>
      <c r="I282" s="61"/>
      <c r="J282" s="61"/>
      <c r="K282" s="61"/>
      <c r="L282" s="61"/>
      <c r="M282" s="61"/>
      <c r="N282" s="61"/>
      <c r="O282" s="61"/>
      <c r="P282" s="61"/>
      <c r="Q282" s="61"/>
      <c r="R282" s="61"/>
      <c r="S282" s="61"/>
      <c r="T282" s="61"/>
      <c r="U282" s="61"/>
      <c r="V282" s="61"/>
      <c r="W282" s="61"/>
      <c r="X282" s="62"/>
    </row>
    <row r="283" spans="1:24" ht="15.6" x14ac:dyDescent="0.3">
      <c r="A283" s="55" t="s">
        <v>328</v>
      </c>
      <c r="B283" s="61"/>
      <c r="C283" s="56"/>
      <c r="D283" s="56"/>
      <c r="E283" s="61"/>
      <c r="F283" s="56"/>
      <c r="G283" s="56"/>
      <c r="H283" s="56"/>
      <c r="I283" s="61"/>
      <c r="J283" s="61"/>
      <c r="K283" s="61"/>
      <c r="L283" s="61"/>
      <c r="M283" s="61"/>
      <c r="N283" s="61"/>
      <c r="O283" s="61"/>
      <c r="P283" s="61"/>
      <c r="Q283" s="61"/>
      <c r="R283" s="61"/>
      <c r="S283" s="61"/>
      <c r="T283" s="61"/>
      <c r="U283" s="61"/>
      <c r="V283" s="61"/>
      <c r="W283" s="61"/>
      <c r="X283" s="62"/>
    </row>
    <row r="284" spans="1:24" x14ac:dyDescent="0.3">
      <c r="A284" s="54" t="s">
        <v>329</v>
      </c>
      <c r="B284" s="61" t="s">
        <v>330</v>
      </c>
      <c r="C284" s="56" t="s">
        <v>224</v>
      </c>
      <c r="D284" s="56" t="s">
        <v>331</v>
      </c>
      <c r="E284" s="61" t="s">
        <v>147</v>
      </c>
      <c r="F284" s="56" t="s">
        <v>332</v>
      </c>
      <c r="G284" s="56" t="s">
        <v>227</v>
      </c>
      <c r="H284" s="56" t="s">
        <v>327</v>
      </c>
      <c r="I284" s="61" t="s">
        <v>372</v>
      </c>
      <c r="J284" s="61" t="s">
        <v>373</v>
      </c>
      <c r="K284" s="61" t="s">
        <v>374</v>
      </c>
      <c r="L284" s="61" t="s">
        <v>148</v>
      </c>
      <c r="M284" s="61" t="s">
        <v>585</v>
      </c>
      <c r="N284" s="61" t="s">
        <v>586</v>
      </c>
      <c r="O284" s="61" t="s">
        <v>587</v>
      </c>
      <c r="P284" s="61" t="s">
        <v>220</v>
      </c>
      <c r="Q284" s="61" t="s">
        <v>588</v>
      </c>
      <c r="R284" s="61" t="s">
        <v>590</v>
      </c>
      <c r="S284" s="61" t="s">
        <v>591</v>
      </c>
      <c r="T284" s="61" t="s">
        <v>592</v>
      </c>
      <c r="U284" s="61" t="s">
        <v>593</v>
      </c>
      <c r="V284" s="61" t="s">
        <v>594</v>
      </c>
      <c r="W284" s="61" t="s">
        <v>595</v>
      </c>
      <c r="X284" s="62" t="s">
        <v>589</v>
      </c>
    </row>
    <row r="285" spans="1:24" x14ac:dyDescent="0.3">
      <c r="A285" s="285" t="str">
        <f>IF($G$285='4. INPUTS LIST'!$B$3,'4. INPUTS LIST'!$C$3, IF($G$285='4. INPUTS LIST'!$B$4,'4. INPUTS LIST'!$C$4, IF($G$285='4. INPUTS LIST'!$B$5,'4. INPUTS LIST'!$C$5, IF($G$285='4. INPUTS LIST'!$B$6,'4. INPUTS LIST'!$C$6, IF($G$285='4. INPUTS LIST'!$B$7,'4. INPUTS LIST'!$C$7, IF($G$285='4. INPUTS LIST'!$B$8,'4. INPUTS LIST'!$C$8, IF($G$285='4. INPUTS LIST'!$B$9,'4. INPUTS LIST'!$C$9, IF($G$285='4. INPUTS LIST'!$B$10,'4. INPUTS LIST'!$C$10, IF($G$285='4. INPUTS LIST'!$B$11,'4. INPUTS LIST'!$C$11, IF($G$285='4. INPUTS LIST'!$B$12,'4. INPUTS LIST'!$C$12))))))))))</f>
        <v>market for electricity, medium voltage</v>
      </c>
      <c r="B285" s="297">
        <f>'22. DICING'!$D$6</f>
        <v>6.2121787992343233E-3</v>
      </c>
      <c r="C285" s="3" t="s">
        <v>342</v>
      </c>
      <c r="D285" s="3" t="s">
        <v>385</v>
      </c>
      <c r="E285" s="58" t="str">
        <f>IF($A$266='4. INPUTS LIST'!$C$3,'4. INPUTS LIST'!$D$3, IF($A$266='4. INPUTS LIST'!$C$7, '4. INPUTS LIST'!$D$7, IF($A$266='4. INPUTS LIST'!$C$12,'4. INPUTS LIST'!$D$12)))</f>
        <v>electricity, medium voltage</v>
      </c>
      <c r="F285" s="3" t="s">
        <v>371</v>
      </c>
      <c r="G285" s="3" t="str">
        <f>'1. USER INPUTS'!$E$24</f>
        <v>JP</v>
      </c>
      <c r="H285" s="3" t="s">
        <v>154</v>
      </c>
      <c r="I285" s="58">
        <v>2</v>
      </c>
      <c r="J285" s="58">
        <f>IF(B285=0,"(Unknown)",LN((ABS(B285))))</f>
        <v>-5.0812435912325293</v>
      </c>
      <c r="K285" s="58">
        <f>IF(B285&gt;0,SQRT(LN(L285)),"(Unknown)")</f>
        <v>0.32603904386951327</v>
      </c>
      <c r="L285" s="90">
        <f>IF(B285&gt;0,(EXP(SQRT((LN(X285))^2+(LN(R285))^2+(LN(S285))^2+(LN(T285))^2+(LN(U285))^2+(LN(V285))^2))),"(Unknown)")</f>
        <v>1.1121570947719619</v>
      </c>
      <c r="M285" s="58">
        <v>4</v>
      </c>
      <c r="N285" s="58">
        <v>4</v>
      </c>
      <c r="O285" s="58">
        <v>1</v>
      </c>
      <c r="P285" s="58">
        <v>3</v>
      </c>
      <c r="Q285" s="58">
        <v>2</v>
      </c>
      <c r="R285" s="58">
        <f>IF(M285=1, '6. PEDIGREE MATRIX'!$B$4, IF(M285=2, '6. PEDIGREE MATRIX'!$C$4, IF(M285=3, '6. PEDIGREE MATRIX'!$D$4, IF(M285=4, '6. PEDIGREE MATRIX'!$E$4, IF(M285=5, '6. PEDIGREE MATRIX'!$F$4)))))</f>
        <v>1.0935646911485417</v>
      </c>
      <c r="S285" s="58">
        <f>IF(N285=1, '6. PEDIGREE MATRIX'!$B$6, IF(N285=2, '6. PEDIGREE MATRIX'!$C$6, IF(N285=3, '6. PEDIGREE MATRIX'!$D$6, IF(N285=4, '6. PEDIGREE MATRIX'!$E$6, IF(N285=5, '6. PEDIGREE MATRIX'!$F$6)))))</f>
        <v>1.0457364348384068</v>
      </c>
      <c r="T285" s="58">
        <f>IF(O285=1, '6. PEDIGREE MATRIX'!$B$8, IF(O285=2, '6. PEDIGREE MATRIX'!$C$8, IF(O285=3, '6. PEDIGREE MATRIX'!$D$8, IF(O285=4, '6. PEDIGREE MATRIX'!$E$8, IF(O285=5, '6. PEDIGREE MATRIX'!$F$8)))))</f>
        <v>1</v>
      </c>
      <c r="U285" s="58">
        <f>IF(P285=1, '6. PEDIGREE MATRIX'!$B$10, IF(P285=2, '6. PEDIGREE MATRIX'!$C$10, IF(P285=3, '6. PEDIGREE MATRIX'!$D$10, IF(P285=4, '6. PEDIGREE MATRIX'!$E$10, IF(P285=5, '6. PEDIGREE MATRIX'!$F$10)))))</f>
        <v>1.0100501670841679</v>
      </c>
      <c r="V285" s="58">
        <f>IF(Q285=1, '6. PEDIGREE MATRIX'!$B$12, IF(Q285=2, '6. PEDIGREE MATRIX'!$C$12, IF(Q285=3, '6. PEDIGREE MATRIX'!$D$12, IF(Q285=4, '6. PEDIGREE MATRIX'!$E$12, IF(Q285=5, '6. PEDIGREE MATRIX'!$F$12)))))</f>
        <v>1.0247973619913604</v>
      </c>
      <c r="W285" s="58">
        <v>5.9999999999999995E-4</v>
      </c>
      <c r="X285" s="63">
        <f>EXP(SQRT(W285))</f>
        <v>1.0247973619913604</v>
      </c>
    </row>
    <row r="286" spans="1:24" x14ac:dyDescent="0.3">
      <c r="A286" s="285" t="s">
        <v>158</v>
      </c>
      <c r="B286" s="297">
        <f>'22. DICING'!$D$7</f>
        <v>0.24326790338804904</v>
      </c>
      <c r="C286" s="3" t="s">
        <v>153</v>
      </c>
      <c r="D286" s="3" t="s">
        <v>385</v>
      </c>
      <c r="E286" s="58" t="s">
        <v>159</v>
      </c>
      <c r="F286" s="3" t="s">
        <v>371</v>
      </c>
      <c r="G286" s="3" t="s">
        <v>429</v>
      </c>
      <c r="H286" s="3" t="s">
        <v>154</v>
      </c>
      <c r="I286" s="58">
        <v>2</v>
      </c>
      <c r="J286" s="58">
        <f t="shared" ref="J286:J287" si="94">IF(B286=0,"(Unknown)",LN((ABS(B286))))</f>
        <v>-1.4135919598513575</v>
      </c>
      <c r="K286" s="58">
        <f t="shared" ref="K286:K287" si="95">IF(B286&gt;0,SQRT(LN(L286)),"(Unknown)")</f>
        <v>0.32603904386951327</v>
      </c>
      <c r="L286" s="90">
        <f t="shared" ref="L286:L287" si="96">IF(B286&gt;0,(EXP(SQRT((LN(X286))^2+(LN(R286))^2+(LN(S286))^2+(LN(T286))^2+(LN(U286))^2+(LN(V286))^2))),"(Unknown)")</f>
        <v>1.1121570947719619</v>
      </c>
      <c r="M286" s="58">
        <v>4</v>
      </c>
      <c r="N286" s="58">
        <v>4</v>
      </c>
      <c r="O286" s="58">
        <v>1</v>
      </c>
      <c r="P286" s="58">
        <v>3</v>
      </c>
      <c r="Q286" s="58">
        <v>2</v>
      </c>
      <c r="R286" s="58">
        <f>IF(M286=1, '6. PEDIGREE MATRIX'!$B$4, IF(M286=2, '6. PEDIGREE MATRIX'!$C$4, IF(M286=3, '6. PEDIGREE MATRIX'!$D$4, IF(M286=4, '6. PEDIGREE MATRIX'!$E$4, IF(M286=5, '6. PEDIGREE MATRIX'!$F$4)))))</f>
        <v>1.0935646911485417</v>
      </c>
      <c r="S286" s="58">
        <f>IF(N286=1, '6. PEDIGREE MATRIX'!$B$6, IF(N286=2, '6. PEDIGREE MATRIX'!$C$6, IF(N286=3, '6. PEDIGREE MATRIX'!$D$6, IF(N286=4, '6. PEDIGREE MATRIX'!$E$6, IF(N286=5, '6. PEDIGREE MATRIX'!$F$6)))))</f>
        <v>1.0457364348384068</v>
      </c>
      <c r="T286" s="58">
        <f>IF(O286=1, '6. PEDIGREE MATRIX'!$B$8, IF(O286=2, '6. PEDIGREE MATRIX'!$C$8, IF(O286=3, '6. PEDIGREE MATRIX'!$D$8, IF(O286=4, '6. PEDIGREE MATRIX'!$E$8, IF(O286=5, '6. PEDIGREE MATRIX'!$F$8)))))</f>
        <v>1</v>
      </c>
      <c r="U286" s="58">
        <f>IF(P286=1, '6. PEDIGREE MATRIX'!$B$10, IF(P286=2, '6. PEDIGREE MATRIX'!$C$10, IF(P286=3, '6. PEDIGREE MATRIX'!$D$10, IF(P286=4, '6. PEDIGREE MATRIX'!$E$10, IF(P286=5, '6. PEDIGREE MATRIX'!$F$10)))))</f>
        <v>1.0100501670841679</v>
      </c>
      <c r="V286" s="58">
        <f>IF(Q286=1, '6. PEDIGREE MATRIX'!$B$12, IF(Q286=2, '6. PEDIGREE MATRIX'!$C$12, IF(Q286=3, '6. PEDIGREE MATRIX'!$D$12, IF(Q286=4, '6. PEDIGREE MATRIX'!$E$12, IF(Q286=5, '6. PEDIGREE MATRIX'!$F$12)))))</f>
        <v>1.0247973619913604</v>
      </c>
      <c r="W286" s="58">
        <v>5.9999999999999995E-4</v>
      </c>
      <c r="X286" s="63">
        <f>EXP(SQRT(W286))</f>
        <v>1.0247973619913604</v>
      </c>
    </row>
    <row r="287" spans="1:24" x14ac:dyDescent="0.3">
      <c r="A287" s="15" t="s">
        <v>404</v>
      </c>
      <c r="B287" s="297">
        <f>'22. DICING'!$D$8</f>
        <v>5.0123404213100309E-5</v>
      </c>
      <c r="C287" s="3" t="s">
        <v>153</v>
      </c>
      <c r="D287" s="3" t="s">
        <v>385</v>
      </c>
      <c r="E287" s="58" t="s">
        <v>911</v>
      </c>
      <c r="F287" s="3" t="s">
        <v>371</v>
      </c>
      <c r="G287" s="3" t="s">
        <v>346</v>
      </c>
      <c r="H287" s="3" t="s">
        <v>154</v>
      </c>
      <c r="I287" s="58">
        <v>2</v>
      </c>
      <c r="J287" s="58">
        <f t="shared" si="94"/>
        <v>-9.9010225089919466</v>
      </c>
      <c r="K287" s="58">
        <f t="shared" si="95"/>
        <v>0.32603904386951327</v>
      </c>
      <c r="L287" s="90">
        <f t="shared" si="96"/>
        <v>1.1121570947719619</v>
      </c>
      <c r="M287" s="58">
        <v>4</v>
      </c>
      <c r="N287" s="58">
        <v>4</v>
      </c>
      <c r="O287" s="58">
        <v>1</v>
      </c>
      <c r="P287" s="58">
        <v>3</v>
      </c>
      <c r="Q287" s="58">
        <v>2</v>
      </c>
      <c r="R287" s="58">
        <f>IF(M287=1, '6. PEDIGREE MATRIX'!$B$4, IF(M287=2, '6. PEDIGREE MATRIX'!$C$4, IF(M287=3, '6. PEDIGREE MATRIX'!$D$4, IF(M287=4, '6. PEDIGREE MATRIX'!$E$4, IF(M287=5, '6. PEDIGREE MATRIX'!$F$4)))))</f>
        <v>1.0935646911485417</v>
      </c>
      <c r="S287" s="58">
        <f>IF(N287=1, '6. PEDIGREE MATRIX'!$B$6, IF(N287=2, '6. PEDIGREE MATRIX'!$C$6, IF(N287=3, '6. PEDIGREE MATRIX'!$D$6, IF(N287=4, '6. PEDIGREE MATRIX'!$E$6, IF(N287=5, '6. PEDIGREE MATRIX'!$F$6)))))</f>
        <v>1.0457364348384068</v>
      </c>
      <c r="T287" s="58">
        <f>IF(O287=1, '6. PEDIGREE MATRIX'!$B$8, IF(O287=2, '6. PEDIGREE MATRIX'!$C$8, IF(O287=3, '6. PEDIGREE MATRIX'!$D$8, IF(O287=4, '6. PEDIGREE MATRIX'!$E$8, IF(O287=5, '6. PEDIGREE MATRIX'!$F$8)))))</f>
        <v>1</v>
      </c>
      <c r="U287" s="58">
        <f>IF(P287=1, '6. PEDIGREE MATRIX'!$B$10, IF(P287=2, '6. PEDIGREE MATRIX'!$C$10, IF(P287=3, '6. PEDIGREE MATRIX'!$D$10, IF(P287=4, '6. PEDIGREE MATRIX'!$E$10, IF(P287=5, '6. PEDIGREE MATRIX'!$F$10)))))</f>
        <v>1.0100501670841679</v>
      </c>
      <c r="V287" s="58">
        <f>IF(Q287=1, '6. PEDIGREE MATRIX'!$B$12, IF(Q287=2, '6. PEDIGREE MATRIX'!$C$12, IF(Q287=3, '6. PEDIGREE MATRIX'!$D$12, IF(Q287=4, '6. PEDIGREE MATRIX'!$E$12, IF(Q287=5, '6. PEDIGREE MATRIX'!$F$12)))))</f>
        <v>1.0247973619913604</v>
      </c>
      <c r="W287" s="58">
        <v>5.9999999999999995E-4</v>
      </c>
      <c r="X287" s="63">
        <f>EXP(SQRT(W287))</f>
        <v>1.0247973619913604</v>
      </c>
    </row>
    <row r="288" spans="1:24" x14ac:dyDescent="0.3">
      <c r="A288" s="116" t="s">
        <v>961</v>
      </c>
      <c r="B288" s="297">
        <f>'24. WAFER FAB'!$D$64</f>
        <v>-1.530398380214217E-7</v>
      </c>
      <c r="C288" s="112" t="s">
        <v>1845</v>
      </c>
      <c r="D288" s="244" t="s">
        <v>385</v>
      </c>
      <c r="E288" s="522" t="s">
        <v>1844</v>
      </c>
      <c r="F288" s="244" t="s">
        <v>371</v>
      </c>
      <c r="G288" s="244" t="s">
        <v>429</v>
      </c>
      <c r="H288" s="244" t="s">
        <v>154</v>
      </c>
      <c r="I288" s="522">
        <v>2</v>
      </c>
      <c r="J288" s="522">
        <f t="shared" ref="J288:J291" si="97">IF(B288=0,"(Unknown)",LN((ABS(B288))))</f>
        <v>-15.692567570221785</v>
      </c>
      <c r="K288" s="522" t="str">
        <f t="shared" ref="K288:K291" si="98">IF(B288&gt;0,SQRT(LN(L288)),"(Unknown)")</f>
        <v>(Unknown)</v>
      </c>
      <c r="L288" s="523" t="str">
        <f t="shared" ref="L288:L291" si="99">IF(B288&gt;0,(EXP(SQRT((LN(X288))^2+(LN(R288))^2+(LN(S288))^2+(LN(T288))^2+(LN(U288))^2+(LN(V288))^2))),"(Unknown)")</f>
        <v>(Unknown)</v>
      </c>
      <c r="M288" s="522">
        <v>4</v>
      </c>
      <c r="N288" s="522">
        <v>4</v>
      </c>
      <c r="O288" s="522">
        <v>1</v>
      </c>
      <c r="P288" s="522">
        <v>3</v>
      </c>
      <c r="Q288" s="522">
        <v>2</v>
      </c>
      <c r="R288" s="522">
        <f>IF(M288=1, '6. PEDIGREE MATRIX'!$B$4, IF(M288=2, '6. PEDIGREE MATRIX'!$C$4, IF(M288=3, '6. PEDIGREE MATRIX'!$D$4, IF(M288=4, '6. PEDIGREE MATRIX'!$E$4, IF(M288=5, '6. PEDIGREE MATRIX'!$F$4)))))</f>
        <v>1.0935646911485417</v>
      </c>
      <c r="S288" s="522">
        <f>IF(N288=1, '6. PEDIGREE MATRIX'!$B$6, IF(N288=2, '6. PEDIGREE MATRIX'!$C$6, IF(N288=3, '6. PEDIGREE MATRIX'!$D$6, IF(N288=4, '6. PEDIGREE MATRIX'!$E$6, IF(N288=5, '6. PEDIGREE MATRIX'!$F$6)))))</f>
        <v>1.0457364348384068</v>
      </c>
      <c r="T288" s="522">
        <f>IF(O288=1, '6. PEDIGREE MATRIX'!$B$8, IF(O288=2, '6. PEDIGREE MATRIX'!$C$8, IF(O288=3, '6. PEDIGREE MATRIX'!$D$8, IF(O288=4, '6. PEDIGREE MATRIX'!$E$8, IF(O288=5, '6. PEDIGREE MATRIX'!$F$8)))))</f>
        <v>1</v>
      </c>
      <c r="U288" s="522">
        <f>IF(P288=1, '6. PEDIGREE MATRIX'!$B$10, IF(P288=2, '6. PEDIGREE MATRIX'!$C$10, IF(P288=3, '6. PEDIGREE MATRIX'!$D$10, IF(P288=4, '6. PEDIGREE MATRIX'!$E$10, IF(P288=5, '6. PEDIGREE MATRIX'!$F$10)))))</f>
        <v>1.0100501670841679</v>
      </c>
      <c r="V288" s="522">
        <f>IF(Q288=1, '6. PEDIGREE MATRIX'!$B$12, IF(Q288=2, '6. PEDIGREE MATRIX'!$C$12, IF(Q288=3, '6. PEDIGREE MATRIX'!$D$12, IF(Q288=4, '6. PEDIGREE MATRIX'!$E$12, IF(Q288=5, '6. PEDIGREE MATRIX'!$F$12)))))</f>
        <v>1.0247973619913604</v>
      </c>
      <c r="W288" s="522">
        <v>5.9999999999999995E-4</v>
      </c>
      <c r="X288" s="524">
        <f t="shared" ref="X288:X291" si="100">EXP(SQRT(W288))</f>
        <v>1.0247973619913604</v>
      </c>
    </row>
    <row r="289" spans="1:24" x14ac:dyDescent="0.3">
      <c r="A289" s="726" t="s">
        <v>1956</v>
      </c>
      <c r="B289" s="297">
        <f>'24. WAFER FAB'!$D$65</f>
        <v>-2.4326790338804905E-4</v>
      </c>
      <c r="C289" s="112" t="s">
        <v>521</v>
      </c>
      <c r="D289" s="244" t="s">
        <v>385</v>
      </c>
      <c r="E289" s="522" t="s">
        <v>1957</v>
      </c>
      <c r="F289" s="244" t="s">
        <v>371</v>
      </c>
      <c r="G289" s="244" t="s">
        <v>429</v>
      </c>
      <c r="H289" s="244" t="s">
        <v>154</v>
      </c>
      <c r="I289" s="522">
        <v>2</v>
      </c>
      <c r="J289" s="522">
        <f t="shared" si="97"/>
        <v>-8.3213472388334946</v>
      </c>
      <c r="K289" s="522" t="str">
        <f t="shared" si="98"/>
        <v>(Unknown)</v>
      </c>
      <c r="L289" s="523" t="str">
        <f t="shared" si="99"/>
        <v>(Unknown)</v>
      </c>
      <c r="M289" s="522">
        <v>4</v>
      </c>
      <c r="N289" s="522">
        <v>4</v>
      </c>
      <c r="O289" s="522">
        <v>1</v>
      </c>
      <c r="P289" s="522">
        <v>3</v>
      </c>
      <c r="Q289" s="522">
        <v>2</v>
      </c>
      <c r="R289" s="522">
        <f>IF(M289=1, '6. PEDIGREE MATRIX'!$B$4, IF(M289=2, '6. PEDIGREE MATRIX'!$C$4, IF(M289=3, '6. PEDIGREE MATRIX'!$D$4, IF(M289=4, '6. PEDIGREE MATRIX'!$E$4, IF(M289=5, '6. PEDIGREE MATRIX'!$F$4)))))</f>
        <v>1.0935646911485417</v>
      </c>
      <c r="S289" s="522">
        <f>IF(N289=1, '6. PEDIGREE MATRIX'!$B$6, IF(N289=2, '6. PEDIGREE MATRIX'!$C$6, IF(N289=3, '6. PEDIGREE MATRIX'!$D$6, IF(N289=4, '6. PEDIGREE MATRIX'!$E$6, IF(N289=5, '6. PEDIGREE MATRIX'!$F$6)))))</f>
        <v>1.0457364348384068</v>
      </c>
      <c r="T289" s="522">
        <f>IF(O289=1, '6. PEDIGREE MATRIX'!$B$8, IF(O289=2, '6. PEDIGREE MATRIX'!$C$8, IF(O289=3, '6. PEDIGREE MATRIX'!$D$8, IF(O289=4, '6. PEDIGREE MATRIX'!$E$8, IF(O289=5, '6. PEDIGREE MATRIX'!$F$8)))))</f>
        <v>1</v>
      </c>
      <c r="U289" s="522">
        <f>IF(P289=1, '6. PEDIGREE MATRIX'!$B$10, IF(P289=2, '6. PEDIGREE MATRIX'!$C$10, IF(P289=3, '6. PEDIGREE MATRIX'!$D$10, IF(P289=4, '6. PEDIGREE MATRIX'!$E$10, IF(P289=5, '6. PEDIGREE MATRIX'!$F$10)))))</f>
        <v>1.0100501670841679</v>
      </c>
      <c r="V289" s="522">
        <f>IF(Q289=1, '6. PEDIGREE MATRIX'!$B$12, IF(Q289=2, '6. PEDIGREE MATRIX'!$C$12, IF(Q289=3, '6. PEDIGREE MATRIX'!$D$12, IF(Q289=4, '6. PEDIGREE MATRIX'!$E$12, IF(Q289=5, '6. PEDIGREE MATRIX'!$F$12)))))</f>
        <v>1.0247973619913604</v>
      </c>
      <c r="W289" s="522">
        <v>5.9999999999999995E-4</v>
      </c>
      <c r="X289" s="524">
        <f t="shared" si="100"/>
        <v>1.0247973619913604</v>
      </c>
    </row>
    <row r="290" spans="1:24" x14ac:dyDescent="0.3">
      <c r="A290" s="112" t="s">
        <v>1968</v>
      </c>
      <c r="B290" s="297">
        <f>'24. WAFER FAB'!$D$66</f>
        <v>-1.2163395169402452E-4</v>
      </c>
      <c r="C290" s="112" t="s">
        <v>521</v>
      </c>
      <c r="D290" s="244" t="s">
        <v>385</v>
      </c>
      <c r="E290" s="522" t="s">
        <v>1969</v>
      </c>
      <c r="F290" s="244" t="s">
        <v>371</v>
      </c>
      <c r="G290" s="244" t="s">
        <v>429</v>
      </c>
      <c r="H290" s="244" t="s">
        <v>154</v>
      </c>
      <c r="I290" s="522">
        <v>2</v>
      </c>
      <c r="J290" s="522">
        <f t="shared" si="97"/>
        <v>-9.01449441939344</v>
      </c>
      <c r="K290" s="522" t="str">
        <f t="shared" si="98"/>
        <v>(Unknown)</v>
      </c>
      <c r="L290" s="523" t="str">
        <f t="shared" si="99"/>
        <v>(Unknown)</v>
      </c>
      <c r="M290" s="522">
        <v>4</v>
      </c>
      <c r="N290" s="522">
        <v>4</v>
      </c>
      <c r="O290" s="522">
        <v>1</v>
      </c>
      <c r="P290" s="522">
        <v>3</v>
      </c>
      <c r="Q290" s="522">
        <v>2</v>
      </c>
      <c r="R290" s="522">
        <f>IF(M290=1, '6. PEDIGREE MATRIX'!$B$4, IF(M290=2, '6. PEDIGREE MATRIX'!$C$4, IF(M290=3, '6. PEDIGREE MATRIX'!$D$4, IF(M290=4, '6. PEDIGREE MATRIX'!$E$4, IF(M290=5, '6. PEDIGREE MATRIX'!$F$4)))))</f>
        <v>1.0935646911485417</v>
      </c>
      <c r="S290" s="522">
        <f>IF(N290=1, '6. PEDIGREE MATRIX'!$B$6, IF(N290=2, '6. PEDIGREE MATRIX'!$C$6, IF(N290=3, '6. PEDIGREE MATRIX'!$D$6, IF(N290=4, '6. PEDIGREE MATRIX'!$E$6, IF(N290=5, '6. PEDIGREE MATRIX'!$F$6)))))</f>
        <v>1.0457364348384068</v>
      </c>
      <c r="T290" s="522">
        <f>IF(O290=1, '6. PEDIGREE MATRIX'!$B$8, IF(O290=2, '6. PEDIGREE MATRIX'!$C$8, IF(O290=3, '6. PEDIGREE MATRIX'!$D$8, IF(O290=4, '6. PEDIGREE MATRIX'!$E$8, IF(O290=5, '6. PEDIGREE MATRIX'!$F$8)))))</f>
        <v>1</v>
      </c>
      <c r="U290" s="522">
        <f>IF(P290=1, '6. PEDIGREE MATRIX'!$B$10, IF(P290=2, '6. PEDIGREE MATRIX'!$C$10, IF(P290=3, '6. PEDIGREE MATRIX'!$D$10, IF(P290=4, '6. PEDIGREE MATRIX'!$E$10, IF(P290=5, '6. PEDIGREE MATRIX'!$F$10)))))</f>
        <v>1.0100501670841679</v>
      </c>
      <c r="V290" s="522">
        <f>IF(Q290=1, '6. PEDIGREE MATRIX'!$B$12, IF(Q290=2, '6. PEDIGREE MATRIX'!$C$12, IF(Q290=3, '6. PEDIGREE MATRIX'!$D$12, IF(Q290=4, '6. PEDIGREE MATRIX'!$E$12, IF(Q290=5, '6. PEDIGREE MATRIX'!$F$12)))))</f>
        <v>1.0247973619913604</v>
      </c>
      <c r="W290" s="522">
        <v>5.9999999999999995E-4</v>
      </c>
      <c r="X290" s="524">
        <f t="shared" si="100"/>
        <v>1.0247973619913604</v>
      </c>
    </row>
    <row r="291" spans="1:24" x14ac:dyDescent="0.3">
      <c r="A291" s="726" t="s">
        <v>830</v>
      </c>
      <c r="B291" s="297">
        <f>'22. DICING'!$D$13</f>
        <v>-8.7645973731575438E-5</v>
      </c>
      <c r="C291" s="244" t="s">
        <v>153</v>
      </c>
      <c r="D291" s="244" t="s">
        <v>385</v>
      </c>
      <c r="E291" s="522" t="s">
        <v>927</v>
      </c>
      <c r="F291" s="244" t="s">
        <v>371</v>
      </c>
      <c r="G291" s="244" t="s">
        <v>429</v>
      </c>
      <c r="H291" s="244" t="s">
        <v>154</v>
      </c>
      <c r="I291" s="522">
        <v>2</v>
      </c>
      <c r="J291" s="522">
        <f t="shared" si="97"/>
        <v>-9.3422048834013918</v>
      </c>
      <c r="K291" s="522" t="str">
        <f t="shared" si="98"/>
        <v>(Unknown)</v>
      </c>
      <c r="L291" s="523" t="str">
        <f t="shared" si="99"/>
        <v>(Unknown)</v>
      </c>
      <c r="M291" s="522">
        <v>4</v>
      </c>
      <c r="N291" s="522">
        <v>4</v>
      </c>
      <c r="O291" s="522">
        <v>1</v>
      </c>
      <c r="P291" s="522">
        <v>3</v>
      </c>
      <c r="Q291" s="522">
        <v>2</v>
      </c>
      <c r="R291" s="522">
        <f>IF(M291=1, '6. PEDIGREE MATRIX'!$B$4, IF(M291=2, '6. PEDIGREE MATRIX'!$C$4, IF(M291=3, '6. PEDIGREE MATRIX'!$D$4, IF(M291=4, '6. PEDIGREE MATRIX'!$E$4, IF(M291=5, '6. PEDIGREE MATRIX'!$F$4)))))</f>
        <v>1.0935646911485417</v>
      </c>
      <c r="S291" s="522">
        <f>IF(N291=1, '6. PEDIGREE MATRIX'!$B$6, IF(N291=2, '6. PEDIGREE MATRIX'!$C$6, IF(N291=3, '6. PEDIGREE MATRIX'!$D$6, IF(N291=4, '6. PEDIGREE MATRIX'!$E$6, IF(N291=5, '6. PEDIGREE MATRIX'!$F$6)))))</f>
        <v>1.0457364348384068</v>
      </c>
      <c r="T291" s="522">
        <f>IF(O291=1, '6. PEDIGREE MATRIX'!$B$8, IF(O291=2, '6. PEDIGREE MATRIX'!$C$8, IF(O291=3, '6. PEDIGREE MATRIX'!$D$8, IF(O291=4, '6. PEDIGREE MATRIX'!$E$8, IF(O291=5, '6. PEDIGREE MATRIX'!$F$8)))))</f>
        <v>1</v>
      </c>
      <c r="U291" s="522">
        <f>IF(P291=1, '6. PEDIGREE MATRIX'!$B$10, IF(P291=2, '6. PEDIGREE MATRIX'!$C$10, IF(P291=3, '6. PEDIGREE MATRIX'!$D$10, IF(P291=4, '6. PEDIGREE MATRIX'!$E$10, IF(P291=5, '6. PEDIGREE MATRIX'!$F$10)))))</f>
        <v>1.0100501670841679</v>
      </c>
      <c r="V291" s="522">
        <f>IF(Q291=1, '6. PEDIGREE MATRIX'!$B$12, IF(Q291=2, '6. PEDIGREE MATRIX'!$C$12, IF(Q291=3, '6. PEDIGREE MATRIX'!$D$12, IF(Q291=4, '6. PEDIGREE MATRIX'!$E$12, IF(Q291=5, '6. PEDIGREE MATRIX'!$F$12)))))</f>
        <v>1.0247973619913604</v>
      </c>
      <c r="W291" s="522">
        <v>5.9999999999999995E-4</v>
      </c>
      <c r="X291" s="524">
        <f t="shared" si="100"/>
        <v>1.0247973619913604</v>
      </c>
    </row>
    <row r="292" spans="1:24" ht="15" thickBot="1" x14ac:dyDescent="0.35">
      <c r="A292" s="70" t="str">
        <f>B276</f>
        <v>DICING</v>
      </c>
      <c r="B292" s="71">
        <v>1</v>
      </c>
      <c r="C292" s="72" t="s">
        <v>224</v>
      </c>
      <c r="D292" s="72" t="str">
        <f>$B$1</f>
        <v>IGBT LCI dtb</v>
      </c>
      <c r="E292" s="71" t="str">
        <f>B280</f>
        <v>Processed cm² of Si IGBT good die</v>
      </c>
      <c r="F292" s="72" t="s">
        <v>371</v>
      </c>
      <c r="G292" s="72" t="s">
        <v>156</v>
      </c>
      <c r="H292" s="72" t="s">
        <v>383</v>
      </c>
      <c r="I292" s="71">
        <v>0</v>
      </c>
      <c r="J292" s="71" t="s">
        <v>371</v>
      </c>
      <c r="K292" s="71" t="s">
        <v>371</v>
      </c>
      <c r="L292" s="91" t="s">
        <v>371</v>
      </c>
      <c r="M292" s="71">
        <v>0</v>
      </c>
      <c r="N292" s="71">
        <v>0</v>
      </c>
      <c r="O292" s="71">
        <v>0</v>
      </c>
      <c r="P292" s="71">
        <v>0</v>
      </c>
      <c r="Q292" s="71">
        <v>0</v>
      </c>
      <c r="R292" s="71">
        <v>0</v>
      </c>
      <c r="S292" s="71">
        <v>0</v>
      </c>
      <c r="T292" s="71">
        <v>0</v>
      </c>
      <c r="U292" s="71">
        <v>0</v>
      </c>
      <c r="V292" s="71">
        <v>0</v>
      </c>
      <c r="W292" s="71">
        <v>0</v>
      </c>
      <c r="X292" s="73">
        <v>0</v>
      </c>
    </row>
    <row r="294" spans="1:24" ht="15" thickBot="1" x14ac:dyDescent="0.35"/>
    <row r="295" spans="1:24" ht="30" customHeight="1" thickBot="1" x14ac:dyDescent="0.35">
      <c r="A295" s="178" t="s">
        <v>326</v>
      </c>
      <c r="B295" s="179" t="s">
        <v>1499</v>
      </c>
      <c r="C295" s="180"/>
      <c r="D295" s="180"/>
      <c r="E295" s="181"/>
      <c r="F295" s="180"/>
      <c r="G295" s="180"/>
      <c r="H295" s="180"/>
      <c r="I295" s="181"/>
      <c r="J295" s="181"/>
      <c r="K295" s="181"/>
      <c r="L295" s="181"/>
      <c r="M295" s="181"/>
      <c r="N295" s="181"/>
      <c r="O295" s="181"/>
      <c r="P295" s="181"/>
      <c r="Q295" s="181"/>
      <c r="R295" s="181"/>
      <c r="S295" s="181"/>
      <c r="T295" s="181"/>
      <c r="U295" s="181"/>
      <c r="V295" s="181"/>
      <c r="W295" s="181"/>
      <c r="X295" s="182"/>
    </row>
    <row r="296" spans="1:24" x14ac:dyDescent="0.3">
      <c r="A296" s="54" t="s">
        <v>163</v>
      </c>
      <c r="B296" s="56" t="s">
        <v>371</v>
      </c>
      <c r="C296" s="56"/>
      <c r="D296" s="56"/>
      <c r="E296" s="61"/>
      <c r="F296" s="56"/>
      <c r="G296" s="56"/>
      <c r="H296" s="56"/>
      <c r="I296" s="61"/>
      <c r="J296" s="61"/>
      <c r="K296" s="61"/>
      <c r="L296" s="61"/>
      <c r="M296" s="61"/>
      <c r="N296" s="61"/>
      <c r="O296" s="61"/>
      <c r="P296" s="61"/>
      <c r="Q296" s="61"/>
      <c r="R296" s="61"/>
      <c r="S296" s="61"/>
      <c r="T296" s="61"/>
      <c r="U296" s="61"/>
      <c r="V296" s="61"/>
      <c r="W296" s="61"/>
      <c r="X296" s="62"/>
    </row>
    <row r="297" spans="1:24" x14ac:dyDescent="0.3">
      <c r="A297" s="54" t="s">
        <v>227</v>
      </c>
      <c r="B297" s="56" t="s">
        <v>156</v>
      </c>
      <c r="C297" s="56"/>
      <c r="D297" s="56"/>
      <c r="E297" s="61"/>
      <c r="F297" s="56"/>
      <c r="G297" s="56"/>
      <c r="H297" s="56"/>
      <c r="I297" s="61"/>
      <c r="J297" s="61"/>
      <c r="K297" s="61"/>
      <c r="L297" s="61"/>
      <c r="M297" s="61"/>
      <c r="N297" s="61"/>
      <c r="O297" s="61"/>
      <c r="P297" s="61"/>
      <c r="Q297" s="61"/>
      <c r="R297" s="61"/>
      <c r="S297" s="61"/>
      <c r="T297" s="61"/>
      <c r="U297" s="61"/>
      <c r="V297" s="61"/>
      <c r="W297" s="61"/>
      <c r="X297" s="62"/>
    </row>
    <row r="298" spans="1:24" x14ac:dyDescent="0.3">
      <c r="A298" s="54" t="s">
        <v>428</v>
      </c>
      <c r="B298" s="61">
        <v>1</v>
      </c>
      <c r="C298" s="56"/>
      <c r="D298" s="56"/>
      <c r="E298" s="61"/>
      <c r="F298" s="56"/>
      <c r="G298" s="56"/>
      <c r="H298" s="56"/>
      <c r="I298" s="61"/>
      <c r="J298" s="61"/>
      <c r="K298" s="61"/>
      <c r="L298" s="61"/>
      <c r="M298" s="61"/>
      <c r="N298" s="61"/>
      <c r="O298" s="61"/>
      <c r="P298" s="61"/>
      <c r="Q298" s="61"/>
      <c r="R298" s="61"/>
      <c r="S298" s="61"/>
      <c r="T298" s="61"/>
      <c r="U298" s="61"/>
      <c r="V298" s="61"/>
      <c r="W298" s="61"/>
      <c r="X298" s="62"/>
    </row>
    <row r="299" spans="1:24" x14ac:dyDescent="0.3">
      <c r="A299" s="54" t="s">
        <v>147</v>
      </c>
      <c r="B299" s="56" t="s">
        <v>717</v>
      </c>
      <c r="C299" s="56"/>
      <c r="D299" s="56"/>
      <c r="E299" s="61"/>
      <c r="F299" s="56"/>
      <c r="G299" s="56"/>
      <c r="H299" s="56"/>
      <c r="I299" s="61"/>
      <c r="J299" s="61"/>
      <c r="K299" s="61"/>
      <c r="L299" s="61"/>
      <c r="M299" s="61"/>
      <c r="N299" s="61"/>
      <c r="O299" s="61"/>
      <c r="P299" s="61"/>
      <c r="Q299" s="61"/>
      <c r="R299" s="61"/>
      <c r="S299" s="61"/>
      <c r="T299" s="61"/>
      <c r="U299" s="61"/>
      <c r="V299" s="61"/>
      <c r="W299" s="61"/>
      <c r="X299" s="62"/>
    </row>
    <row r="300" spans="1:24" x14ac:dyDescent="0.3">
      <c r="A300" s="54" t="s">
        <v>327</v>
      </c>
      <c r="B300" s="61" t="s">
        <v>134</v>
      </c>
      <c r="C300" s="56"/>
      <c r="D300" s="56"/>
      <c r="E300" s="61"/>
      <c r="F300" s="56"/>
      <c r="G300" s="56"/>
      <c r="H300" s="56"/>
      <c r="I300" s="61"/>
      <c r="J300" s="61"/>
      <c r="K300" s="61"/>
      <c r="L300" s="61"/>
      <c r="M300" s="61"/>
      <c r="N300" s="61"/>
      <c r="O300" s="61"/>
      <c r="P300" s="61"/>
      <c r="Q300" s="61"/>
      <c r="R300" s="61"/>
      <c r="S300" s="61"/>
      <c r="T300" s="61"/>
      <c r="U300" s="61"/>
      <c r="V300" s="61"/>
      <c r="W300" s="61"/>
      <c r="X300" s="62"/>
    </row>
    <row r="301" spans="1:24" x14ac:dyDescent="0.3">
      <c r="A301" s="54" t="s">
        <v>224</v>
      </c>
      <c r="B301" s="56" t="s">
        <v>224</v>
      </c>
      <c r="C301" s="56"/>
      <c r="D301" s="56"/>
      <c r="E301" s="61"/>
      <c r="F301" s="56"/>
      <c r="G301" s="56"/>
      <c r="H301" s="56"/>
      <c r="I301" s="61"/>
      <c r="J301" s="61"/>
      <c r="K301" s="61"/>
      <c r="L301" s="61"/>
      <c r="M301" s="61"/>
      <c r="N301" s="61"/>
      <c r="O301" s="61"/>
      <c r="P301" s="61"/>
      <c r="Q301" s="61"/>
      <c r="R301" s="61"/>
      <c r="S301" s="61"/>
      <c r="T301" s="61"/>
      <c r="U301" s="61"/>
      <c r="V301" s="61"/>
      <c r="W301" s="61"/>
      <c r="X301" s="62"/>
    </row>
    <row r="302" spans="1:24" ht="15.6" x14ac:dyDescent="0.3">
      <c r="A302" s="55" t="s">
        <v>328</v>
      </c>
      <c r="B302" s="61"/>
      <c r="C302" s="56"/>
      <c r="D302" s="56"/>
      <c r="E302" s="61"/>
      <c r="F302" s="56"/>
      <c r="G302" s="56"/>
      <c r="H302" s="56"/>
      <c r="I302" s="61"/>
      <c r="J302" s="61"/>
      <c r="K302" s="61"/>
      <c r="L302" s="61"/>
      <c r="M302" s="61"/>
      <c r="N302" s="61"/>
      <c r="O302" s="61"/>
      <c r="P302" s="61"/>
      <c r="Q302" s="61"/>
      <c r="R302" s="61"/>
      <c r="S302" s="61"/>
      <c r="T302" s="61"/>
      <c r="U302" s="61"/>
      <c r="V302" s="61"/>
      <c r="W302" s="61"/>
      <c r="X302" s="62"/>
    </row>
    <row r="303" spans="1:24" x14ac:dyDescent="0.3">
      <c r="A303" s="54" t="s">
        <v>329</v>
      </c>
      <c r="B303" s="61" t="s">
        <v>330</v>
      </c>
      <c r="C303" s="56" t="s">
        <v>224</v>
      </c>
      <c r="D303" s="56" t="s">
        <v>331</v>
      </c>
      <c r="E303" s="61" t="s">
        <v>147</v>
      </c>
      <c r="F303" s="56" t="s">
        <v>332</v>
      </c>
      <c r="G303" s="56" t="s">
        <v>227</v>
      </c>
      <c r="H303" s="56" t="s">
        <v>327</v>
      </c>
      <c r="I303" s="61" t="s">
        <v>372</v>
      </c>
      <c r="J303" s="61" t="s">
        <v>373</v>
      </c>
      <c r="K303" s="61" t="s">
        <v>374</v>
      </c>
      <c r="L303" s="61" t="s">
        <v>148</v>
      </c>
      <c r="M303" s="61" t="s">
        <v>585</v>
      </c>
      <c r="N303" s="61" t="s">
        <v>586</v>
      </c>
      <c r="O303" s="61" t="s">
        <v>587</v>
      </c>
      <c r="P303" s="61" t="s">
        <v>220</v>
      </c>
      <c r="Q303" s="61" t="s">
        <v>588</v>
      </c>
      <c r="R303" s="61" t="s">
        <v>590</v>
      </c>
      <c r="S303" s="61" t="s">
        <v>591</v>
      </c>
      <c r="T303" s="61" t="s">
        <v>592</v>
      </c>
      <c r="U303" s="61" t="s">
        <v>593</v>
      </c>
      <c r="V303" s="61" t="s">
        <v>594</v>
      </c>
      <c r="W303" s="61" t="s">
        <v>595</v>
      </c>
      <c r="X303" s="62" t="s">
        <v>589</v>
      </c>
    </row>
    <row r="304" spans="1:24" x14ac:dyDescent="0.3">
      <c r="A304" s="285" t="str">
        <f>IF($G$285='4. INPUTS LIST'!$B$3,'4. INPUTS LIST'!$C$3, IF($G$285='4. INPUTS LIST'!$B$4,'4. INPUTS LIST'!$C$4, IF($G$285='4. INPUTS LIST'!$B$5,'4. INPUTS LIST'!$C$5, IF($G$285='4. INPUTS LIST'!$B$6,'4. INPUTS LIST'!$C$6, IF($G$285='4. INPUTS LIST'!$B$7,'4. INPUTS LIST'!$C$7, IF($G$285='4. INPUTS LIST'!$B$8,'4. INPUTS LIST'!$C$8, IF($G$285='4. INPUTS LIST'!$B$9,'4. INPUTS LIST'!$C$9, IF($G$285='4. INPUTS LIST'!$B$10,'4. INPUTS LIST'!$C$10, IF($G$285='4. INPUTS LIST'!$B$11,'4. INPUTS LIST'!$C$11, IF($G$285='4. INPUTS LIST'!$B$12,'4. INPUTS LIST'!$C$12))))))))))</f>
        <v>market for electricity, medium voltage</v>
      </c>
      <c r="B304" s="297">
        <f>'23. PROBING'!$D$6</f>
        <v>5.7857280005163946E-3</v>
      </c>
      <c r="C304" s="3" t="s">
        <v>342</v>
      </c>
      <c r="D304" s="3" t="s">
        <v>385</v>
      </c>
      <c r="E304" s="58" t="str">
        <f>IF($A$266='4. INPUTS LIST'!$C$3,'4. INPUTS LIST'!$D$3, IF($A$266='4. INPUTS LIST'!$C$7, '4. INPUTS LIST'!$D$7, IF($A$266='4. INPUTS LIST'!$C$12,'4. INPUTS LIST'!$D$12)))</f>
        <v>electricity, medium voltage</v>
      </c>
      <c r="F304" s="3" t="s">
        <v>371</v>
      </c>
      <c r="G304" s="3" t="str">
        <f>'1. USER INPUTS'!$E$24</f>
        <v>JP</v>
      </c>
      <c r="H304" s="3" t="s">
        <v>154</v>
      </c>
      <c r="I304" s="58">
        <v>2</v>
      </c>
      <c r="J304" s="58">
        <f>IF(B304=0,"(Unknown)",LN((ABS(B304))))</f>
        <v>-5.1523610834681426</v>
      </c>
      <c r="K304" s="58">
        <f>IF(B304&gt;0,SQRT(LN(L304)),"(Unknown)")</f>
        <v>0.32603904386951327</v>
      </c>
      <c r="L304" s="90">
        <f>IF(B304&gt;0,(EXP(SQRT((LN(X304))^2+(LN(R304))^2+(LN(S304))^2+(LN(T304))^2+(LN(U304))^2+(LN(V304))^2))),"(Unknown)")</f>
        <v>1.1121570947719619</v>
      </c>
      <c r="M304" s="58">
        <v>4</v>
      </c>
      <c r="N304" s="58">
        <v>4</v>
      </c>
      <c r="O304" s="58">
        <v>1</v>
      </c>
      <c r="P304" s="58">
        <v>3</v>
      </c>
      <c r="Q304" s="58">
        <v>2</v>
      </c>
      <c r="R304" s="58">
        <f>IF(M304=1, '6. PEDIGREE MATRIX'!$B$4, IF(M304=2, '6. PEDIGREE MATRIX'!$C$4, IF(M304=3, '6. PEDIGREE MATRIX'!$D$4, IF(M304=4, '6. PEDIGREE MATRIX'!$E$4, IF(M304=5, '6. PEDIGREE MATRIX'!$F$4)))))</f>
        <v>1.0935646911485417</v>
      </c>
      <c r="S304" s="58">
        <f>IF(N304=1, '6. PEDIGREE MATRIX'!$B$6, IF(N304=2, '6. PEDIGREE MATRIX'!$C$6, IF(N304=3, '6. PEDIGREE MATRIX'!$D$6, IF(N304=4, '6. PEDIGREE MATRIX'!$E$6, IF(N304=5, '6. PEDIGREE MATRIX'!$F$6)))))</f>
        <v>1.0457364348384068</v>
      </c>
      <c r="T304" s="58">
        <f>IF(O304=1, '6. PEDIGREE MATRIX'!$B$8, IF(O304=2, '6. PEDIGREE MATRIX'!$C$8, IF(O304=3, '6. PEDIGREE MATRIX'!$D$8, IF(O304=4, '6. PEDIGREE MATRIX'!$E$8, IF(O304=5, '6. PEDIGREE MATRIX'!$F$8)))))</f>
        <v>1</v>
      </c>
      <c r="U304" s="58">
        <f>IF(P304=1, '6. PEDIGREE MATRIX'!$B$10, IF(P304=2, '6. PEDIGREE MATRIX'!$C$10, IF(P304=3, '6. PEDIGREE MATRIX'!$D$10, IF(P304=4, '6. PEDIGREE MATRIX'!$E$10, IF(P304=5, '6. PEDIGREE MATRIX'!$F$10)))))</f>
        <v>1.0100501670841679</v>
      </c>
      <c r="V304" s="58">
        <f>IF(Q304=1, '6. PEDIGREE MATRIX'!$B$12, IF(Q304=2, '6. PEDIGREE MATRIX'!$C$12, IF(Q304=3, '6. PEDIGREE MATRIX'!$D$12, IF(Q304=4, '6. PEDIGREE MATRIX'!$E$12, IF(Q304=5, '6. PEDIGREE MATRIX'!$F$12)))))</f>
        <v>1.0247973619913604</v>
      </c>
      <c r="W304" s="58">
        <v>5.9999999999999995E-4</v>
      </c>
      <c r="X304" s="63">
        <f>EXP(SQRT(W304))</f>
        <v>1.0247973619913604</v>
      </c>
    </row>
    <row r="305" spans="1:24" ht="15" thickBot="1" x14ac:dyDescent="0.35">
      <c r="A305" s="70" t="str">
        <f>B295</f>
        <v>PROBING</v>
      </c>
      <c r="B305" s="71">
        <v>1</v>
      </c>
      <c r="C305" s="72" t="s">
        <v>224</v>
      </c>
      <c r="D305" s="72" t="str">
        <f>$B$1</f>
        <v>IGBT LCI dtb</v>
      </c>
      <c r="E305" s="71" t="str">
        <f>B299</f>
        <v>Processed cm² of Si IGBT good die</v>
      </c>
      <c r="F305" s="72" t="s">
        <v>371</v>
      </c>
      <c r="G305" s="72" t="s">
        <v>156</v>
      </c>
      <c r="H305" s="72" t="s">
        <v>383</v>
      </c>
      <c r="I305" s="71">
        <v>0</v>
      </c>
      <c r="J305" s="71" t="s">
        <v>371</v>
      </c>
      <c r="K305" s="71" t="s">
        <v>371</v>
      </c>
      <c r="L305" s="91" t="s">
        <v>371</v>
      </c>
      <c r="M305" s="71">
        <v>0</v>
      </c>
      <c r="N305" s="71">
        <v>0</v>
      </c>
      <c r="O305" s="71">
        <v>0</v>
      </c>
      <c r="P305" s="71">
        <v>0</v>
      </c>
      <c r="Q305" s="71">
        <v>0</v>
      </c>
      <c r="R305" s="71">
        <v>0</v>
      </c>
      <c r="S305" s="71">
        <v>0</v>
      </c>
      <c r="T305" s="71">
        <v>0</v>
      </c>
      <c r="U305" s="71">
        <v>0</v>
      </c>
      <c r="V305" s="71">
        <v>0</v>
      </c>
      <c r="W305" s="71">
        <v>0</v>
      </c>
      <c r="X305" s="73">
        <v>0</v>
      </c>
    </row>
    <row r="307" spans="1:24" ht="15" thickBot="1" x14ac:dyDescent="0.35"/>
    <row r="308" spans="1:24" s="14" customFormat="1" ht="30" customHeight="1" thickBot="1" x14ac:dyDescent="0.35">
      <c r="A308" s="178" t="s">
        <v>326</v>
      </c>
      <c r="B308" s="179" t="s">
        <v>1842</v>
      </c>
      <c r="C308" s="180"/>
      <c r="D308" s="180"/>
      <c r="E308" s="181"/>
      <c r="F308" s="180"/>
      <c r="G308" s="180"/>
      <c r="H308" s="180"/>
      <c r="I308" s="181"/>
      <c r="J308" s="181"/>
      <c r="K308" s="181"/>
      <c r="L308" s="181"/>
      <c r="M308" s="181"/>
      <c r="N308" s="181"/>
      <c r="O308" s="181"/>
      <c r="P308" s="181"/>
      <c r="Q308" s="181"/>
      <c r="R308" s="181"/>
      <c r="S308" s="181"/>
      <c r="T308" s="181"/>
      <c r="U308" s="181"/>
      <c r="V308" s="181"/>
      <c r="W308" s="181"/>
      <c r="X308" s="182"/>
    </row>
    <row r="309" spans="1:24" x14ac:dyDescent="0.3">
      <c r="A309" s="54" t="s">
        <v>163</v>
      </c>
      <c r="B309" s="56" t="s">
        <v>371</v>
      </c>
      <c r="C309" s="56"/>
      <c r="D309" s="56"/>
      <c r="E309" s="61"/>
      <c r="F309" s="56"/>
      <c r="G309" s="56"/>
      <c r="H309" s="56"/>
      <c r="I309" s="61"/>
      <c r="J309" s="61"/>
      <c r="K309" s="61"/>
      <c r="L309" s="61"/>
      <c r="M309" s="61"/>
      <c r="N309" s="61"/>
      <c r="O309" s="61"/>
      <c r="P309" s="61"/>
      <c r="Q309" s="61"/>
      <c r="R309" s="61"/>
      <c r="S309" s="61"/>
      <c r="T309" s="61"/>
      <c r="U309" s="61"/>
      <c r="V309" s="61"/>
      <c r="W309" s="61"/>
      <c r="X309" s="62"/>
    </row>
    <row r="310" spans="1:24" x14ac:dyDescent="0.3">
      <c r="A310" s="54" t="s">
        <v>227</v>
      </c>
      <c r="B310" s="56" t="s">
        <v>156</v>
      </c>
      <c r="C310" s="56"/>
      <c r="D310" s="56"/>
      <c r="E310" s="61"/>
      <c r="F310" s="56"/>
      <c r="G310" s="56"/>
      <c r="H310" s="56"/>
      <c r="I310" s="61"/>
      <c r="J310" s="61"/>
      <c r="K310" s="61"/>
      <c r="L310" s="61"/>
      <c r="M310" s="61"/>
      <c r="N310" s="61"/>
      <c r="O310" s="61"/>
      <c r="P310" s="61"/>
      <c r="Q310" s="61"/>
      <c r="R310" s="61"/>
      <c r="S310" s="61"/>
      <c r="T310" s="61"/>
      <c r="U310" s="61"/>
      <c r="V310" s="61"/>
      <c r="W310" s="61"/>
      <c r="X310" s="62"/>
    </row>
    <row r="311" spans="1:24" x14ac:dyDescent="0.3">
      <c r="A311" s="54" t="s">
        <v>428</v>
      </c>
      <c r="B311" s="61">
        <v>1</v>
      </c>
      <c r="C311" s="56"/>
      <c r="D311" s="56"/>
      <c r="E311" s="61"/>
      <c r="F311" s="56"/>
      <c r="G311" s="56"/>
      <c r="H311" s="56"/>
      <c r="I311" s="61"/>
      <c r="J311" s="61"/>
      <c r="K311" s="61"/>
      <c r="L311" s="61"/>
      <c r="M311" s="61"/>
      <c r="N311" s="61"/>
      <c r="O311" s="61"/>
      <c r="P311" s="61"/>
      <c r="Q311" s="61"/>
      <c r="R311" s="61"/>
      <c r="S311" s="61"/>
      <c r="T311" s="61"/>
      <c r="U311" s="61"/>
      <c r="V311" s="61"/>
      <c r="W311" s="61"/>
      <c r="X311" s="62"/>
    </row>
    <row r="312" spans="1:24" x14ac:dyDescent="0.3">
      <c r="A312" s="54" t="s">
        <v>147</v>
      </c>
      <c r="B312" s="56" t="s">
        <v>717</v>
      </c>
      <c r="C312" s="56"/>
      <c r="D312" s="56"/>
      <c r="E312" s="61"/>
      <c r="F312" s="56"/>
      <c r="G312" s="56"/>
      <c r="H312" s="56"/>
      <c r="I312" s="61"/>
      <c r="J312" s="61"/>
      <c r="K312" s="61"/>
      <c r="L312" s="61"/>
      <c r="M312" s="61"/>
      <c r="N312" s="61"/>
      <c r="O312" s="61"/>
      <c r="P312" s="61"/>
      <c r="Q312" s="61"/>
      <c r="R312" s="61"/>
      <c r="S312" s="61"/>
      <c r="T312" s="61"/>
      <c r="U312" s="61"/>
      <c r="V312" s="61"/>
      <c r="W312" s="61"/>
      <c r="X312" s="62"/>
    </row>
    <row r="313" spans="1:24" x14ac:dyDescent="0.3">
      <c r="A313" s="54" t="s">
        <v>327</v>
      </c>
      <c r="B313" s="61" t="s">
        <v>134</v>
      </c>
      <c r="C313" s="56"/>
      <c r="D313" s="56"/>
      <c r="E313" s="61"/>
      <c r="F313" s="56"/>
      <c r="G313" s="56"/>
      <c r="H313" s="56"/>
      <c r="I313" s="61"/>
      <c r="J313" s="61"/>
      <c r="K313" s="61"/>
      <c r="L313" s="61"/>
      <c r="M313" s="61"/>
      <c r="N313" s="61"/>
      <c r="O313" s="61"/>
      <c r="P313" s="61"/>
      <c r="Q313" s="61"/>
      <c r="R313" s="61"/>
      <c r="S313" s="61"/>
      <c r="T313" s="61"/>
      <c r="U313" s="61"/>
      <c r="V313" s="61"/>
      <c r="W313" s="61"/>
      <c r="X313" s="62"/>
    </row>
    <row r="314" spans="1:24" x14ac:dyDescent="0.3">
      <c r="A314" s="54" t="s">
        <v>224</v>
      </c>
      <c r="B314" s="56" t="s">
        <v>224</v>
      </c>
      <c r="C314" s="56"/>
      <c r="D314" s="56"/>
      <c r="E314" s="61"/>
      <c r="F314" s="56"/>
      <c r="G314" s="56"/>
      <c r="H314" s="56"/>
      <c r="I314" s="61"/>
      <c r="J314" s="61"/>
      <c r="K314" s="61"/>
      <c r="L314" s="61"/>
      <c r="M314" s="61"/>
      <c r="N314" s="61"/>
      <c r="O314" s="61"/>
      <c r="P314" s="61"/>
      <c r="Q314" s="61"/>
      <c r="R314" s="61"/>
      <c r="S314" s="61"/>
      <c r="T314" s="61"/>
      <c r="U314" s="61"/>
      <c r="V314" s="61"/>
      <c r="W314" s="61"/>
      <c r="X314" s="62"/>
    </row>
    <row r="315" spans="1:24" ht="15.6" x14ac:dyDescent="0.3">
      <c r="A315" s="55" t="s">
        <v>328</v>
      </c>
      <c r="B315" s="61"/>
      <c r="C315" s="56"/>
      <c r="D315" s="56"/>
      <c r="E315" s="61"/>
      <c r="F315" s="56"/>
      <c r="G315" s="56"/>
      <c r="H315" s="56"/>
      <c r="I315" s="61"/>
      <c r="J315" s="61"/>
      <c r="K315" s="61"/>
      <c r="L315" s="61"/>
      <c r="M315" s="61"/>
      <c r="N315" s="61"/>
      <c r="O315" s="61"/>
      <c r="P315" s="61"/>
      <c r="Q315" s="61"/>
      <c r="R315" s="61"/>
      <c r="S315" s="61"/>
      <c r="T315" s="61"/>
      <c r="U315" s="61"/>
      <c r="V315" s="61"/>
      <c r="W315" s="61"/>
      <c r="X315" s="62"/>
    </row>
    <row r="316" spans="1:24" x14ac:dyDescent="0.3">
      <c r="A316" s="54" t="s">
        <v>329</v>
      </c>
      <c r="B316" s="61" t="s">
        <v>330</v>
      </c>
      <c r="C316" s="56" t="s">
        <v>224</v>
      </c>
      <c r="D316" s="56" t="s">
        <v>331</v>
      </c>
      <c r="E316" s="61" t="s">
        <v>147</v>
      </c>
      <c r="F316" s="56" t="s">
        <v>332</v>
      </c>
      <c r="G316" s="56" t="s">
        <v>227</v>
      </c>
      <c r="H316" s="56" t="s">
        <v>327</v>
      </c>
      <c r="I316" s="61" t="s">
        <v>372</v>
      </c>
      <c r="J316" s="61" t="s">
        <v>373</v>
      </c>
      <c r="K316" s="61" t="s">
        <v>374</v>
      </c>
      <c r="L316" s="61" t="s">
        <v>148</v>
      </c>
      <c r="M316" s="61" t="s">
        <v>585</v>
      </c>
      <c r="N316" s="61" t="s">
        <v>586</v>
      </c>
      <c r="O316" s="61" t="s">
        <v>587</v>
      </c>
      <c r="P316" s="61" t="s">
        <v>220</v>
      </c>
      <c r="Q316" s="61" t="s">
        <v>588</v>
      </c>
      <c r="R316" s="61" t="s">
        <v>590</v>
      </c>
      <c r="S316" s="61" t="s">
        <v>591</v>
      </c>
      <c r="T316" s="61" t="s">
        <v>592</v>
      </c>
      <c r="U316" s="61" t="s">
        <v>593</v>
      </c>
      <c r="V316" s="61" t="s">
        <v>594</v>
      </c>
      <c r="W316" s="61" t="s">
        <v>595</v>
      </c>
      <c r="X316" s="62" t="s">
        <v>589</v>
      </c>
    </row>
    <row r="317" spans="1:24" x14ac:dyDescent="0.3">
      <c r="A317" s="285" t="str">
        <f>IF($G$317='4. INPUTS LIST'!$B$3,'4. INPUTS LIST'!$C$3, IF($G$317='4. INPUTS LIST'!$B$4,'4. INPUTS LIST'!$C$4, IF($G$317='4. INPUTS LIST'!$B$5,'4. INPUTS LIST'!$C$5, IF($G$317='4. INPUTS LIST'!$B$6,'4. INPUTS LIST'!$C$6, IF($G$317='4. INPUTS LIST'!$B$7,'4. INPUTS LIST'!$C$7, IF($G$317='4. INPUTS LIST'!$B$8,'4. INPUTS LIST'!$C$8, IF($G$317='4. INPUTS LIST'!$B$9,'4. INPUTS LIST'!$C$9, IF($G$317='4. INPUTS LIST'!$B$10,'4. INPUTS LIST'!$C$10, IF($G$317='4. INPUTS LIST'!$B$11,'4. INPUTS LIST'!$C$11, IF($G$317='4. INPUTS LIST'!$B$12,'4. INPUTS LIST'!$C$12))))))))))</f>
        <v>market for electricity, medium voltage</v>
      </c>
      <c r="B317" s="297">
        <f>'24. WAFER FAB'!$D$37</f>
        <v>0.44475595377760807</v>
      </c>
      <c r="C317" s="3" t="s">
        <v>342</v>
      </c>
      <c r="D317" s="3" t="s">
        <v>385</v>
      </c>
      <c r="E317" s="58" t="str">
        <f>IF($A$317='4. INPUTS LIST'!$C$3,'4. INPUTS LIST'!$D$3, IF($A$317='4. INPUTS LIST'!$C$7, '4. INPUTS LIST'!$D$7, IF($A$317='4. INPUTS LIST'!$C$12,'4. INPUTS LIST'!$D$12)))</f>
        <v>electricity, medium voltage</v>
      </c>
      <c r="F317" s="3" t="s">
        <v>371</v>
      </c>
      <c r="G317" s="3" t="str">
        <f>'1. USER INPUTS'!$E$24</f>
        <v>JP</v>
      </c>
      <c r="H317" s="3" t="s">
        <v>154</v>
      </c>
      <c r="I317" s="58">
        <v>2</v>
      </c>
      <c r="J317" s="58">
        <f>IF(B317=0,"(Unknown)",LN((ABS(B317))))</f>
        <v>-0.81022956572959914</v>
      </c>
      <c r="K317" s="58">
        <f>IF(B317&gt;0,SQRT(LN(L317)),"(Unknown)")</f>
        <v>0.50800566730232333</v>
      </c>
      <c r="L317" s="90">
        <f>IF(B317&gt;0,(EXP(SQRT((LN(X317))^2+(LN(R317))^2+(LN(S317))^2+(LN(T317))^2+(LN(U317))^2+(LN(V317))^2))),"(Unknown)")</f>
        <v>1.2944291122754621</v>
      </c>
      <c r="M317" s="58">
        <v>4</v>
      </c>
      <c r="N317" s="58">
        <v>5</v>
      </c>
      <c r="O317" s="58">
        <v>5</v>
      </c>
      <c r="P317" s="58">
        <v>5</v>
      </c>
      <c r="Q317" s="58">
        <v>3</v>
      </c>
      <c r="R317" s="58">
        <f>IF(M317=1, '6. PEDIGREE MATRIX'!$B$4, IF(M317=2, '6. PEDIGREE MATRIX'!$C$4, IF(M317=3, '6. PEDIGREE MATRIX'!$D$4, IF(M317=4, '6. PEDIGREE MATRIX'!$E$4, IF(M317=5, '6. PEDIGREE MATRIX'!$F$4)))))</f>
        <v>1.0935646911485417</v>
      </c>
      <c r="S317" s="58">
        <f>IF(N317=1, '6. PEDIGREE MATRIX'!$B$6, IF(N317=2, '6. PEDIGREE MATRIX'!$C$6, IF(N317=3, '6. PEDIGREE MATRIX'!$D$6, IF(N317=4, '6. PEDIGREE MATRIX'!$E$6, IF(N317=5, '6. PEDIGREE MATRIX'!$F$6)))))</f>
        <v>1.0935646911485417</v>
      </c>
      <c r="T317" s="58">
        <f>IF(O317=1, '6. PEDIGREE MATRIX'!$B$8, IF(O317=2, '6. PEDIGREE MATRIX'!$C$8, IF(O317=3, '6. PEDIGREE MATRIX'!$D$8, IF(O317=4, '6. PEDIGREE MATRIX'!$E$8, IF(O317=5, '6. PEDIGREE MATRIX'!$F$8)))))</f>
        <v>1.2214027581601699</v>
      </c>
      <c r="U317" s="58">
        <f>IF(P317=1, '6. PEDIGREE MATRIX'!$B$10, IF(P317=2, '6. PEDIGREE MATRIX'!$C$10, IF(P317=3, '6. PEDIGREE MATRIX'!$D$10, IF(P317=4, '6. PEDIGREE MATRIX'!$E$10, IF(P317=5, '6. PEDIGREE MATRIX'!$F$10)))))</f>
        <v>1.0457364348384068</v>
      </c>
      <c r="V317" s="58">
        <f>IF(Q317=1, '6. PEDIGREE MATRIX'!$B$12, IF(Q317=2, '6. PEDIGREE MATRIX'!$C$12, IF(Q317=3, '6. PEDIGREE MATRIX'!$D$12, IF(Q317=4, '6. PEDIGREE MATRIX'!$E$12, IF(Q317=5, '6. PEDIGREE MATRIX'!$F$12)))))</f>
        <v>1.0935646911485417</v>
      </c>
      <c r="W317" s="58">
        <v>5.9999999999999995E-4</v>
      </c>
      <c r="X317" s="63">
        <f>EXP(SQRT(W317))</f>
        <v>1.0247973619913604</v>
      </c>
    </row>
    <row r="318" spans="1:24" x14ac:dyDescent="0.3">
      <c r="A318" s="285" t="str">
        <f>IF($G$318='4. INPUTS LIST'!$B$3,'4. INPUTS LIST'!$C$3, IF($G$318='4. INPUTS LIST'!$B$4,'4. INPUTS LIST'!$C$4, IF($G$318='4. INPUTS LIST'!$B$5,'4. INPUTS LIST'!$C$5, IF($G$318='4. INPUTS LIST'!$B$6,'4. INPUTS LIST'!$C$6, IF($G$318='4. INPUTS LIST'!$B$7,'4. INPUTS LIST'!$C$7, IF($G$318='4. INPUTS LIST'!$B$8,'4. INPUTS LIST'!$C$8, IF($G$318='4. INPUTS LIST'!$B$9,'4. INPUTS LIST'!$C$9, IF($G$318='4. INPUTS LIST'!$B$10,'4. INPUTS LIST'!$C$10, IF($G$318='4. INPUTS LIST'!$B$11,'4. INPUTS LIST'!$C$11, IF($G$318='4. INPUTS LIST'!$B$12,'4. INPUTS LIST'!$C$12))))))))))</f>
        <v>market for electricity, medium voltage</v>
      </c>
      <c r="B318" s="297">
        <f>'24. WAFER FAB'!$D$38</f>
        <v>0.47097533388089891</v>
      </c>
      <c r="C318" s="3" t="s">
        <v>342</v>
      </c>
      <c r="D318" s="3" t="s">
        <v>385</v>
      </c>
      <c r="E318" s="58" t="str">
        <f>IF($A$318='4. INPUTS LIST'!$C$3,'4. INPUTS LIST'!$D$3, IF($A$318='4. INPUTS LIST'!$C$7, '4. INPUTS LIST'!$D$7, IF($A$318='4. INPUTS LIST'!$C$12,'4. INPUTS LIST'!$D$12)))</f>
        <v>electricity, medium voltage</v>
      </c>
      <c r="F318" s="3" t="s">
        <v>371</v>
      </c>
      <c r="G318" s="3" t="str">
        <f>'1. USER INPUTS'!$E$24</f>
        <v>JP</v>
      </c>
      <c r="H318" s="3" t="s">
        <v>154</v>
      </c>
      <c r="I318" s="58">
        <v>2</v>
      </c>
      <c r="J318" s="58">
        <f t="shared" ref="J318:J331" si="101">IF(B318=0,"(Unknown)",LN((ABS(B318))))</f>
        <v>-0.75294955601667901</v>
      </c>
      <c r="K318" s="58">
        <f t="shared" ref="K318:K331" si="102">IF(B318&gt;0,SQRT(LN(L318)),"(Unknown)")</f>
        <v>0.50800566730232333</v>
      </c>
      <c r="L318" s="90">
        <f t="shared" ref="L318:L331" si="103">IF(B318&gt;0,(EXP(SQRT((LN(X318))^2+(LN(R318))^2+(LN(S318))^2+(LN(T318))^2+(LN(U318))^2+(LN(V318))^2))),"(Unknown)")</f>
        <v>1.2944291122754621</v>
      </c>
      <c r="M318" s="58">
        <v>4</v>
      </c>
      <c r="N318" s="58">
        <v>5</v>
      </c>
      <c r="O318" s="58">
        <v>5</v>
      </c>
      <c r="P318" s="58">
        <v>5</v>
      </c>
      <c r="Q318" s="58">
        <v>3</v>
      </c>
      <c r="R318" s="58">
        <f>IF(M318=1, '6. PEDIGREE MATRIX'!$B$4, IF(M318=2, '6. PEDIGREE MATRIX'!$C$4, IF(M318=3, '6. PEDIGREE MATRIX'!$D$4, IF(M318=4, '6. PEDIGREE MATRIX'!$E$4, IF(M318=5, '6. PEDIGREE MATRIX'!$F$4)))))</f>
        <v>1.0935646911485417</v>
      </c>
      <c r="S318" s="58">
        <f>IF(N318=1, '6. PEDIGREE MATRIX'!$B$6, IF(N318=2, '6. PEDIGREE MATRIX'!$C$6, IF(N318=3, '6. PEDIGREE MATRIX'!$D$6, IF(N318=4, '6. PEDIGREE MATRIX'!$E$6, IF(N318=5, '6. PEDIGREE MATRIX'!$F$6)))))</f>
        <v>1.0935646911485417</v>
      </c>
      <c r="T318" s="58">
        <f>IF(O318=1, '6. PEDIGREE MATRIX'!$B$8, IF(O318=2, '6. PEDIGREE MATRIX'!$C$8, IF(O318=3, '6. PEDIGREE MATRIX'!$D$8, IF(O318=4, '6. PEDIGREE MATRIX'!$E$8, IF(O318=5, '6. PEDIGREE MATRIX'!$F$8)))))</f>
        <v>1.2214027581601699</v>
      </c>
      <c r="U318" s="58">
        <f>IF(P318=1, '6. PEDIGREE MATRIX'!$B$10, IF(P318=2, '6. PEDIGREE MATRIX'!$C$10, IF(P318=3, '6. PEDIGREE MATRIX'!$D$10, IF(P318=4, '6. PEDIGREE MATRIX'!$E$10, IF(P318=5, '6. PEDIGREE MATRIX'!$F$10)))))</f>
        <v>1.0457364348384068</v>
      </c>
      <c r="V318" s="58">
        <f>IF(Q318=1, '6. PEDIGREE MATRIX'!$B$12, IF(Q318=2, '6. PEDIGREE MATRIX'!$C$12, IF(Q318=3, '6. PEDIGREE MATRIX'!$D$12, IF(Q318=4, '6. PEDIGREE MATRIX'!$E$12, IF(Q318=5, '6. PEDIGREE MATRIX'!$F$12)))))</f>
        <v>1.0935646911485417</v>
      </c>
      <c r="W318" s="58">
        <v>5.9999999999999995E-4</v>
      </c>
      <c r="X318" s="63">
        <f t="shared" ref="X318:X331" si="104">EXP(SQRT(W318))</f>
        <v>1.0247973619913604</v>
      </c>
    </row>
    <row r="319" spans="1:24" x14ac:dyDescent="0.3">
      <c r="A319" s="285" t="str">
        <f>IF($G$319='4. INPUTS LIST'!$B$3,'4. INPUTS LIST'!$C$3, IF($G$319='4. INPUTS LIST'!$B$4,'4. INPUTS LIST'!$C$4, IF($G$319='4. INPUTS LIST'!$B$5,'4. INPUTS LIST'!$C$5, IF($G$319='4. INPUTS LIST'!$B$6,'4. INPUTS LIST'!$C$6, IF($G$319='4. INPUTS LIST'!$B$7,'4. INPUTS LIST'!$C$7, IF($G$319='4. INPUTS LIST'!$B$8,'4. INPUTS LIST'!$C$8, IF($G$319='4. INPUTS LIST'!$B$9,'4. INPUTS LIST'!$C$9, IF($G$319='4. INPUTS LIST'!$B$10,'4. INPUTS LIST'!$C$10, IF($G$319='4. INPUTS LIST'!$B$11,'4. INPUTS LIST'!$C$11, IF($G$319='4. INPUTS LIST'!$B$12,'4. INPUTS LIST'!$C$12))))))))))</f>
        <v>market for electricity, medium voltage</v>
      </c>
      <c r="B319" s="297">
        <f>'24. WAFER FAB'!$D$39</f>
        <v>8.2107608988746181E-2</v>
      </c>
      <c r="C319" s="3" t="s">
        <v>342</v>
      </c>
      <c r="D319" s="3" t="s">
        <v>385</v>
      </c>
      <c r="E319" s="58" t="str">
        <f>IF($A$319='4. INPUTS LIST'!$C$3,'4. INPUTS LIST'!$D$3, IF($A$319='4. INPUTS LIST'!$C$7, '4. INPUTS LIST'!$D$7, IF($A$319='4. INPUTS LIST'!$C$12,'4. INPUTS LIST'!$D$12)))</f>
        <v>electricity, medium voltage</v>
      </c>
      <c r="F319" s="3" t="s">
        <v>371</v>
      </c>
      <c r="G319" s="3" t="str">
        <f>'1. USER INPUTS'!$E$24</f>
        <v>JP</v>
      </c>
      <c r="H319" s="3" t="s">
        <v>154</v>
      </c>
      <c r="I319" s="58">
        <v>2</v>
      </c>
      <c r="J319" s="58">
        <f t="shared" si="101"/>
        <v>-2.4997245872963583</v>
      </c>
      <c r="K319" s="58">
        <f t="shared" si="102"/>
        <v>0.50800566730232333</v>
      </c>
      <c r="L319" s="90">
        <f t="shared" si="103"/>
        <v>1.2944291122754621</v>
      </c>
      <c r="M319" s="58">
        <v>4</v>
      </c>
      <c r="N319" s="58">
        <v>5</v>
      </c>
      <c r="O319" s="58">
        <v>5</v>
      </c>
      <c r="P319" s="58">
        <v>5</v>
      </c>
      <c r="Q319" s="58">
        <v>3</v>
      </c>
      <c r="R319" s="58">
        <f>IF(M319=1, '6. PEDIGREE MATRIX'!$B$4, IF(M319=2, '6. PEDIGREE MATRIX'!$C$4, IF(M319=3, '6. PEDIGREE MATRIX'!$D$4, IF(M319=4, '6. PEDIGREE MATRIX'!$E$4, IF(M319=5, '6. PEDIGREE MATRIX'!$F$4)))))</f>
        <v>1.0935646911485417</v>
      </c>
      <c r="S319" s="58">
        <f>IF(N319=1, '6. PEDIGREE MATRIX'!$B$6, IF(N319=2, '6. PEDIGREE MATRIX'!$C$6, IF(N319=3, '6. PEDIGREE MATRIX'!$D$6, IF(N319=4, '6. PEDIGREE MATRIX'!$E$6, IF(N319=5, '6. PEDIGREE MATRIX'!$F$6)))))</f>
        <v>1.0935646911485417</v>
      </c>
      <c r="T319" s="58">
        <f>IF(O319=1, '6. PEDIGREE MATRIX'!$B$8, IF(O319=2, '6. PEDIGREE MATRIX'!$C$8, IF(O319=3, '6. PEDIGREE MATRIX'!$D$8, IF(O319=4, '6. PEDIGREE MATRIX'!$E$8, IF(O319=5, '6. PEDIGREE MATRIX'!$F$8)))))</f>
        <v>1.2214027581601699</v>
      </c>
      <c r="U319" s="58">
        <f>IF(P319=1, '6. PEDIGREE MATRIX'!$B$10, IF(P319=2, '6. PEDIGREE MATRIX'!$C$10, IF(P319=3, '6. PEDIGREE MATRIX'!$D$10, IF(P319=4, '6. PEDIGREE MATRIX'!$E$10, IF(P319=5, '6. PEDIGREE MATRIX'!$F$10)))))</f>
        <v>1.0457364348384068</v>
      </c>
      <c r="V319" s="58">
        <f>IF(Q319=1, '6. PEDIGREE MATRIX'!$B$12, IF(Q319=2, '6. PEDIGREE MATRIX'!$C$12, IF(Q319=3, '6. PEDIGREE MATRIX'!$D$12, IF(Q319=4, '6. PEDIGREE MATRIX'!$E$12, IF(Q319=5, '6. PEDIGREE MATRIX'!$F$12)))))</f>
        <v>1.0935646911485417</v>
      </c>
      <c r="W319" s="58">
        <v>5.9999999999999995E-4</v>
      </c>
      <c r="X319" s="63">
        <f t="shared" si="104"/>
        <v>1.0247973619913604</v>
      </c>
    </row>
    <row r="320" spans="1:24" x14ac:dyDescent="0.3">
      <c r="A320" s="285" t="str">
        <f>IF($G$320='4. INPUTS LIST'!$B$3,'4. INPUTS LIST'!$C$3, IF($G$320='4. INPUTS LIST'!$B$4,'4. INPUTS LIST'!$C$4, IF($G$320='4. INPUTS LIST'!$B$5,'4. INPUTS LIST'!$C$5, IF($G$320='4. INPUTS LIST'!$B$6,'4. INPUTS LIST'!$C$6, IF($G$320='4. INPUTS LIST'!$B$7,'4. INPUTS LIST'!$C$7, IF($G$320='4. INPUTS LIST'!$B$8,'4. INPUTS LIST'!$C$8, IF($G$320='4. INPUTS LIST'!$B$9,'4. INPUTS LIST'!$C$9, IF($G$320='4. INPUTS LIST'!$B$10,'4. INPUTS LIST'!$C$10, IF($G$320='4. INPUTS LIST'!$B$11,'4. INPUTS LIST'!$C$11, IF($G$320='4. INPUTS LIST'!$B$12,'4. INPUTS LIST'!$C$12))))))))))</f>
        <v>market for electricity, medium voltage</v>
      </c>
      <c r="B320" s="297">
        <f>'24. WAFER FAB'!$D$40</f>
        <v>4.2963326736507886E-2</v>
      </c>
      <c r="C320" s="3" t="s">
        <v>342</v>
      </c>
      <c r="D320" s="3" t="s">
        <v>385</v>
      </c>
      <c r="E320" s="58" t="str">
        <f>IF($A$320='4. INPUTS LIST'!$C$3,'4. INPUTS LIST'!$D$3, IF($A$320='4. INPUTS LIST'!$C$7, '4. INPUTS LIST'!$D$7, IF($A$320='4. INPUTS LIST'!$C$12,'4. INPUTS LIST'!$D$12)))</f>
        <v>electricity, medium voltage</v>
      </c>
      <c r="F320" s="3" t="s">
        <v>371</v>
      </c>
      <c r="G320" s="3" t="str">
        <f>'1. USER INPUTS'!$E$24</f>
        <v>JP</v>
      </c>
      <c r="H320" s="3" t="s">
        <v>154</v>
      </c>
      <c r="I320" s="58">
        <v>2</v>
      </c>
      <c r="J320" s="58">
        <f t="shared" ref="J320:J321" si="105">IF(B320=0,"(Unknown)",LN((ABS(B320))))</f>
        <v>-3.1474083937790458</v>
      </c>
      <c r="K320" s="58">
        <f t="shared" ref="K320:K321" si="106">IF(B320&gt;0,SQRT(LN(L320)),"(Unknown)")</f>
        <v>0.50800566730232333</v>
      </c>
      <c r="L320" s="90">
        <f t="shared" ref="L320:L321" si="107">IF(B320&gt;0,(EXP(SQRT((LN(X320))^2+(LN(R320))^2+(LN(S320))^2+(LN(T320))^2+(LN(U320))^2+(LN(V320))^2))),"(Unknown)")</f>
        <v>1.2944291122754621</v>
      </c>
      <c r="M320" s="58">
        <v>4</v>
      </c>
      <c r="N320" s="58">
        <v>5</v>
      </c>
      <c r="O320" s="58">
        <v>5</v>
      </c>
      <c r="P320" s="58">
        <v>5</v>
      </c>
      <c r="Q320" s="58">
        <v>3</v>
      </c>
      <c r="R320" s="58">
        <f>IF(M320=1, '6. PEDIGREE MATRIX'!$B$4, IF(M320=2, '6. PEDIGREE MATRIX'!$C$4, IF(M320=3, '6. PEDIGREE MATRIX'!$D$4, IF(M320=4, '6. PEDIGREE MATRIX'!$E$4, IF(M320=5, '6. PEDIGREE MATRIX'!$F$4)))))</f>
        <v>1.0935646911485417</v>
      </c>
      <c r="S320" s="58">
        <f>IF(N320=1, '6. PEDIGREE MATRIX'!$B$6, IF(N320=2, '6. PEDIGREE MATRIX'!$C$6, IF(N320=3, '6. PEDIGREE MATRIX'!$D$6, IF(N320=4, '6. PEDIGREE MATRIX'!$E$6, IF(N320=5, '6. PEDIGREE MATRIX'!$F$6)))))</f>
        <v>1.0935646911485417</v>
      </c>
      <c r="T320" s="58">
        <f>IF(O320=1, '6. PEDIGREE MATRIX'!$B$8, IF(O320=2, '6. PEDIGREE MATRIX'!$C$8, IF(O320=3, '6. PEDIGREE MATRIX'!$D$8, IF(O320=4, '6. PEDIGREE MATRIX'!$E$8, IF(O320=5, '6. PEDIGREE MATRIX'!$F$8)))))</f>
        <v>1.2214027581601699</v>
      </c>
      <c r="U320" s="58">
        <f>IF(P320=1, '6. PEDIGREE MATRIX'!$B$10, IF(P320=2, '6. PEDIGREE MATRIX'!$C$10, IF(P320=3, '6. PEDIGREE MATRIX'!$D$10, IF(P320=4, '6. PEDIGREE MATRIX'!$E$10, IF(P320=5, '6. PEDIGREE MATRIX'!$F$10)))))</f>
        <v>1.0457364348384068</v>
      </c>
      <c r="V320" s="58">
        <f>IF(Q320=1, '6. PEDIGREE MATRIX'!$B$12, IF(Q320=2, '6. PEDIGREE MATRIX'!$C$12, IF(Q320=3, '6. PEDIGREE MATRIX'!$D$12, IF(Q320=4, '6. PEDIGREE MATRIX'!$E$12, IF(Q320=5, '6. PEDIGREE MATRIX'!$F$12)))))</f>
        <v>1.0935646911485417</v>
      </c>
      <c r="W320" s="58">
        <v>5.9999999999999995E-4</v>
      </c>
      <c r="X320" s="63">
        <f t="shared" ref="X320:X321" si="108">EXP(SQRT(W320))</f>
        <v>1.0247973619913604</v>
      </c>
    </row>
    <row r="321" spans="1:24" x14ac:dyDescent="0.3">
      <c r="A321" s="293" t="s">
        <v>713</v>
      </c>
      <c r="B321" s="297">
        <f>'24. WAFER FAB'!$D$41</f>
        <v>0.64722290711903918</v>
      </c>
      <c r="C321" s="3" t="s">
        <v>153</v>
      </c>
      <c r="D321" s="3" t="s">
        <v>385</v>
      </c>
      <c r="E321" s="58" t="s">
        <v>928</v>
      </c>
      <c r="F321" s="3" t="s">
        <v>371</v>
      </c>
      <c r="G321" s="3" t="s">
        <v>346</v>
      </c>
      <c r="H321" s="3" t="s">
        <v>154</v>
      </c>
      <c r="I321" s="58">
        <v>2</v>
      </c>
      <c r="J321" s="58">
        <f t="shared" si="105"/>
        <v>-0.43506451967534077</v>
      </c>
      <c r="K321" s="58">
        <f t="shared" si="106"/>
        <v>0.50800566730232333</v>
      </c>
      <c r="L321" s="90">
        <f t="shared" si="107"/>
        <v>1.2944291122754621</v>
      </c>
      <c r="M321" s="58">
        <v>4</v>
      </c>
      <c r="N321" s="58">
        <v>5</v>
      </c>
      <c r="O321" s="58">
        <v>5</v>
      </c>
      <c r="P321" s="58">
        <v>5</v>
      </c>
      <c r="Q321" s="58">
        <v>3</v>
      </c>
      <c r="R321" s="58">
        <f>IF(M321=1, '6. PEDIGREE MATRIX'!$B$4, IF(M321=2, '6. PEDIGREE MATRIX'!$C$4, IF(M321=3, '6. PEDIGREE MATRIX'!$D$4, IF(M321=4, '6. PEDIGREE MATRIX'!$E$4, IF(M321=5, '6. PEDIGREE MATRIX'!$F$4)))))</f>
        <v>1.0935646911485417</v>
      </c>
      <c r="S321" s="58">
        <f>IF(N321=1, '6. PEDIGREE MATRIX'!$B$6, IF(N321=2, '6. PEDIGREE MATRIX'!$C$6, IF(N321=3, '6. PEDIGREE MATRIX'!$D$6, IF(N321=4, '6. PEDIGREE MATRIX'!$E$6, IF(N321=5, '6. PEDIGREE MATRIX'!$F$6)))))</f>
        <v>1.0935646911485417</v>
      </c>
      <c r="T321" s="58">
        <f>IF(O321=1, '6. PEDIGREE MATRIX'!$B$8, IF(O321=2, '6. PEDIGREE MATRIX'!$C$8, IF(O321=3, '6. PEDIGREE MATRIX'!$D$8, IF(O321=4, '6. PEDIGREE MATRIX'!$E$8, IF(O321=5, '6. PEDIGREE MATRIX'!$F$8)))))</f>
        <v>1.2214027581601699</v>
      </c>
      <c r="U321" s="58">
        <f>IF(P321=1, '6. PEDIGREE MATRIX'!$B$10, IF(P321=2, '6. PEDIGREE MATRIX'!$C$10, IF(P321=3, '6. PEDIGREE MATRIX'!$D$10, IF(P321=4, '6. PEDIGREE MATRIX'!$E$10, IF(P321=5, '6. PEDIGREE MATRIX'!$F$10)))))</f>
        <v>1.0457364348384068</v>
      </c>
      <c r="V321" s="58">
        <f>IF(Q321=1, '6. PEDIGREE MATRIX'!$B$12, IF(Q321=2, '6. PEDIGREE MATRIX'!$C$12, IF(Q321=3, '6. PEDIGREE MATRIX'!$D$12, IF(Q321=4, '6. PEDIGREE MATRIX'!$E$12, IF(Q321=5, '6. PEDIGREE MATRIX'!$F$12)))))</f>
        <v>1.0935646911485417</v>
      </c>
      <c r="W321" s="58">
        <v>5.9999999999999995E-4</v>
      </c>
      <c r="X321" s="63">
        <f t="shared" si="108"/>
        <v>1.0247973619913604</v>
      </c>
    </row>
    <row r="322" spans="1:24" x14ac:dyDescent="0.3">
      <c r="A322" s="293" t="str">
        <f>IF($G$322='4. INPUTS LIST'!$B$3,'4. INPUTS LIST'!$C$3, IF($G$322='4. INPUTS LIST'!$B$4,'4. INPUTS LIST'!$C$4, IF($G$322='4. INPUTS LIST'!$B$5,'4. INPUTS LIST'!$C$5, IF($G$322='4. INPUTS LIST'!$B$6,'4. INPUTS LIST'!$C$6, IF($G$322='4. INPUTS LIST'!$B$7,'4. INPUTS LIST'!$C$7, IF($G$322='4. INPUTS LIST'!$B$8,'4. INPUTS LIST'!$C$8, IF($G$322='4. INPUTS LIST'!$B$9,'4. INPUTS LIST'!$C$9, IF($G$322='4. INPUTS LIST'!$B$10,'4. INPUTS LIST'!$C$10, IF($G$322='4. INPUTS LIST'!$B$11,'4. INPUTS LIST'!$C$11, IF($G$322='4. INPUTS LIST'!$B$12,'4. INPUTS LIST'!$C$12))))))))))</f>
        <v>market for electricity, medium voltage</v>
      </c>
      <c r="B322" s="297">
        <f>'24. WAFER FAB'!$D$42</f>
        <v>1.7755438798122491E-4</v>
      </c>
      <c r="C322" s="3" t="s">
        <v>342</v>
      </c>
      <c r="D322" s="3" t="s">
        <v>385</v>
      </c>
      <c r="E322" s="58" t="str">
        <f>IF($A$322='4. INPUTS LIST'!$C$3,'4. INPUTS LIST'!$D$3, IF($A$322='4. INPUTS LIST'!$C$7, '4. INPUTS LIST'!$D$7, IF($A$322='4. INPUTS LIST'!$C$12,'4. INPUTS LIST'!$D$12)))</f>
        <v>electricity, medium voltage</v>
      </c>
      <c r="F322" s="3" t="s">
        <v>371</v>
      </c>
      <c r="G322" s="3" t="str">
        <f>'1. USER INPUTS'!$E$24</f>
        <v>JP</v>
      </c>
      <c r="H322" s="3" t="s">
        <v>154</v>
      </c>
      <c r="I322" s="58">
        <v>2</v>
      </c>
      <c r="J322" s="58">
        <f t="shared" si="101"/>
        <v>-8.6362335848212854</v>
      </c>
      <c r="K322" s="58">
        <f t="shared" si="102"/>
        <v>0.50800566730232333</v>
      </c>
      <c r="L322" s="90">
        <f t="shared" si="103"/>
        <v>1.2944291122754621</v>
      </c>
      <c r="M322" s="58">
        <v>4</v>
      </c>
      <c r="N322" s="58">
        <v>5</v>
      </c>
      <c r="O322" s="58">
        <v>5</v>
      </c>
      <c r="P322" s="58">
        <v>5</v>
      </c>
      <c r="Q322" s="58">
        <v>3</v>
      </c>
      <c r="R322" s="58">
        <f>IF(M322=1, '6. PEDIGREE MATRIX'!$B$4, IF(M322=2, '6. PEDIGREE MATRIX'!$C$4, IF(M322=3, '6. PEDIGREE MATRIX'!$D$4, IF(M322=4, '6. PEDIGREE MATRIX'!$E$4, IF(M322=5, '6. PEDIGREE MATRIX'!$F$4)))))</f>
        <v>1.0935646911485417</v>
      </c>
      <c r="S322" s="58">
        <f>IF(N322=1, '6. PEDIGREE MATRIX'!$B$6, IF(N322=2, '6. PEDIGREE MATRIX'!$C$6, IF(N322=3, '6. PEDIGREE MATRIX'!$D$6, IF(N322=4, '6. PEDIGREE MATRIX'!$E$6, IF(N322=5, '6. PEDIGREE MATRIX'!$F$6)))))</f>
        <v>1.0935646911485417</v>
      </c>
      <c r="T322" s="58">
        <f>IF(O322=1, '6. PEDIGREE MATRIX'!$B$8, IF(O322=2, '6. PEDIGREE MATRIX'!$C$8, IF(O322=3, '6. PEDIGREE MATRIX'!$D$8, IF(O322=4, '6. PEDIGREE MATRIX'!$E$8, IF(O322=5, '6. PEDIGREE MATRIX'!$F$8)))))</f>
        <v>1.2214027581601699</v>
      </c>
      <c r="U322" s="58">
        <f>IF(P322=1, '6. PEDIGREE MATRIX'!$B$10, IF(P322=2, '6. PEDIGREE MATRIX'!$C$10, IF(P322=3, '6. PEDIGREE MATRIX'!$D$10, IF(P322=4, '6. PEDIGREE MATRIX'!$E$10, IF(P322=5, '6. PEDIGREE MATRIX'!$F$10)))))</f>
        <v>1.0457364348384068</v>
      </c>
      <c r="V322" s="58">
        <f>IF(Q322=1, '6. PEDIGREE MATRIX'!$B$12, IF(Q322=2, '6. PEDIGREE MATRIX'!$C$12, IF(Q322=3, '6. PEDIGREE MATRIX'!$D$12, IF(Q322=4, '6. PEDIGREE MATRIX'!$E$12, IF(Q322=5, '6. PEDIGREE MATRIX'!$F$12)))))</f>
        <v>1.0935646911485417</v>
      </c>
      <c r="W322" s="58">
        <v>5.9999999999999995E-4</v>
      </c>
      <c r="X322" s="63">
        <f t="shared" si="104"/>
        <v>1.0247973619913604</v>
      </c>
    </row>
    <row r="323" spans="1:24" x14ac:dyDescent="0.3">
      <c r="A323" s="293" t="s">
        <v>708</v>
      </c>
      <c r="B323" s="297">
        <f>'24. WAFER FAB'!$D$43</f>
        <v>1.5675576609499902E-2</v>
      </c>
      <c r="C323" s="3" t="s">
        <v>153</v>
      </c>
      <c r="D323" s="3" t="s">
        <v>385</v>
      </c>
      <c r="E323" s="58" t="s">
        <v>929</v>
      </c>
      <c r="F323" s="3" t="s">
        <v>371</v>
      </c>
      <c r="G323" s="3" t="s">
        <v>346</v>
      </c>
      <c r="H323" s="3" t="s">
        <v>154</v>
      </c>
      <c r="I323" s="58">
        <v>2</v>
      </c>
      <c r="J323" s="58">
        <f t="shared" ref="J323" si="109">IF(B323=0,"(Unknown)",LN((ABS(B323))))</f>
        <v>-4.1556514078446654</v>
      </c>
      <c r="K323" s="58">
        <f t="shared" ref="K323" si="110">IF(B323&gt;0,SQRT(LN(L323)),"(Unknown)")</f>
        <v>0.50800566730232333</v>
      </c>
      <c r="L323" s="90">
        <f t="shared" ref="L323" si="111">IF(B323&gt;0,(EXP(SQRT((LN(X323))^2+(LN(R323))^2+(LN(S323))^2+(LN(T323))^2+(LN(U323))^2+(LN(V323))^2))),"(Unknown)")</f>
        <v>1.2944291122754621</v>
      </c>
      <c r="M323" s="58">
        <v>4</v>
      </c>
      <c r="N323" s="58">
        <v>5</v>
      </c>
      <c r="O323" s="58">
        <v>5</v>
      </c>
      <c r="P323" s="58">
        <v>5</v>
      </c>
      <c r="Q323" s="58">
        <v>3</v>
      </c>
      <c r="R323" s="58">
        <f>IF(M323=1, '6. PEDIGREE MATRIX'!$B$4, IF(M323=2, '6. PEDIGREE MATRIX'!$C$4, IF(M323=3, '6. PEDIGREE MATRIX'!$D$4, IF(M323=4, '6. PEDIGREE MATRIX'!$E$4, IF(M323=5, '6. PEDIGREE MATRIX'!$F$4)))))</f>
        <v>1.0935646911485417</v>
      </c>
      <c r="S323" s="58">
        <f>IF(N323=1, '6. PEDIGREE MATRIX'!$B$6, IF(N323=2, '6. PEDIGREE MATRIX'!$C$6, IF(N323=3, '6. PEDIGREE MATRIX'!$D$6, IF(N323=4, '6. PEDIGREE MATRIX'!$E$6, IF(N323=5, '6. PEDIGREE MATRIX'!$F$6)))))</f>
        <v>1.0935646911485417</v>
      </c>
      <c r="T323" s="58">
        <f>IF(O323=1, '6. PEDIGREE MATRIX'!$B$8, IF(O323=2, '6. PEDIGREE MATRIX'!$C$8, IF(O323=3, '6. PEDIGREE MATRIX'!$D$8, IF(O323=4, '6. PEDIGREE MATRIX'!$E$8, IF(O323=5, '6. PEDIGREE MATRIX'!$F$8)))))</f>
        <v>1.2214027581601699</v>
      </c>
      <c r="U323" s="58">
        <f>IF(P323=1, '6. PEDIGREE MATRIX'!$B$10, IF(P323=2, '6. PEDIGREE MATRIX'!$C$10, IF(P323=3, '6. PEDIGREE MATRIX'!$D$10, IF(P323=4, '6. PEDIGREE MATRIX'!$E$10, IF(P323=5, '6. PEDIGREE MATRIX'!$F$10)))))</f>
        <v>1.0457364348384068</v>
      </c>
      <c r="V323" s="58">
        <f>IF(Q323=1, '6. PEDIGREE MATRIX'!$B$12, IF(Q323=2, '6. PEDIGREE MATRIX'!$C$12, IF(Q323=3, '6. PEDIGREE MATRIX'!$D$12, IF(Q323=4, '6. PEDIGREE MATRIX'!$E$12, IF(Q323=5, '6. PEDIGREE MATRIX'!$F$12)))))</f>
        <v>1.0935646911485417</v>
      </c>
      <c r="W323" s="58">
        <v>5.9999999999999995E-4</v>
      </c>
      <c r="X323" s="63">
        <f t="shared" ref="X323" si="112">EXP(SQRT(W323))</f>
        <v>1.0247973619913604</v>
      </c>
    </row>
    <row r="324" spans="1:24" x14ac:dyDescent="0.3">
      <c r="A324" s="262" t="s">
        <v>431</v>
      </c>
      <c r="B324" s="297">
        <f>'24. WAFER FAB'!$D$44</f>
        <v>4.6349441151675875E-3</v>
      </c>
      <c r="C324" s="3" t="s">
        <v>153</v>
      </c>
      <c r="D324" s="3" t="s">
        <v>385</v>
      </c>
      <c r="E324" s="58" t="s">
        <v>162</v>
      </c>
      <c r="F324" s="3" t="s">
        <v>371</v>
      </c>
      <c r="G324" s="3" t="s">
        <v>429</v>
      </c>
      <c r="H324" s="3" t="s">
        <v>154</v>
      </c>
      <c r="I324" s="58">
        <v>2</v>
      </c>
      <c r="J324" s="58">
        <f t="shared" ref="J324:J329" si="113">IF(B324=0,"(Unknown)",LN((ABS(B324))))</f>
        <v>-5.374131137174528</v>
      </c>
      <c r="K324" s="58">
        <f t="shared" ref="K324:K329" si="114">IF(B324&gt;0,SQRT(LN(L324)),"(Unknown)")</f>
        <v>0.50800566730232333</v>
      </c>
      <c r="L324" s="90">
        <f t="shared" ref="L324:L329" si="115">IF(B324&gt;0,(EXP(SQRT((LN(X324))^2+(LN(R324))^2+(LN(S324))^2+(LN(T324))^2+(LN(U324))^2+(LN(V324))^2))),"(Unknown)")</f>
        <v>1.2944291122754621</v>
      </c>
      <c r="M324" s="58">
        <v>4</v>
      </c>
      <c r="N324" s="58">
        <v>5</v>
      </c>
      <c r="O324" s="58">
        <v>5</v>
      </c>
      <c r="P324" s="58">
        <v>5</v>
      </c>
      <c r="Q324" s="58">
        <v>3</v>
      </c>
      <c r="R324" s="58">
        <f>IF(M324=1, '6. PEDIGREE MATRIX'!$B$4, IF(M324=2, '6. PEDIGREE MATRIX'!$C$4, IF(M324=3, '6. PEDIGREE MATRIX'!$D$4, IF(M324=4, '6. PEDIGREE MATRIX'!$E$4, IF(M324=5, '6. PEDIGREE MATRIX'!$F$4)))))</f>
        <v>1.0935646911485417</v>
      </c>
      <c r="S324" s="58">
        <f>IF(N324=1, '6. PEDIGREE MATRIX'!$B$6, IF(N324=2, '6. PEDIGREE MATRIX'!$C$6, IF(N324=3, '6. PEDIGREE MATRIX'!$D$6, IF(N324=4, '6. PEDIGREE MATRIX'!$E$6, IF(N324=5, '6. PEDIGREE MATRIX'!$F$6)))))</f>
        <v>1.0935646911485417</v>
      </c>
      <c r="T324" s="58">
        <f>IF(O324=1, '6. PEDIGREE MATRIX'!$B$8, IF(O324=2, '6. PEDIGREE MATRIX'!$C$8, IF(O324=3, '6. PEDIGREE MATRIX'!$D$8, IF(O324=4, '6. PEDIGREE MATRIX'!$E$8, IF(O324=5, '6. PEDIGREE MATRIX'!$F$8)))))</f>
        <v>1.2214027581601699</v>
      </c>
      <c r="U324" s="58">
        <f>IF(P324=1, '6. PEDIGREE MATRIX'!$B$10, IF(P324=2, '6. PEDIGREE MATRIX'!$C$10, IF(P324=3, '6. PEDIGREE MATRIX'!$D$10, IF(P324=4, '6. PEDIGREE MATRIX'!$E$10, IF(P324=5, '6. PEDIGREE MATRIX'!$F$10)))))</f>
        <v>1.0457364348384068</v>
      </c>
      <c r="V324" s="58">
        <f>IF(Q324=1, '6. PEDIGREE MATRIX'!$B$12, IF(Q324=2, '6. PEDIGREE MATRIX'!$C$12, IF(Q324=3, '6. PEDIGREE MATRIX'!$D$12, IF(Q324=4, '6. PEDIGREE MATRIX'!$E$12, IF(Q324=5, '6. PEDIGREE MATRIX'!$F$12)))))</f>
        <v>1.0935646911485417</v>
      </c>
      <c r="W324" s="58">
        <v>5.9999999999999995E-4</v>
      </c>
      <c r="X324" s="63">
        <f t="shared" ref="X324:X329" si="116">EXP(SQRT(W324))</f>
        <v>1.0247973619913604</v>
      </c>
    </row>
    <row r="325" spans="1:24" x14ac:dyDescent="0.3">
      <c r="A325" s="293" t="s">
        <v>713</v>
      </c>
      <c r="B325" s="297">
        <f>'24. WAFER FAB'!$D$45</f>
        <v>2.6490446211557606E-2</v>
      </c>
      <c r="C325" s="3" t="s">
        <v>153</v>
      </c>
      <c r="D325" s="3" t="s">
        <v>385</v>
      </c>
      <c r="E325" s="58" t="s">
        <v>928</v>
      </c>
      <c r="F325" s="3" t="s">
        <v>371</v>
      </c>
      <c r="G325" s="3" t="s">
        <v>346</v>
      </c>
      <c r="H325" s="3" t="s">
        <v>154</v>
      </c>
      <c r="I325" s="58">
        <v>2</v>
      </c>
      <c r="J325" s="58">
        <f t="shared" si="113"/>
        <v>-3.6309711313116151</v>
      </c>
      <c r="K325" s="58">
        <f t="shared" si="114"/>
        <v>0.50800566730232333</v>
      </c>
      <c r="L325" s="90">
        <f t="shared" si="115"/>
        <v>1.2944291122754621</v>
      </c>
      <c r="M325" s="58">
        <v>4</v>
      </c>
      <c r="N325" s="58">
        <v>5</v>
      </c>
      <c r="O325" s="58">
        <v>5</v>
      </c>
      <c r="P325" s="58">
        <v>5</v>
      </c>
      <c r="Q325" s="58">
        <v>3</v>
      </c>
      <c r="R325" s="58">
        <f>IF(M325=1, '6. PEDIGREE MATRIX'!$B$4, IF(M325=2, '6. PEDIGREE MATRIX'!$C$4, IF(M325=3, '6. PEDIGREE MATRIX'!$D$4, IF(M325=4, '6. PEDIGREE MATRIX'!$E$4, IF(M325=5, '6. PEDIGREE MATRIX'!$F$4)))))</f>
        <v>1.0935646911485417</v>
      </c>
      <c r="S325" s="58">
        <f>IF(N325=1, '6. PEDIGREE MATRIX'!$B$6, IF(N325=2, '6. PEDIGREE MATRIX'!$C$6, IF(N325=3, '6. PEDIGREE MATRIX'!$D$6, IF(N325=4, '6. PEDIGREE MATRIX'!$E$6, IF(N325=5, '6. PEDIGREE MATRIX'!$F$6)))))</f>
        <v>1.0935646911485417</v>
      </c>
      <c r="T325" s="58">
        <f>IF(O325=1, '6. PEDIGREE MATRIX'!$B$8, IF(O325=2, '6. PEDIGREE MATRIX'!$C$8, IF(O325=3, '6. PEDIGREE MATRIX'!$D$8, IF(O325=4, '6. PEDIGREE MATRIX'!$E$8, IF(O325=5, '6. PEDIGREE MATRIX'!$F$8)))))</f>
        <v>1.2214027581601699</v>
      </c>
      <c r="U325" s="58">
        <f>IF(P325=1, '6. PEDIGREE MATRIX'!$B$10, IF(P325=2, '6. PEDIGREE MATRIX'!$C$10, IF(P325=3, '6. PEDIGREE MATRIX'!$D$10, IF(P325=4, '6. PEDIGREE MATRIX'!$E$10, IF(P325=5, '6. PEDIGREE MATRIX'!$F$10)))))</f>
        <v>1.0457364348384068</v>
      </c>
      <c r="V325" s="58">
        <f>IF(Q325=1, '6. PEDIGREE MATRIX'!$B$12, IF(Q325=2, '6. PEDIGREE MATRIX'!$C$12, IF(Q325=3, '6. PEDIGREE MATRIX'!$D$12, IF(Q325=4, '6. PEDIGREE MATRIX'!$E$12, IF(Q325=5, '6. PEDIGREE MATRIX'!$F$12)))))</f>
        <v>1.0935646911485417</v>
      </c>
      <c r="W325" s="58">
        <v>5.9999999999999995E-4</v>
      </c>
      <c r="X325" s="63">
        <f t="shared" si="116"/>
        <v>1.0247973619913604</v>
      </c>
    </row>
    <row r="326" spans="1:24" x14ac:dyDescent="0.3">
      <c r="A326" s="293" t="s">
        <v>713</v>
      </c>
      <c r="B326" s="297">
        <f>'24. WAFER FAB'!$D$46</f>
        <v>10.763860027257738</v>
      </c>
      <c r="C326" s="3" t="s">
        <v>153</v>
      </c>
      <c r="D326" s="3" t="s">
        <v>385</v>
      </c>
      <c r="E326" s="58" t="s">
        <v>928</v>
      </c>
      <c r="F326" s="3" t="s">
        <v>371</v>
      </c>
      <c r="G326" s="3" t="s">
        <v>346</v>
      </c>
      <c r="H326" s="3" t="s">
        <v>154</v>
      </c>
      <c r="I326" s="58">
        <v>2</v>
      </c>
      <c r="J326" s="58">
        <f t="shared" si="113"/>
        <v>2.3761942289950611</v>
      </c>
      <c r="K326" s="58">
        <f t="shared" si="114"/>
        <v>0.50800566730232333</v>
      </c>
      <c r="L326" s="90">
        <f t="shared" si="115"/>
        <v>1.2944291122754621</v>
      </c>
      <c r="M326" s="58">
        <v>4</v>
      </c>
      <c r="N326" s="58">
        <v>5</v>
      </c>
      <c r="O326" s="58">
        <v>5</v>
      </c>
      <c r="P326" s="58">
        <v>5</v>
      </c>
      <c r="Q326" s="58">
        <v>3</v>
      </c>
      <c r="R326" s="58">
        <f>IF(M326=1, '6. PEDIGREE MATRIX'!$B$4, IF(M326=2, '6. PEDIGREE MATRIX'!$C$4, IF(M326=3, '6. PEDIGREE MATRIX'!$D$4, IF(M326=4, '6. PEDIGREE MATRIX'!$E$4, IF(M326=5, '6. PEDIGREE MATRIX'!$F$4)))))</f>
        <v>1.0935646911485417</v>
      </c>
      <c r="S326" s="58">
        <f>IF(N326=1, '6. PEDIGREE MATRIX'!$B$6, IF(N326=2, '6. PEDIGREE MATRIX'!$C$6, IF(N326=3, '6. PEDIGREE MATRIX'!$D$6, IF(N326=4, '6. PEDIGREE MATRIX'!$E$6, IF(N326=5, '6. PEDIGREE MATRIX'!$F$6)))))</f>
        <v>1.0935646911485417</v>
      </c>
      <c r="T326" s="58">
        <f>IF(O326=1, '6. PEDIGREE MATRIX'!$B$8, IF(O326=2, '6. PEDIGREE MATRIX'!$C$8, IF(O326=3, '6. PEDIGREE MATRIX'!$D$8, IF(O326=4, '6. PEDIGREE MATRIX'!$E$8, IF(O326=5, '6. PEDIGREE MATRIX'!$F$8)))))</f>
        <v>1.2214027581601699</v>
      </c>
      <c r="U326" s="58">
        <f>IF(P326=1, '6. PEDIGREE MATRIX'!$B$10, IF(P326=2, '6. PEDIGREE MATRIX'!$C$10, IF(P326=3, '6. PEDIGREE MATRIX'!$D$10, IF(P326=4, '6. PEDIGREE MATRIX'!$E$10, IF(P326=5, '6. PEDIGREE MATRIX'!$F$10)))))</f>
        <v>1.0457364348384068</v>
      </c>
      <c r="V326" s="58">
        <f>IF(Q326=1, '6. PEDIGREE MATRIX'!$B$12, IF(Q326=2, '6. PEDIGREE MATRIX'!$C$12, IF(Q326=3, '6. PEDIGREE MATRIX'!$D$12, IF(Q326=4, '6. PEDIGREE MATRIX'!$E$12, IF(Q326=5, '6. PEDIGREE MATRIX'!$F$12)))))</f>
        <v>1.0935646911485417</v>
      </c>
      <c r="W326" s="58">
        <v>5.9999999999999995E-4</v>
      </c>
      <c r="X326" s="63">
        <f t="shared" si="116"/>
        <v>1.0247973619913604</v>
      </c>
    </row>
    <row r="327" spans="1:24" x14ac:dyDescent="0.3">
      <c r="A327" s="293" t="str">
        <f>IF($G$322='4. INPUTS LIST'!$B$3,'4. INPUTS LIST'!$C$3, IF($G$322='4. INPUTS LIST'!$B$4,'4. INPUTS LIST'!$C$4, IF($G$322='4. INPUTS LIST'!$B$5,'4. INPUTS LIST'!$C$5, IF($G$322='4. INPUTS LIST'!$B$6,'4. INPUTS LIST'!$C$6, IF($G$322='4. INPUTS LIST'!$B$7,'4. INPUTS LIST'!$C$7, IF($G$322='4. INPUTS LIST'!$B$8,'4. INPUTS LIST'!$C$8, IF($G$322='4. INPUTS LIST'!$B$9,'4. INPUTS LIST'!$C$9, IF($G$322='4. INPUTS LIST'!$B$10,'4. INPUTS LIST'!$C$10, IF($G$322='4. INPUTS LIST'!$B$11,'4. INPUTS LIST'!$C$11, IF($G$322='4. INPUTS LIST'!$B$12,'4. INPUTS LIST'!$C$12))))))))))</f>
        <v>market for electricity, medium voltage</v>
      </c>
      <c r="B327" s="297">
        <f>'24. WAFER FAB'!$D$47</f>
        <v>1.2227744990964792E-2</v>
      </c>
      <c r="C327" s="3" t="s">
        <v>342</v>
      </c>
      <c r="D327" s="3" t="s">
        <v>385</v>
      </c>
      <c r="E327" s="58" t="str">
        <f>IF($A$327='4. INPUTS LIST'!$C$3,'4. INPUTS LIST'!$D$3, IF($A$327='4. INPUTS LIST'!$C$7, '4. INPUTS LIST'!$D$7, IF($A$327='4. INPUTS LIST'!$C$12,'4. INPUTS LIST'!$D$12)))</f>
        <v>electricity, medium voltage</v>
      </c>
      <c r="F327" s="3" t="s">
        <v>371</v>
      </c>
      <c r="G327" s="3" t="str">
        <f>'1. USER INPUTS'!$E$24</f>
        <v>JP</v>
      </c>
      <c r="H327" s="3" t="s">
        <v>154</v>
      </c>
      <c r="I327" s="58">
        <v>2</v>
      </c>
      <c r="J327" s="58">
        <f t="shared" si="113"/>
        <v>-4.4040477296881164</v>
      </c>
      <c r="K327" s="58">
        <f t="shared" si="114"/>
        <v>0.50800566730232333</v>
      </c>
      <c r="L327" s="90">
        <f t="shared" si="115"/>
        <v>1.2944291122754621</v>
      </c>
      <c r="M327" s="58">
        <v>4</v>
      </c>
      <c r="N327" s="58">
        <v>5</v>
      </c>
      <c r="O327" s="58">
        <v>5</v>
      </c>
      <c r="P327" s="58">
        <v>5</v>
      </c>
      <c r="Q327" s="58">
        <v>3</v>
      </c>
      <c r="R327" s="58">
        <f>IF(M327=1, '6. PEDIGREE MATRIX'!$B$4, IF(M327=2, '6. PEDIGREE MATRIX'!$C$4, IF(M327=3, '6. PEDIGREE MATRIX'!$D$4, IF(M327=4, '6. PEDIGREE MATRIX'!$E$4, IF(M327=5, '6. PEDIGREE MATRIX'!$F$4)))))</f>
        <v>1.0935646911485417</v>
      </c>
      <c r="S327" s="58">
        <f>IF(N327=1, '6. PEDIGREE MATRIX'!$B$6, IF(N327=2, '6. PEDIGREE MATRIX'!$C$6, IF(N327=3, '6. PEDIGREE MATRIX'!$D$6, IF(N327=4, '6. PEDIGREE MATRIX'!$E$6, IF(N327=5, '6. PEDIGREE MATRIX'!$F$6)))))</f>
        <v>1.0935646911485417</v>
      </c>
      <c r="T327" s="58">
        <f>IF(O327=1, '6. PEDIGREE MATRIX'!$B$8, IF(O327=2, '6. PEDIGREE MATRIX'!$C$8, IF(O327=3, '6. PEDIGREE MATRIX'!$D$8, IF(O327=4, '6. PEDIGREE MATRIX'!$E$8, IF(O327=5, '6. PEDIGREE MATRIX'!$F$8)))))</f>
        <v>1.2214027581601699</v>
      </c>
      <c r="U327" s="58">
        <f>IF(P327=1, '6. PEDIGREE MATRIX'!$B$10, IF(P327=2, '6. PEDIGREE MATRIX'!$C$10, IF(P327=3, '6. PEDIGREE MATRIX'!$D$10, IF(P327=4, '6. PEDIGREE MATRIX'!$E$10, IF(P327=5, '6. PEDIGREE MATRIX'!$F$10)))))</f>
        <v>1.0457364348384068</v>
      </c>
      <c r="V327" s="58">
        <f>IF(Q327=1, '6. PEDIGREE MATRIX'!$B$12, IF(Q327=2, '6. PEDIGREE MATRIX'!$C$12, IF(Q327=3, '6. PEDIGREE MATRIX'!$D$12, IF(Q327=4, '6. PEDIGREE MATRIX'!$E$12, IF(Q327=5, '6. PEDIGREE MATRIX'!$F$12)))))</f>
        <v>1.0935646911485417</v>
      </c>
      <c r="W327" s="58">
        <v>5.9999999999999995E-4</v>
      </c>
      <c r="X327" s="63">
        <f t="shared" si="116"/>
        <v>1.0247973619913604</v>
      </c>
    </row>
    <row r="328" spans="1:24" x14ac:dyDescent="0.3">
      <c r="A328" s="293" t="s">
        <v>785</v>
      </c>
      <c r="B328" s="297">
        <f>'24. WAFER FAB'!$D$48</f>
        <v>8.8764982690536405E-3</v>
      </c>
      <c r="C328" s="3" t="s">
        <v>521</v>
      </c>
      <c r="D328" s="3" t="s">
        <v>385</v>
      </c>
      <c r="E328" s="58" t="s">
        <v>930</v>
      </c>
      <c r="F328" s="3" t="s">
        <v>371</v>
      </c>
      <c r="G328" s="3" t="s">
        <v>429</v>
      </c>
      <c r="H328" s="3" t="s">
        <v>154</v>
      </c>
      <c r="I328" s="58">
        <v>2</v>
      </c>
      <c r="J328" s="58">
        <f t="shared" si="113"/>
        <v>-4.7243481388206918</v>
      </c>
      <c r="K328" s="58">
        <f t="shared" si="114"/>
        <v>0.50800566730232333</v>
      </c>
      <c r="L328" s="90">
        <f t="shared" si="115"/>
        <v>1.2944291122754621</v>
      </c>
      <c r="M328" s="58">
        <v>4</v>
      </c>
      <c r="N328" s="58">
        <v>5</v>
      </c>
      <c r="O328" s="58">
        <v>5</v>
      </c>
      <c r="P328" s="58">
        <v>5</v>
      </c>
      <c r="Q328" s="58">
        <v>3</v>
      </c>
      <c r="R328" s="58">
        <f>IF(M328=1, '6. PEDIGREE MATRIX'!$B$4, IF(M328=2, '6. PEDIGREE MATRIX'!$C$4, IF(M328=3, '6. PEDIGREE MATRIX'!$D$4, IF(M328=4, '6. PEDIGREE MATRIX'!$E$4, IF(M328=5, '6. PEDIGREE MATRIX'!$F$4)))))</f>
        <v>1.0935646911485417</v>
      </c>
      <c r="S328" s="58">
        <f>IF(N328=1, '6. PEDIGREE MATRIX'!$B$6, IF(N328=2, '6. PEDIGREE MATRIX'!$C$6, IF(N328=3, '6. PEDIGREE MATRIX'!$D$6, IF(N328=4, '6. PEDIGREE MATRIX'!$E$6, IF(N328=5, '6. PEDIGREE MATRIX'!$F$6)))))</f>
        <v>1.0935646911485417</v>
      </c>
      <c r="T328" s="58">
        <f>IF(O328=1, '6. PEDIGREE MATRIX'!$B$8, IF(O328=2, '6. PEDIGREE MATRIX'!$C$8, IF(O328=3, '6. PEDIGREE MATRIX'!$D$8, IF(O328=4, '6. PEDIGREE MATRIX'!$E$8, IF(O328=5, '6. PEDIGREE MATRIX'!$F$8)))))</f>
        <v>1.2214027581601699</v>
      </c>
      <c r="U328" s="58">
        <f>IF(P328=1, '6. PEDIGREE MATRIX'!$B$10, IF(P328=2, '6. PEDIGREE MATRIX'!$C$10, IF(P328=3, '6. PEDIGREE MATRIX'!$D$10, IF(P328=4, '6. PEDIGREE MATRIX'!$E$10, IF(P328=5, '6. PEDIGREE MATRIX'!$F$10)))))</f>
        <v>1.0457364348384068</v>
      </c>
      <c r="V328" s="58">
        <f>IF(Q328=1, '6. PEDIGREE MATRIX'!$B$12, IF(Q328=2, '6. PEDIGREE MATRIX'!$C$12, IF(Q328=3, '6. PEDIGREE MATRIX'!$D$12, IF(Q328=4, '6. PEDIGREE MATRIX'!$E$12, IF(Q328=5, '6. PEDIGREE MATRIX'!$F$12)))))</f>
        <v>1.0935646911485417</v>
      </c>
      <c r="W328" s="58">
        <v>5.9999999999999995E-4</v>
      </c>
      <c r="X328" s="63">
        <f t="shared" si="116"/>
        <v>1.0247973619913604</v>
      </c>
    </row>
    <row r="329" spans="1:24" x14ac:dyDescent="0.3">
      <c r="A329" s="293" t="str">
        <f>IF($G$322='4. INPUTS LIST'!$B$3,'4. INPUTS LIST'!$C$3, IF($G$322='4. INPUTS LIST'!$B$4,'4. INPUTS LIST'!$C$4, IF($G$322='4. INPUTS LIST'!$B$5,'4. INPUTS LIST'!$C$5, IF($G$322='4. INPUTS LIST'!$B$6,'4. INPUTS LIST'!$C$6, IF($G$322='4. INPUTS LIST'!$B$7,'4. INPUTS LIST'!$C$7, IF($G$322='4. INPUTS LIST'!$B$8,'4. INPUTS LIST'!$C$8, IF($G$322='4. INPUTS LIST'!$B$9,'4. INPUTS LIST'!$C$9, IF($G$322='4. INPUTS LIST'!$B$10,'4. INPUTS LIST'!$C$10, IF($G$322='4. INPUTS LIST'!$B$11,'4. INPUTS LIST'!$C$11, IF($G$322='4. INPUTS LIST'!$B$12,'4. INPUTS LIST'!$C$12))))))))))</f>
        <v>market for electricity, medium voltage</v>
      </c>
      <c r="B329" s="297">
        <f>'24. WAFER FAB'!$D$50</f>
        <v>5.3258989614321842E-4</v>
      </c>
      <c r="C329" s="3" t="s">
        <v>342</v>
      </c>
      <c r="D329" s="3" t="s">
        <v>385</v>
      </c>
      <c r="E329" s="58" t="str">
        <f>IF($A$329='4. INPUTS LIST'!$C$3,'4. INPUTS LIST'!$D$3, IF($A$329='4. INPUTS LIST'!$C$7, '4. INPUTS LIST'!$D$7, IF($A$329='4. INPUTS LIST'!$C$12,'4. INPUTS LIST'!$D$12)))</f>
        <v>electricity, medium voltage</v>
      </c>
      <c r="F329" s="3" t="s">
        <v>371</v>
      </c>
      <c r="G329" s="3" t="str">
        <f>'1. USER INPUTS'!$E$24</f>
        <v>JP</v>
      </c>
      <c r="H329" s="3" t="s">
        <v>154</v>
      </c>
      <c r="I329" s="58">
        <v>2</v>
      </c>
      <c r="J329" s="58">
        <f t="shared" si="113"/>
        <v>-7.5377588555807282</v>
      </c>
      <c r="K329" s="58">
        <f t="shared" si="114"/>
        <v>0.50800566730232333</v>
      </c>
      <c r="L329" s="90">
        <f t="shared" si="115"/>
        <v>1.2944291122754621</v>
      </c>
      <c r="M329" s="58">
        <v>4</v>
      </c>
      <c r="N329" s="58">
        <v>5</v>
      </c>
      <c r="O329" s="58">
        <v>5</v>
      </c>
      <c r="P329" s="58">
        <v>5</v>
      </c>
      <c r="Q329" s="58">
        <v>3</v>
      </c>
      <c r="R329" s="58">
        <f>IF(M329=1, '6. PEDIGREE MATRIX'!$B$4, IF(M329=2, '6. PEDIGREE MATRIX'!$C$4, IF(M329=3, '6. PEDIGREE MATRIX'!$D$4, IF(M329=4, '6. PEDIGREE MATRIX'!$E$4, IF(M329=5, '6. PEDIGREE MATRIX'!$F$4)))))</f>
        <v>1.0935646911485417</v>
      </c>
      <c r="S329" s="58">
        <f>IF(N329=1, '6. PEDIGREE MATRIX'!$B$6, IF(N329=2, '6. PEDIGREE MATRIX'!$C$6, IF(N329=3, '6. PEDIGREE MATRIX'!$D$6, IF(N329=4, '6. PEDIGREE MATRIX'!$E$6, IF(N329=5, '6. PEDIGREE MATRIX'!$F$6)))))</f>
        <v>1.0935646911485417</v>
      </c>
      <c r="T329" s="58">
        <f>IF(O329=1, '6. PEDIGREE MATRIX'!$B$8, IF(O329=2, '6. PEDIGREE MATRIX'!$C$8, IF(O329=3, '6. PEDIGREE MATRIX'!$D$8, IF(O329=4, '6. PEDIGREE MATRIX'!$E$8, IF(O329=5, '6. PEDIGREE MATRIX'!$F$8)))))</f>
        <v>1.2214027581601699</v>
      </c>
      <c r="U329" s="58">
        <f>IF(P329=1, '6. PEDIGREE MATRIX'!$B$10, IF(P329=2, '6. PEDIGREE MATRIX'!$C$10, IF(P329=3, '6. PEDIGREE MATRIX'!$D$10, IF(P329=4, '6. PEDIGREE MATRIX'!$E$10, IF(P329=5, '6. PEDIGREE MATRIX'!$F$10)))))</f>
        <v>1.0457364348384068</v>
      </c>
      <c r="V329" s="58">
        <f>IF(Q329=1, '6. PEDIGREE MATRIX'!$B$12, IF(Q329=2, '6. PEDIGREE MATRIX'!$C$12, IF(Q329=3, '6. PEDIGREE MATRIX'!$D$12, IF(Q329=4, '6. PEDIGREE MATRIX'!$E$12, IF(Q329=5, '6. PEDIGREE MATRIX'!$F$12)))))</f>
        <v>1.0935646911485417</v>
      </c>
      <c r="W329" s="58">
        <v>5.9999999999999995E-4</v>
      </c>
      <c r="X329" s="63">
        <f t="shared" si="116"/>
        <v>1.0247973619913604</v>
      </c>
    </row>
    <row r="330" spans="1:24" x14ac:dyDescent="0.3">
      <c r="A330" s="112" t="s">
        <v>1956</v>
      </c>
      <c r="B330" s="297">
        <f>'24. WAFER FAB'!$D$114</f>
        <v>-2.9367607756810663E-3</v>
      </c>
      <c r="C330" s="112" t="s">
        <v>521</v>
      </c>
      <c r="D330" s="244" t="s">
        <v>385</v>
      </c>
      <c r="E330" s="522" t="s">
        <v>1957</v>
      </c>
      <c r="F330" s="244" t="s">
        <v>371</v>
      </c>
      <c r="G330" s="244" t="s">
        <v>429</v>
      </c>
      <c r="H330" s="244" t="s">
        <v>154</v>
      </c>
      <c r="I330" s="522">
        <v>2</v>
      </c>
      <c r="J330" s="522">
        <f t="shared" si="101"/>
        <v>-5.8304480820132207</v>
      </c>
      <c r="K330" s="522" t="str">
        <f t="shared" si="102"/>
        <v>(Unknown)</v>
      </c>
      <c r="L330" s="523" t="str">
        <f t="shared" si="103"/>
        <v>(Unknown)</v>
      </c>
      <c r="M330" s="522">
        <v>4</v>
      </c>
      <c r="N330" s="522">
        <v>5</v>
      </c>
      <c r="O330" s="522">
        <v>5</v>
      </c>
      <c r="P330" s="522">
        <v>5</v>
      </c>
      <c r="Q330" s="522">
        <v>3</v>
      </c>
      <c r="R330" s="522">
        <f>IF(M330=1, '6. PEDIGREE MATRIX'!$B$4, IF(M330=2, '6. PEDIGREE MATRIX'!$C$4, IF(M330=3, '6. PEDIGREE MATRIX'!$D$4, IF(M330=4, '6. PEDIGREE MATRIX'!$E$4, IF(M330=5, '6. PEDIGREE MATRIX'!$F$4)))))</f>
        <v>1.0935646911485417</v>
      </c>
      <c r="S330" s="522">
        <f>IF(N330=1, '6. PEDIGREE MATRIX'!$B$6, IF(N330=2, '6. PEDIGREE MATRIX'!$C$6, IF(N330=3, '6. PEDIGREE MATRIX'!$D$6, IF(N330=4, '6. PEDIGREE MATRIX'!$E$6, IF(N330=5, '6. PEDIGREE MATRIX'!$F$6)))))</f>
        <v>1.0935646911485417</v>
      </c>
      <c r="T330" s="522">
        <f>IF(O330=1, '6. PEDIGREE MATRIX'!$B$8, IF(O330=2, '6. PEDIGREE MATRIX'!$C$8, IF(O330=3, '6. PEDIGREE MATRIX'!$D$8, IF(O330=4, '6. PEDIGREE MATRIX'!$E$8, IF(O330=5, '6. PEDIGREE MATRIX'!$F$8)))))</f>
        <v>1.2214027581601699</v>
      </c>
      <c r="U330" s="522">
        <f>IF(P330=1, '6. PEDIGREE MATRIX'!$B$10, IF(P330=2, '6. PEDIGREE MATRIX'!$C$10, IF(P330=3, '6. PEDIGREE MATRIX'!$D$10, IF(P330=4, '6. PEDIGREE MATRIX'!$E$10, IF(P330=5, '6. PEDIGREE MATRIX'!$F$10)))))</f>
        <v>1.0457364348384068</v>
      </c>
      <c r="V330" s="522">
        <f>IF(Q330=1, '6. PEDIGREE MATRIX'!$B$12, IF(Q330=2, '6. PEDIGREE MATRIX'!$C$12, IF(Q330=3, '6. PEDIGREE MATRIX'!$D$12, IF(Q330=4, '6. PEDIGREE MATRIX'!$E$12, IF(Q330=5, '6. PEDIGREE MATRIX'!$F$12)))))</f>
        <v>1.0935646911485417</v>
      </c>
      <c r="W330" s="522">
        <v>5.9999999999999995E-4</v>
      </c>
      <c r="X330" s="524">
        <f t="shared" si="104"/>
        <v>1.0247973619913604</v>
      </c>
    </row>
    <row r="331" spans="1:24" x14ac:dyDescent="0.3">
      <c r="A331" s="112" t="s">
        <v>1968</v>
      </c>
      <c r="B331" s="297">
        <f>'24. WAFER FAB'!$D$115</f>
        <v>-1.4683803878405332E-3</v>
      </c>
      <c r="C331" s="112" t="s">
        <v>521</v>
      </c>
      <c r="D331" s="244" t="s">
        <v>385</v>
      </c>
      <c r="E331" s="522" t="s">
        <v>1969</v>
      </c>
      <c r="F331" s="244" t="s">
        <v>371</v>
      </c>
      <c r="G331" s="244" t="s">
        <v>429</v>
      </c>
      <c r="H331" s="244" t="s">
        <v>154</v>
      </c>
      <c r="I331" s="522">
        <v>2</v>
      </c>
      <c r="J331" s="522">
        <f t="shared" si="101"/>
        <v>-6.5235952625731661</v>
      </c>
      <c r="K331" s="522" t="str">
        <f t="shared" si="102"/>
        <v>(Unknown)</v>
      </c>
      <c r="L331" s="523" t="str">
        <f t="shared" si="103"/>
        <v>(Unknown)</v>
      </c>
      <c r="M331" s="522">
        <v>4</v>
      </c>
      <c r="N331" s="522">
        <v>5</v>
      </c>
      <c r="O331" s="522">
        <v>5</v>
      </c>
      <c r="P331" s="522">
        <v>5</v>
      </c>
      <c r="Q331" s="522">
        <v>3</v>
      </c>
      <c r="R331" s="522">
        <f>IF(M331=1, '6. PEDIGREE MATRIX'!$B$4, IF(M331=2, '6. PEDIGREE MATRIX'!$C$4, IF(M331=3, '6. PEDIGREE MATRIX'!$D$4, IF(M331=4, '6. PEDIGREE MATRIX'!$E$4, IF(M331=5, '6. PEDIGREE MATRIX'!$F$4)))))</f>
        <v>1.0935646911485417</v>
      </c>
      <c r="S331" s="522">
        <f>IF(N331=1, '6. PEDIGREE MATRIX'!$B$6, IF(N331=2, '6. PEDIGREE MATRIX'!$C$6, IF(N331=3, '6. PEDIGREE MATRIX'!$D$6, IF(N331=4, '6. PEDIGREE MATRIX'!$E$6, IF(N331=5, '6. PEDIGREE MATRIX'!$F$6)))))</f>
        <v>1.0935646911485417</v>
      </c>
      <c r="T331" s="522">
        <f>IF(O331=1, '6. PEDIGREE MATRIX'!$B$8, IF(O331=2, '6. PEDIGREE MATRIX'!$C$8, IF(O331=3, '6. PEDIGREE MATRIX'!$D$8, IF(O331=4, '6. PEDIGREE MATRIX'!$E$8, IF(O331=5, '6. PEDIGREE MATRIX'!$F$8)))))</f>
        <v>1.2214027581601699</v>
      </c>
      <c r="U331" s="522">
        <f>IF(P331=1, '6. PEDIGREE MATRIX'!$B$10, IF(P331=2, '6. PEDIGREE MATRIX'!$C$10, IF(P331=3, '6. PEDIGREE MATRIX'!$D$10, IF(P331=4, '6. PEDIGREE MATRIX'!$E$10, IF(P331=5, '6. PEDIGREE MATRIX'!$F$10)))))</f>
        <v>1.0457364348384068</v>
      </c>
      <c r="V331" s="522">
        <f>IF(Q331=1, '6. PEDIGREE MATRIX'!$B$12, IF(Q331=2, '6. PEDIGREE MATRIX'!$C$12, IF(Q331=3, '6. PEDIGREE MATRIX'!$D$12, IF(Q331=4, '6. PEDIGREE MATRIX'!$E$12, IF(Q331=5, '6. PEDIGREE MATRIX'!$F$12)))))</f>
        <v>1.0935646911485417</v>
      </c>
      <c r="W331" s="522">
        <v>5.9999999999999995E-4</v>
      </c>
      <c r="X331" s="524">
        <f t="shared" si="104"/>
        <v>1.0247973619913604</v>
      </c>
    </row>
    <row r="332" spans="1:24" x14ac:dyDescent="0.3">
      <c r="A332" s="112" t="s">
        <v>1956</v>
      </c>
      <c r="B332" s="297">
        <f>'24. WAFER FAB'!$D$116</f>
        <v>-1.0763860027257738E-2</v>
      </c>
      <c r="C332" s="112" t="s">
        <v>521</v>
      </c>
      <c r="D332" s="244" t="s">
        <v>385</v>
      </c>
      <c r="E332" s="522" t="s">
        <v>1957</v>
      </c>
      <c r="F332" s="244" t="s">
        <v>371</v>
      </c>
      <c r="G332" s="244" t="s">
        <v>429</v>
      </c>
      <c r="H332" s="244" t="s">
        <v>154</v>
      </c>
      <c r="I332" s="522">
        <v>2</v>
      </c>
      <c r="J332" s="522">
        <f t="shared" ref="J332:J333" si="117">IF(B332=0,"(Unknown)",LN((ABS(B332))))</f>
        <v>-4.5315610499870758</v>
      </c>
      <c r="K332" s="522" t="str">
        <f t="shared" ref="K332:K333" si="118">IF(B332&gt;0,SQRT(LN(L332)),"(Unknown)")</f>
        <v>(Unknown)</v>
      </c>
      <c r="L332" s="523" t="str">
        <f t="shared" ref="L332:L333" si="119">IF(B332&gt;0,(EXP(SQRT((LN(X332))^2+(LN(R332))^2+(LN(S332))^2+(LN(T332))^2+(LN(U332))^2+(LN(V332))^2))),"(Unknown)")</f>
        <v>(Unknown)</v>
      </c>
      <c r="M332" s="522">
        <v>4</v>
      </c>
      <c r="N332" s="522">
        <v>5</v>
      </c>
      <c r="O332" s="522">
        <v>5</v>
      </c>
      <c r="P332" s="522">
        <v>5</v>
      </c>
      <c r="Q332" s="522">
        <v>3</v>
      </c>
      <c r="R332" s="522">
        <f>IF(M332=1, '6. PEDIGREE MATRIX'!$B$4, IF(M332=2, '6. PEDIGREE MATRIX'!$C$4, IF(M332=3, '6. PEDIGREE MATRIX'!$D$4, IF(M332=4, '6. PEDIGREE MATRIX'!$E$4, IF(M332=5, '6. PEDIGREE MATRIX'!$F$4)))))</f>
        <v>1.0935646911485417</v>
      </c>
      <c r="S332" s="522">
        <f>IF(N332=1, '6. PEDIGREE MATRIX'!$B$6, IF(N332=2, '6. PEDIGREE MATRIX'!$C$6, IF(N332=3, '6. PEDIGREE MATRIX'!$D$6, IF(N332=4, '6. PEDIGREE MATRIX'!$E$6, IF(N332=5, '6. PEDIGREE MATRIX'!$F$6)))))</f>
        <v>1.0935646911485417</v>
      </c>
      <c r="T332" s="522">
        <f>IF(O332=1, '6. PEDIGREE MATRIX'!$B$8, IF(O332=2, '6. PEDIGREE MATRIX'!$C$8, IF(O332=3, '6. PEDIGREE MATRIX'!$D$8, IF(O332=4, '6. PEDIGREE MATRIX'!$E$8, IF(O332=5, '6. PEDIGREE MATRIX'!$F$8)))))</f>
        <v>1.2214027581601699</v>
      </c>
      <c r="U332" s="522">
        <f>IF(P332=1, '6. PEDIGREE MATRIX'!$B$10, IF(P332=2, '6. PEDIGREE MATRIX'!$C$10, IF(P332=3, '6. PEDIGREE MATRIX'!$D$10, IF(P332=4, '6. PEDIGREE MATRIX'!$E$10, IF(P332=5, '6. PEDIGREE MATRIX'!$F$10)))))</f>
        <v>1.0457364348384068</v>
      </c>
      <c r="V332" s="522">
        <f>IF(Q332=1, '6. PEDIGREE MATRIX'!$B$12, IF(Q332=2, '6. PEDIGREE MATRIX'!$C$12, IF(Q332=3, '6. PEDIGREE MATRIX'!$D$12, IF(Q332=4, '6. PEDIGREE MATRIX'!$E$12, IF(Q332=5, '6. PEDIGREE MATRIX'!$F$12)))))</f>
        <v>1.0935646911485417</v>
      </c>
      <c r="W332" s="522">
        <v>5.9999999999999995E-4</v>
      </c>
      <c r="X332" s="524">
        <f t="shared" ref="X332:X333" si="120">EXP(SQRT(W332))</f>
        <v>1.0247973619913604</v>
      </c>
    </row>
    <row r="333" spans="1:24" x14ac:dyDescent="0.3">
      <c r="A333" s="113" t="s">
        <v>1968</v>
      </c>
      <c r="B333" s="297">
        <f>'24. WAFER FAB'!$D$117</f>
        <v>-5.3819300136288689E-3</v>
      </c>
      <c r="C333" s="112" t="s">
        <v>521</v>
      </c>
      <c r="D333" s="244" t="s">
        <v>385</v>
      </c>
      <c r="E333" s="522" t="s">
        <v>1969</v>
      </c>
      <c r="F333" s="244" t="s">
        <v>371</v>
      </c>
      <c r="G333" s="244" t="s">
        <v>429</v>
      </c>
      <c r="H333" s="244" t="s">
        <v>154</v>
      </c>
      <c r="I333" s="522">
        <v>2</v>
      </c>
      <c r="J333" s="522">
        <f t="shared" si="117"/>
        <v>-5.2247082305470212</v>
      </c>
      <c r="K333" s="522" t="str">
        <f t="shared" si="118"/>
        <v>(Unknown)</v>
      </c>
      <c r="L333" s="523" t="str">
        <f t="shared" si="119"/>
        <v>(Unknown)</v>
      </c>
      <c r="M333" s="522">
        <v>4</v>
      </c>
      <c r="N333" s="522">
        <v>5</v>
      </c>
      <c r="O333" s="522">
        <v>5</v>
      </c>
      <c r="P333" s="522">
        <v>5</v>
      </c>
      <c r="Q333" s="522">
        <v>3</v>
      </c>
      <c r="R333" s="522">
        <f>IF(M333=1, '6. PEDIGREE MATRIX'!$B$4, IF(M333=2, '6. PEDIGREE MATRIX'!$C$4, IF(M333=3, '6. PEDIGREE MATRIX'!$D$4, IF(M333=4, '6. PEDIGREE MATRIX'!$E$4, IF(M333=5, '6. PEDIGREE MATRIX'!$F$4)))))</f>
        <v>1.0935646911485417</v>
      </c>
      <c r="S333" s="522">
        <f>IF(N333=1, '6. PEDIGREE MATRIX'!$B$6, IF(N333=2, '6. PEDIGREE MATRIX'!$C$6, IF(N333=3, '6. PEDIGREE MATRIX'!$D$6, IF(N333=4, '6. PEDIGREE MATRIX'!$E$6, IF(N333=5, '6. PEDIGREE MATRIX'!$F$6)))))</f>
        <v>1.0935646911485417</v>
      </c>
      <c r="T333" s="522">
        <f>IF(O333=1, '6. PEDIGREE MATRIX'!$B$8, IF(O333=2, '6. PEDIGREE MATRIX'!$C$8, IF(O333=3, '6. PEDIGREE MATRIX'!$D$8, IF(O333=4, '6. PEDIGREE MATRIX'!$E$8, IF(O333=5, '6. PEDIGREE MATRIX'!$F$8)))))</f>
        <v>1.2214027581601699</v>
      </c>
      <c r="U333" s="522">
        <f>IF(P333=1, '6. PEDIGREE MATRIX'!$B$10, IF(P333=2, '6. PEDIGREE MATRIX'!$C$10, IF(P333=3, '6. PEDIGREE MATRIX'!$D$10, IF(P333=4, '6. PEDIGREE MATRIX'!$E$10, IF(P333=5, '6. PEDIGREE MATRIX'!$F$10)))))</f>
        <v>1.0457364348384068</v>
      </c>
      <c r="V333" s="522">
        <f>IF(Q333=1, '6. PEDIGREE MATRIX'!$B$12, IF(Q333=2, '6. PEDIGREE MATRIX'!$C$12, IF(Q333=3, '6. PEDIGREE MATRIX'!$D$12, IF(Q333=4, '6. PEDIGREE MATRIX'!$E$12, IF(Q333=5, '6. PEDIGREE MATRIX'!$F$12)))))</f>
        <v>1.0935646911485417</v>
      </c>
      <c r="W333" s="522">
        <v>5.9999999999999995E-4</v>
      </c>
      <c r="X333" s="524">
        <f t="shared" si="120"/>
        <v>1.0247973619913604</v>
      </c>
    </row>
    <row r="334" spans="1:24" x14ac:dyDescent="0.3">
      <c r="A334" s="244" t="s">
        <v>1017</v>
      </c>
      <c r="B334" s="297">
        <f>'24. WAFER FAB'!$D$118</f>
        <v>-3.682543130503263E-5</v>
      </c>
      <c r="C334" s="112" t="s">
        <v>153</v>
      </c>
      <c r="D334" s="244" t="s">
        <v>385</v>
      </c>
      <c r="E334" s="522" t="s">
        <v>2413</v>
      </c>
      <c r="F334" s="244" t="s">
        <v>371</v>
      </c>
      <c r="G334" s="244" t="s">
        <v>346</v>
      </c>
      <c r="H334" s="244" t="s">
        <v>154</v>
      </c>
      <c r="I334" s="522">
        <v>2</v>
      </c>
      <c r="J334" s="522">
        <f t="shared" ref="J334:J335" si="121">IF(B334=0,"(Unknown)",LN((ABS(B334))))</f>
        <v>-10.209321883395434</v>
      </c>
      <c r="K334" s="522" t="str">
        <f t="shared" ref="K334:K335" si="122">IF(B334&gt;0,SQRT(LN(L334)),"(Unknown)")</f>
        <v>(Unknown)</v>
      </c>
      <c r="L334" s="523" t="str">
        <f t="shared" ref="L334:L335" si="123">IF(B334&gt;0,(EXP(SQRT((LN(X334))^2+(LN(R334))^2+(LN(S334))^2+(LN(T334))^2+(LN(U334))^2+(LN(V334))^2))),"(Unknown)")</f>
        <v>(Unknown)</v>
      </c>
      <c r="M334" s="522">
        <v>4</v>
      </c>
      <c r="N334" s="522">
        <v>5</v>
      </c>
      <c r="O334" s="522">
        <v>5</v>
      </c>
      <c r="P334" s="522">
        <v>5</v>
      </c>
      <c r="Q334" s="522">
        <v>3</v>
      </c>
      <c r="R334" s="522">
        <f>IF(M334=1, '6. PEDIGREE MATRIX'!$B$4, IF(M334=2, '6. PEDIGREE MATRIX'!$C$4, IF(M334=3, '6. PEDIGREE MATRIX'!$D$4, IF(M334=4, '6. PEDIGREE MATRIX'!$E$4, IF(M334=5, '6. PEDIGREE MATRIX'!$F$4)))))</f>
        <v>1.0935646911485417</v>
      </c>
      <c r="S334" s="522">
        <f>IF(N334=1, '6. PEDIGREE MATRIX'!$B$6, IF(N334=2, '6. PEDIGREE MATRIX'!$C$6, IF(N334=3, '6. PEDIGREE MATRIX'!$D$6, IF(N334=4, '6. PEDIGREE MATRIX'!$E$6, IF(N334=5, '6. PEDIGREE MATRIX'!$F$6)))))</f>
        <v>1.0935646911485417</v>
      </c>
      <c r="T334" s="522">
        <f>IF(O334=1, '6. PEDIGREE MATRIX'!$B$8, IF(O334=2, '6. PEDIGREE MATRIX'!$C$8, IF(O334=3, '6. PEDIGREE MATRIX'!$D$8, IF(O334=4, '6. PEDIGREE MATRIX'!$E$8, IF(O334=5, '6. PEDIGREE MATRIX'!$F$8)))))</f>
        <v>1.2214027581601699</v>
      </c>
      <c r="U334" s="522">
        <f>IF(P334=1, '6. PEDIGREE MATRIX'!$B$10, IF(P334=2, '6. PEDIGREE MATRIX'!$C$10, IF(P334=3, '6. PEDIGREE MATRIX'!$D$10, IF(P334=4, '6. PEDIGREE MATRIX'!$E$10, IF(P334=5, '6. PEDIGREE MATRIX'!$F$10)))))</f>
        <v>1.0457364348384068</v>
      </c>
      <c r="V334" s="522">
        <f>IF(Q334=1, '6. PEDIGREE MATRIX'!$B$12, IF(Q334=2, '6. PEDIGREE MATRIX'!$C$12, IF(Q334=3, '6. PEDIGREE MATRIX'!$D$12, IF(Q334=4, '6. PEDIGREE MATRIX'!$E$12, IF(Q334=5, '6. PEDIGREE MATRIX'!$F$12)))))</f>
        <v>1.0935646911485417</v>
      </c>
      <c r="W334" s="522">
        <v>5.9999999999999995E-4</v>
      </c>
      <c r="X334" s="524">
        <f t="shared" ref="X334:X335" si="124">EXP(SQRT(W334))</f>
        <v>1.0247973619913604</v>
      </c>
    </row>
    <row r="335" spans="1:24" x14ac:dyDescent="0.3">
      <c r="A335" s="112" t="s">
        <v>1882</v>
      </c>
      <c r="B335" s="297">
        <f>'24. WAFER FAB'!$D$119</f>
        <v>-9.5999999999999992E-3</v>
      </c>
      <c r="C335" s="112" t="s">
        <v>521</v>
      </c>
      <c r="D335" s="244" t="s">
        <v>385</v>
      </c>
      <c r="E335" s="522" t="s">
        <v>2414</v>
      </c>
      <c r="F335" s="244" t="s">
        <v>371</v>
      </c>
      <c r="G335" s="244" t="s">
        <v>429</v>
      </c>
      <c r="H335" s="244" t="s">
        <v>154</v>
      </c>
      <c r="I335" s="522">
        <v>2</v>
      </c>
      <c r="J335" s="522">
        <f t="shared" si="121"/>
        <v>-4.6459921805083466</v>
      </c>
      <c r="K335" s="522" t="str">
        <f t="shared" si="122"/>
        <v>(Unknown)</v>
      </c>
      <c r="L335" s="523" t="str">
        <f t="shared" si="123"/>
        <v>(Unknown)</v>
      </c>
      <c r="M335" s="522">
        <v>4</v>
      </c>
      <c r="N335" s="522">
        <v>5</v>
      </c>
      <c r="O335" s="522">
        <v>5</v>
      </c>
      <c r="P335" s="522">
        <v>5</v>
      </c>
      <c r="Q335" s="522">
        <v>3</v>
      </c>
      <c r="R335" s="522">
        <f>IF(M335=1, '6. PEDIGREE MATRIX'!$B$4, IF(M335=2, '6. PEDIGREE MATRIX'!$C$4, IF(M335=3, '6. PEDIGREE MATRIX'!$D$4, IF(M335=4, '6. PEDIGREE MATRIX'!$E$4, IF(M335=5, '6. PEDIGREE MATRIX'!$F$4)))))</f>
        <v>1.0935646911485417</v>
      </c>
      <c r="S335" s="522">
        <f>IF(N335=1, '6. PEDIGREE MATRIX'!$B$6, IF(N335=2, '6. PEDIGREE MATRIX'!$C$6, IF(N335=3, '6. PEDIGREE MATRIX'!$D$6, IF(N335=4, '6. PEDIGREE MATRIX'!$E$6, IF(N335=5, '6. PEDIGREE MATRIX'!$F$6)))))</f>
        <v>1.0935646911485417</v>
      </c>
      <c r="T335" s="522">
        <f>IF(O335=1, '6. PEDIGREE MATRIX'!$B$8, IF(O335=2, '6. PEDIGREE MATRIX'!$C$8, IF(O335=3, '6. PEDIGREE MATRIX'!$D$8, IF(O335=4, '6. PEDIGREE MATRIX'!$E$8, IF(O335=5, '6. PEDIGREE MATRIX'!$F$8)))))</f>
        <v>1.2214027581601699</v>
      </c>
      <c r="U335" s="522">
        <f>IF(P335=1, '6. PEDIGREE MATRIX'!$B$10, IF(P335=2, '6. PEDIGREE MATRIX'!$C$10, IF(P335=3, '6. PEDIGREE MATRIX'!$D$10, IF(P335=4, '6. PEDIGREE MATRIX'!$E$10, IF(P335=5, '6. PEDIGREE MATRIX'!$F$10)))))</f>
        <v>1.0457364348384068</v>
      </c>
      <c r="V335" s="522">
        <f>IF(Q335=1, '6. PEDIGREE MATRIX'!$B$12, IF(Q335=2, '6. PEDIGREE MATRIX'!$C$12, IF(Q335=3, '6. PEDIGREE MATRIX'!$D$12, IF(Q335=4, '6. PEDIGREE MATRIX'!$E$12, IF(Q335=5, '6. PEDIGREE MATRIX'!$F$12)))))</f>
        <v>1.0935646911485417</v>
      </c>
      <c r="W335" s="522">
        <v>5.9999999999999995E-4</v>
      </c>
      <c r="X335" s="524">
        <f t="shared" si="124"/>
        <v>1.0247973619913604</v>
      </c>
    </row>
    <row r="336" spans="1:24" ht="15" thickBot="1" x14ac:dyDescent="0.35">
      <c r="A336" s="70" t="str">
        <f>B308</f>
        <v>WAFER FAB</v>
      </c>
      <c r="B336" s="71">
        <v>1</v>
      </c>
      <c r="C336" s="72" t="s">
        <v>224</v>
      </c>
      <c r="D336" s="72" t="str">
        <f>$B$1</f>
        <v>IGBT LCI dtb</v>
      </c>
      <c r="E336" s="71" t="str">
        <f>B312</f>
        <v>Processed cm² of Si IGBT good die</v>
      </c>
      <c r="F336" s="72" t="s">
        <v>371</v>
      </c>
      <c r="G336" s="72" t="s">
        <v>156</v>
      </c>
      <c r="H336" s="72" t="s">
        <v>383</v>
      </c>
      <c r="I336" s="71">
        <v>0</v>
      </c>
      <c r="J336" s="71" t="s">
        <v>371</v>
      </c>
      <c r="K336" s="71" t="s">
        <v>371</v>
      </c>
      <c r="L336" s="91" t="s">
        <v>371</v>
      </c>
      <c r="M336" s="71">
        <v>0</v>
      </c>
      <c r="N336" s="71">
        <v>0</v>
      </c>
      <c r="O336" s="71">
        <v>0</v>
      </c>
      <c r="P336" s="71">
        <v>0</v>
      </c>
      <c r="Q336" s="71">
        <v>0</v>
      </c>
      <c r="R336" s="71">
        <v>0</v>
      </c>
      <c r="S336" s="71">
        <v>0</v>
      </c>
      <c r="T336" s="71">
        <v>0</v>
      </c>
      <c r="U336" s="71">
        <v>0</v>
      </c>
      <c r="V336" s="71">
        <v>0</v>
      </c>
      <c r="W336" s="71">
        <v>0</v>
      </c>
      <c r="X336" s="73">
        <v>0</v>
      </c>
    </row>
    <row r="337" spans="1:24" x14ac:dyDescent="0.3">
      <c r="A337" s="2"/>
      <c r="B337" s="64"/>
    </row>
    <row r="338" spans="1:24" ht="15" thickBot="1" x14ac:dyDescent="0.35">
      <c r="A338" s="2"/>
    </row>
    <row r="339" spans="1:24" s="14" customFormat="1" ht="30" customHeight="1" thickBot="1" x14ac:dyDescent="0.35">
      <c r="A339" s="178" t="s">
        <v>326</v>
      </c>
      <c r="B339" s="179" t="s">
        <v>2035</v>
      </c>
      <c r="C339" s="180"/>
      <c r="D339" s="180"/>
      <c r="E339" s="181"/>
      <c r="F339" s="180"/>
      <c r="G339" s="180"/>
      <c r="H339" s="180"/>
      <c r="I339" s="181"/>
      <c r="J339" s="181"/>
      <c r="K339" s="181"/>
      <c r="L339" s="181"/>
      <c r="M339" s="181"/>
      <c r="N339" s="181"/>
      <c r="O339" s="181"/>
      <c r="P339" s="181"/>
      <c r="Q339" s="181"/>
      <c r="R339" s="181"/>
      <c r="S339" s="181"/>
      <c r="T339" s="181"/>
      <c r="U339" s="181"/>
      <c r="V339" s="181"/>
      <c r="W339" s="181"/>
      <c r="X339" s="182"/>
    </row>
    <row r="340" spans="1:24" ht="15.6" x14ac:dyDescent="0.3">
      <c r="A340" s="93" t="s">
        <v>163</v>
      </c>
      <c r="B340" s="56" t="s">
        <v>371</v>
      </c>
      <c r="C340" s="56"/>
      <c r="D340" s="575"/>
      <c r="E340" s="61"/>
      <c r="F340" s="56"/>
      <c r="G340" s="56"/>
      <c r="H340" s="56"/>
      <c r="I340" s="56"/>
      <c r="J340" s="56"/>
      <c r="K340" s="56"/>
      <c r="L340" s="56"/>
      <c r="M340" s="61"/>
      <c r="N340" s="61"/>
      <c r="O340" s="61"/>
      <c r="P340" s="61"/>
      <c r="Q340" s="61"/>
      <c r="R340" s="61"/>
      <c r="S340" s="61"/>
      <c r="T340" s="61"/>
      <c r="U340" s="61"/>
      <c r="V340" s="61"/>
      <c r="W340" s="61"/>
      <c r="X340" s="62"/>
    </row>
    <row r="341" spans="1:24" x14ac:dyDescent="0.3">
      <c r="A341" s="54" t="s">
        <v>227</v>
      </c>
      <c r="B341" s="56" t="s">
        <v>156</v>
      </c>
      <c r="C341" s="56"/>
      <c r="D341" s="56"/>
      <c r="E341" s="61"/>
      <c r="F341" s="56"/>
      <c r="G341" s="56"/>
      <c r="H341" s="56"/>
      <c r="I341" s="56"/>
      <c r="J341" s="56"/>
      <c r="K341" s="56"/>
      <c r="L341" s="56"/>
      <c r="M341" s="61"/>
      <c r="N341" s="61"/>
      <c r="O341" s="61"/>
      <c r="P341" s="61"/>
      <c r="Q341" s="61"/>
      <c r="R341" s="61"/>
      <c r="S341" s="61"/>
      <c r="T341" s="61"/>
      <c r="U341" s="61"/>
      <c r="V341" s="61"/>
      <c r="W341" s="61"/>
      <c r="X341" s="62"/>
    </row>
    <row r="342" spans="1:24" x14ac:dyDescent="0.3">
      <c r="A342" s="54" t="s">
        <v>428</v>
      </c>
      <c r="B342" s="61">
        <v>1</v>
      </c>
      <c r="C342" s="56"/>
      <c r="D342" s="56"/>
      <c r="E342" s="61"/>
      <c r="F342" s="56"/>
      <c r="G342" s="56"/>
      <c r="H342" s="56"/>
      <c r="I342" s="56"/>
      <c r="J342" s="56"/>
      <c r="K342" s="56"/>
      <c r="L342" s="56"/>
      <c r="M342" s="61"/>
      <c r="N342" s="61"/>
      <c r="O342" s="61"/>
      <c r="P342" s="61"/>
      <c r="Q342" s="61"/>
      <c r="R342" s="61"/>
      <c r="S342" s="61"/>
      <c r="T342" s="61"/>
      <c r="U342" s="61"/>
      <c r="V342" s="61"/>
      <c r="W342" s="61"/>
      <c r="X342" s="62"/>
    </row>
    <row r="343" spans="1:24" x14ac:dyDescent="0.3">
      <c r="A343" s="54" t="s">
        <v>147</v>
      </c>
      <c r="B343" s="56" t="s">
        <v>717</v>
      </c>
      <c r="C343" s="56"/>
      <c r="D343" s="56"/>
      <c r="E343" s="61"/>
      <c r="F343" s="56"/>
      <c r="G343" s="56"/>
      <c r="H343" s="56"/>
      <c r="I343" s="56"/>
      <c r="J343" s="56"/>
      <c r="K343" s="56"/>
      <c r="L343" s="56"/>
      <c r="M343" s="61"/>
      <c r="N343" s="61"/>
      <c r="O343" s="61"/>
      <c r="P343" s="61"/>
      <c r="Q343" s="61"/>
      <c r="R343" s="61"/>
      <c r="S343" s="61"/>
      <c r="T343" s="61"/>
      <c r="U343" s="61"/>
      <c r="V343" s="61"/>
      <c r="W343" s="61"/>
      <c r="X343" s="62"/>
    </row>
    <row r="344" spans="1:24" x14ac:dyDescent="0.3">
      <c r="A344" s="54" t="s">
        <v>327</v>
      </c>
      <c r="B344" s="61" t="s">
        <v>134</v>
      </c>
      <c r="C344" s="56"/>
      <c r="D344" s="56"/>
      <c r="E344" s="61"/>
      <c r="F344" s="56"/>
      <c r="G344" s="56"/>
      <c r="H344" s="56"/>
      <c r="I344" s="56"/>
      <c r="J344" s="56"/>
      <c r="K344" s="56"/>
      <c r="L344" s="56"/>
      <c r="M344" s="61"/>
      <c r="N344" s="61"/>
      <c r="O344" s="61"/>
      <c r="P344" s="61"/>
      <c r="Q344" s="61"/>
      <c r="R344" s="61"/>
      <c r="S344" s="61"/>
      <c r="T344" s="61"/>
      <c r="U344" s="61"/>
      <c r="V344" s="61"/>
      <c r="W344" s="61"/>
      <c r="X344" s="62"/>
    </row>
    <row r="345" spans="1:24" x14ac:dyDescent="0.3">
      <c r="A345" s="54" t="s">
        <v>224</v>
      </c>
      <c r="B345" s="56" t="s">
        <v>224</v>
      </c>
      <c r="C345" s="56"/>
      <c r="D345" s="56"/>
      <c r="E345" s="61"/>
      <c r="F345" s="56"/>
      <c r="G345" s="56"/>
      <c r="H345" s="56"/>
      <c r="I345" s="56"/>
      <c r="J345" s="56"/>
      <c r="K345" s="56"/>
      <c r="L345" s="56"/>
      <c r="M345" s="61"/>
      <c r="N345" s="61"/>
      <c r="O345" s="61"/>
      <c r="P345" s="61"/>
      <c r="Q345" s="61"/>
      <c r="R345" s="61"/>
      <c r="S345" s="61"/>
      <c r="T345" s="61"/>
      <c r="U345" s="61"/>
      <c r="V345" s="61"/>
      <c r="W345" s="61"/>
      <c r="X345" s="62"/>
    </row>
    <row r="346" spans="1:24" ht="15.6" x14ac:dyDescent="0.3">
      <c r="A346" s="55" t="s">
        <v>328</v>
      </c>
      <c r="B346" s="56"/>
      <c r="C346" s="56"/>
      <c r="D346" s="576"/>
      <c r="E346" s="61"/>
      <c r="F346" s="56"/>
      <c r="G346" s="56"/>
      <c r="H346" s="56"/>
      <c r="I346" s="56"/>
      <c r="J346" s="56"/>
      <c r="K346" s="56"/>
      <c r="L346" s="56"/>
      <c r="M346" s="61"/>
      <c r="N346" s="61"/>
      <c r="O346" s="61"/>
      <c r="P346" s="61"/>
      <c r="Q346" s="61"/>
      <c r="R346" s="61"/>
      <c r="S346" s="61"/>
      <c r="T346" s="61"/>
      <c r="U346" s="61"/>
      <c r="V346" s="61"/>
      <c r="W346" s="61"/>
      <c r="X346" s="62"/>
    </row>
    <row r="347" spans="1:24" x14ac:dyDescent="0.3">
      <c r="A347" s="54" t="s">
        <v>329</v>
      </c>
      <c r="B347" s="56" t="s">
        <v>330</v>
      </c>
      <c r="C347" s="56" t="s">
        <v>224</v>
      </c>
      <c r="D347" s="56" t="s">
        <v>331</v>
      </c>
      <c r="E347" s="61" t="s">
        <v>147</v>
      </c>
      <c r="F347" s="56" t="s">
        <v>332</v>
      </c>
      <c r="G347" s="56" t="s">
        <v>227</v>
      </c>
      <c r="H347" s="56" t="s">
        <v>327</v>
      </c>
      <c r="I347" s="56" t="s">
        <v>372</v>
      </c>
      <c r="J347" s="56" t="s">
        <v>373</v>
      </c>
      <c r="K347" s="56" t="s">
        <v>374</v>
      </c>
      <c r="L347" s="56" t="s">
        <v>148</v>
      </c>
      <c r="M347" s="61" t="s">
        <v>585</v>
      </c>
      <c r="N347" s="61" t="s">
        <v>586</v>
      </c>
      <c r="O347" s="61" t="s">
        <v>587</v>
      </c>
      <c r="P347" s="61" t="s">
        <v>220</v>
      </c>
      <c r="Q347" s="61" t="s">
        <v>588</v>
      </c>
      <c r="R347" s="61" t="s">
        <v>590</v>
      </c>
      <c r="S347" s="61" t="s">
        <v>591</v>
      </c>
      <c r="T347" s="61" t="s">
        <v>592</v>
      </c>
      <c r="U347" s="61" t="s">
        <v>593</v>
      </c>
      <c r="V347" s="61" t="s">
        <v>594</v>
      </c>
      <c r="W347" s="61" t="s">
        <v>595</v>
      </c>
      <c r="X347" s="62" t="s">
        <v>589</v>
      </c>
    </row>
    <row r="348" spans="1:24" x14ac:dyDescent="0.3">
      <c r="A348" s="76" t="str">
        <f>$B$3</f>
        <v>RAW WAFER PRODUCTION</v>
      </c>
      <c r="B348" s="88">
        <v>1</v>
      </c>
      <c r="C348" s="4" t="s">
        <v>224</v>
      </c>
      <c r="D348" s="4" t="s">
        <v>360</v>
      </c>
      <c r="E348" s="88" t="s">
        <v>717</v>
      </c>
      <c r="F348" s="4" t="s">
        <v>371</v>
      </c>
      <c r="G348" s="4" t="s">
        <v>156</v>
      </c>
      <c r="H348" s="4" t="s">
        <v>154</v>
      </c>
      <c r="I348" s="88">
        <v>2</v>
      </c>
      <c r="J348" s="88" t="s">
        <v>371</v>
      </c>
      <c r="K348" s="88" t="s">
        <v>371</v>
      </c>
      <c r="L348" s="94" t="s">
        <v>371</v>
      </c>
      <c r="M348" s="88">
        <v>0</v>
      </c>
      <c r="N348" s="88">
        <v>0</v>
      </c>
      <c r="O348" s="88">
        <v>0</v>
      </c>
      <c r="P348" s="88">
        <v>0</v>
      </c>
      <c r="Q348" s="88">
        <v>0</v>
      </c>
      <c r="R348" s="88">
        <v>0</v>
      </c>
      <c r="S348" s="88">
        <v>0</v>
      </c>
      <c r="T348" s="88">
        <v>0</v>
      </c>
      <c r="U348" s="88">
        <v>0</v>
      </c>
      <c r="V348" s="88">
        <v>0</v>
      </c>
      <c r="W348" s="88">
        <v>0</v>
      </c>
      <c r="X348" s="98">
        <v>0</v>
      </c>
    </row>
    <row r="349" spans="1:24" x14ac:dyDescent="0.3">
      <c r="A349" s="76" t="str">
        <f>$B$31</f>
        <v>WET CLEAN</v>
      </c>
      <c r="B349" s="88">
        <v>1</v>
      </c>
      <c r="C349" s="4" t="s">
        <v>224</v>
      </c>
      <c r="D349" s="4" t="s">
        <v>360</v>
      </c>
      <c r="E349" s="88" t="s">
        <v>717</v>
      </c>
      <c r="F349" s="4" t="s">
        <v>371</v>
      </c>
      <c r="G349" s="4" t="s">
        <v>156</v>
      </c>
      <c r="H349" s="4" t="s">
        <v>154</v>
      </c>
      <c r="I349" s="88">
        <v>2</v>
      </c>
      <c r="J349" s="88" t="s">
        <v>371</v>
      </c>
      <c r="K349" s="88" t="s">
        <v>371</v>
      </c>
      <c r="L349" s="94" t="s">
        <v>371</v>
      </c>
      <c r="M349" s="96">
        <v>0</v>
      </c>
      <c r="N349" s="96">
        <v>0</v>
      </c>
      <c r="O349" s="96">
        <v>0</v>
      </c>
      <c r="P349" s="96">
        <v>0</v>
      </c>
      <c r="Q349" s="96">
        <v>0</v>
      </c>
      <c r="R349" s="96">
        <v>0</v>
      </c>
      <c r="S349" s="96">
        <v>0</v>
      </c>
      <c r="T349" s="96">
        <v>0</v>
      </c>
      <c r="U349" s="96">
        <v>0</v>
      </c>
      <c r="V349" s="96">
        <v>0</v>
      </c>
      <c r="W349" s="96">
        <v>0</v>
      </c>
      <c r="X349" s="97">
        <v>0</v>
      </c>
    </row>
    <row r="350" spans="1:24" x14ac:dyDescent="0.3">
      <c r="A350" s="76" t="str">
        <f>$B$56</f>
        <v>PHOTOLITHOGRAPHY</v>
      </c>
      <c r="B350" s="88">
        <v>1</v>
      </c>
      <c r="C350" s="4" t="s">
        <v>224</v>
      </c>
      <c r="D350" s="4" t="s">
        <v>360</v>
      </c>
      <c r="E350" s="88" t="s">
        <v>717</v>
      </c>
      <c r="F350" s="4" t="s">
        <v>371</v>
      </c>
      <c r="G350" s="4" t="s">
        <v>156</v>
      </c>
      <c r="H350" s="4" t="s">
        <v>154</v>
      </c>
      <c r="I350" s="88">
        <v>2</v>
      </c>
      <c r="J350" s="88" t="s">
        <v>371</v>
      </c>
      <c r="K350" s="88" t="s">
        <v>371</v>
      </c>
      <c r="L350" s="94" t="s">
        <v>371</v>
      </c>
      <c r="M350" s="96">
        <v>0</v>
      </c>
      <c r="N350" s="96">
        <v>0</v>
      </c>
      <c r="O350" s="96">
        <v>0</v>
      </c>
      <c r="P350" s="96">
        <v>0</v>
      </c>
      <c r="Q350" s="96">
        <v>0</v>
      </c>
      <c r="R350" s="96">
        <v>0</v>
      </c>
      <c r="S350" s="96">
        <v>0</v>
      </c>
      <c r="T350" s="96">
        <v>0</v>
      </c>
      <c r="U350" s="96">
        <v>0</v>
      </c>
      <c r="V350" s="96">
        <v>0</v>
      </c>
      <c r="W350" s="96">
        <v>0</v>
      </c>
      <c r="X350" s="97">
        <v>0</v>
      </c>
    </row>
    <row r="351" spans="1:24" x14ac:dyDescent="0.3">
      <c r="A351" s="76" t="str">
        <f>$B$81</f>
        <v>WET ETCH</v>
      </c>
      <c r="B351" s="88">
        <v>1</v>
      </c>
      <c r="C351" s="4" t="s">
        <v>224</v>
      </c>
      <c r="D351" s="4" t="s">
        <v>360</v>
      </c>
      <c r="E351" s="88" t="s">
        <v>717</v>
      </c>
      <c r="F351" s="4" t="s">
        <v>371</v>
      </c>
      <c r="G351" s="4" t="s">
        <v>156</v>
      </c>
      <c r="H351" s="4" t="s">
        <v>154</v>
      </c>
      <c r="I351" s="88">
        <v>2</v>
      </c>
      <c r="J351" s="88" t="s">
        <v>371</v>
      </c>
      <c r="K351" s="88" t="s">
        <v>371</v>
      </c>
      <c r="L351" s="94" t="s">
        <v>371</v>
      </c>
      <c r="M351" s="96">
        <v>0</v>
      </c>
      <c r="N351" s="96">
        <v>0</v>
      </c>
      <c r="O351" s="96">
        <v>0</v>
      </c>
      <c r="P351" s="96">
        <v>0</v>
      </c>
      <c r="Q351" s="96">
        <v>0</v>
      </c>
      <c r="R351" s="96">
        <v>0</v>
      </c>
      <c r="S351" s="96">
        <v>0</v>
      </c>
      <c r="T351" s="96">
        <v>0</v>
      </c>
      <c r="U351" s="96">
        <v>0</v>
      </c>
      <c r="V351" s="96">
        <v>0</v>
      </c>
      <c r="W351" s="96">
        <v>0</v>
      </c>
      <c r="X351" s="97">
        <v>0</v>
      </c>
    </row>
    <row r="352" spans="1:24" x14ac:dyDescent="0.3">
      <c r="A352" s="76" t="str">
        <f>$B$108</f>
        <v>DRY ETCH</v>
      </c>
      <c r="B352" s="88">
        <v>1</v>
      </c>
      <c r="C352" s="4" t="s">
        <v>224</v>
      </c>
      <c r="D352" s="4" t="s">
        <v>360</v>
      </c>
      <c r="E352" s="88" t="s">
        <v>717</v>
      </c>
      <c r="F352" s="4" t="s">
        <v>371</v>
      </c>
      <c r="G352" s="4" t="s">
        <v>156</v>
      </c>
      <c r="H352" s="4" t="s">
        <v>154</v>
      </c>
      <c r="I352" s="88">
        <v>2</v>
      </c>
      <c r="J352" s="88" t="s">
        <v>371</v>
      </c>
      <c r="K352" s="88" t="s">
        <v>371</v>
      </c>
      <c r="L352" s="94" t="s">
        <v>371</v>
      </c>
      <c r="M352" s="96">
        <v>0</v>
      </c>
      <c r="N352" s="96">
        <v>0</v>
      </c>
      <c r="O352" s="96">
        <v>0</v>
      </c>
      <c r="P352" s="96">
        <v>0</v>
      </c>
      <c r="Q352" s="96">
        <v>0</v>
      </c>
      <c r="R352" s="96">
        <v>0</v>
      </c>
      <c r="S352" s="96">
        <v>0</v>
      </c>
      <c r="T352" s="96">
        <v>0</v>
      </c>
      <c r="U352" s="96">
        <v>0</v>
      </c>
      <c r="V352" s="96">
        <v>0</v>
      </c>
      <c r="W352" s="96">
        <v>0</v>
      </c>
      <c r="X352" s="97">
        <v>0</v>
      </c>
    </row>
    <row r="353" spans="1:24" x14ac:dyDescent="0.3">
      <c r="A353" s="76" t="str">
        <f>$B$133</f>
        <v>THERMAL PROCESSES</v>
      </c>
      <c r="B353" s="88">
        <v>1</v>
      </c>
      <c r="C353" s="4" t="s">
        <v>224</v>
      </c>
      <c r="D353" s="4" t="s">
        <v>360</v>
      </c>
      <c r="E353" s="88" t="s">
        <v>717</v>
      </c>
      <c r="F353" s="4" t="s">
        <v>371</v>
      </c>
      <c r="G353" s="4" t="s">
        <v>156</v>
      </c>
      <c r="H353" s="4" t="s">
        <v>154</v>
      </c>
      <c r="I353" s="88">
        <v>2</v>
      </c>
      <c r="J353" s="88" t="s">
        <v>371</v>
      </c>
      <c r="K353" s="88" t="s">
        <v>371</v>
      </c>
      <c r="L353" s="94" t="s">
        <v>371</v>
      </c>
      <c r="M353" s="96">
        <v>0</v>
      </c>
      <c r="N353" s="96">
        <v>0</v>
      </c>
      <c r="O353" s="96">
        <v>0</v>
      </c>
      <c r="P353" s="96">
        <v>0</v>
      </c>
      <c r="Q353" s="96">
        <v>0</v>
      </c>
      <c r="R353" s="96">
        <v>0</v>
      </c>
      <c r="S353" s="96">
        <v>0</v>
      </c>
      <c r="T353" s="96">
        <v>0</v>
      </c>
      <c r="U353" s="96">
        <v>0</v>
      </c>
      <c r="V353" s="96">
        <v>0</v>
      </c>
      <c r="W353" s="96">
        <v>0</v>
      </c>
      <c r="X353" s="97">
        <v>0</v>
      </c>
    </row>
    <row r="354" spans="1:24" x14ac:dyDescent="0.3">
      <c r="A354" s="76" t="str">
        <f>$B$153</f>
        <v>IMPLANT</v>
      </c>
      <c r="B354" s="88">
        <v>1</v>
      </c>
      <c r="C354" s="4" t="s">
        <v>224</v>
      </c>
      <c r="D354" s="4" t="s">
        <v>360</v>
      </c>
      <c r="E354" s="88" t="s">
        <v>717</v>
      </c>
      <c r="F354" s="4" t="s">
        <v>371</v>
      </c>
      <c r="G354" s="4" t="s">
        <v>156</v>
      </c>
      <c r="H354" s="4" t="s">
        <v>154</v>
      </c>
      <c r="I354" s="88">
        <v>2</v>
      </c>
      <c r="J354" s="88" t="s">
        <v>371</v>
      </c>
      <c r="K354" s="88" t="s">
        <v>371</v>
      </c>
      <c r="L354" s="94" t="s">
        <v>371</v>
      </c>
      <c r="M354" s="96">
        <v>0</v>
      </c>
      <c r="N354" s="96">
        <v>0</v>
      </c>
      <c r="O354" s="96">
        <v>0</v>
      </c>
      <c r="P354" s="96">
        <v>0</v>
      </c>
      <c r="Q354" s="96">
        <v>0</v>
      </c>
      <c r="R354" s="96">
        <v>0</v>
      </c>
      <c r="S354" s="96">
        <v>0</v>
      </c>
      <c r="T354" s="96">
        <v>0</v>
      </c>
      <c r="U354" s="96">
        <v>0</v>
      </c>
      <c r="V354" s="96">
        <v>0</v>
      </c>
      <c r="W354" s="96">
        <v>0</v>
      </c>
      <c r="X354" s="97">
        <v>0</v>
      </c>
    </row>
    <row r="355" spans="1:24" x14ac:dyDescent="0.3">
      <c r="A355" s="76" t="str">
        <f>$B$174</f>
        <v>CVD</v>
      </c>
      <c r="B355" s="88">
        <v>1</v>
      </c>
      <c r="C355" s="4" t="s">
        <v>224</v>
      </c>
      <c r="D355" s="4" t="s">
        <v>360</v>
      </c>
      <c r="E355" s="88" t="s">
        <v>717</v>
      </c>
      <c r="F355" s="4" t="s">
        <v>371</v>
      </c>
      <c r="G355" s="4" t="s">
        <v>156</v>
      </c>
      <c r="H355" s="4" t="s">
        <v>154</v>
      </c>
      <c r="I355" s="88">
        <v>2</v>
      </c>
      <c r="J355" s="88" t="s">
        <v>371</v>
      </c>
      <c r="K355" s="88" t="s">
        <v>371</v>
      </c>
      <c r="L355" s="94" t="s">
        <v>371</v>
      </c>
      <c r="M355" s="96">
        <v>0</v>
      </c>
      <c r="N355" s="96">
        <v>0</v>
      </c>
      <c r="O355" s="96">
        <v>0</v>
      </c>
      <c r="P355" s="96">
        <v>0</v>
      </c>
      <c r="Q355" s="96">
        <v>0</v>
      </c>
      <c r="R355" s="96">
        <v>0</v>
      </c>
      <c r="S355" s="96">
        <v>0</v>
      </c>
      <c r="T355" s="96">
        <v>0</v>
      </c>
      <c r="U355" s="96">
        <v>0</v>
      </c>
      <c r="V355" s="96">
        <v>0</v>
      </c>
      <c r="W355" s="96">
        <v>0</v>
      </c>
      <c r="X355" s="97">
        <v>0</v>
      </c>
    </row>
    <row r="356" spans="1:24" x14ac:dyDescent="0.3">
      <c r="A356" s="76" t="str">
        <f>$B$209</f>
        <v>PVD</v>
      </c>
      <c r="B356" s="88">
        <v>1</v>
      </c>
      <c r="C356" s="4" t="s">
        <v>224</v>
      </c>
      <c r="D356" s="4" t="s">
        <v>360</v>
      </c>
      <c r="E356" s="88" t="s">
        <v>717</v>
      </c>
      <c r="F356" s="4" t="s">
        <v>371</v>
      </c>
      <c r="G356" s="4" t="s">
        <v>156</v>
      </c>
      <c r="H356" s="4" t="s">
        <v>154</v>
      </c>
      <c r="I356" s="88">
        <v>2</v>
      </c>
      <c r="J356" s="88" t="s">
        <v>371</v>
      </c>
      <c r="K356" s="88" t="s">
        <v>371</v>
      </c>
      <c r="L356" s="94" t="s">
        <v>371</v>
      </c>
      <c r="M356" s="96">
        <v>0</v>
      </c>
      <c r="N356" s="96">
        <v>0</v>
      </c>
      <c r="O356" s="96">
        <v>0</v>
      </c>
      <c r="P356" s="96">
        <v>0</v>
      </c>
      <c r="Q356" s="96">
        <v>0</v>
      </c>
      <c r="R356" s="96">
        <v>0</v>
      </c>
      <c r="S356" s="96">
        <v>0</v>
      </c>
      <c r="T356" s="96">
        <v>0</v>
      </c>
      <c r="U356" s="96">
        <v>0</v>
      </c>
      <c r="V356" s="96">
        <v>0</v>
      </c>
      <c r="W356" s="96">
        <v>0</v>
      </c>
      <c r="X356" s="97">
        <v>0</v>
      </c>
    </row>
    <row r="357" spans="1:24" x14ac:dyDescent="0.3">
      <c r="A357" s="76" t="str">
        <f>$B$231</f>
        <v>CMP</v>
      </c>
      <c r="B357" s="88">
        <v>1</v>
      </c>
      <c r="C357" s="4" t="s">
        <v>224</v>
      </c>
      <c r="D357" s="4" t="s">
        <v>360</v>
      </c>
      <c r="E357" s="88" t="s">
        <v>717</v>
      </c>
      <c r="F357" s="4" t="s">
        <v>371</v>
      </c>
      <c r="G357" s="4" t="s">
        <v>156</v>
      </c>
      <c r="H357" s="4" t="s">
        <v>154</v>
      </c>
      <c r="I357" s="88">
        <v>2</v>
      </c>
      <c r="J357" s="88" t="s">
        <v>371</v>
      </c>
      <c r="K357" s="88" t="s">
        <v>371</v>
      </c>
      <c r="L357" s="94" t="s">
        <v>371</v>
      </c>
      <c r="M357" s="96">
        <v>0</v>
      </c>
      <c r="N357" s="96">
        <v>0</v>
      </c>
      <c r="O357" s="96">
        <v>0</v>
      </c>
      <c r="P357" s="96">
        <v>0</v>
      </c>
      <c r="Q357" s="96">
        <v>0</v>
      </c>
      <c r="R357" s="96">
        <v>0</v>
      </c>
      <c r="S357" s="96">
        <v>0</v>
      </c>
      <c r="T357" s="96">
        <v>0</v>
      </c>
      <c r="U357" s="96">
        <v>0</v>
      </c>
      <c r="V357" s="96">
        <v>0</v>
      </c>
      <c r="W357" s="96">
        <v>0</v>
      </c>
      <c r="X357" s="97">
        <v>0</v>
      </c>
    </row>
    <row r="358" spans="1:24" x14ac:dyDescent="0.3">
      <c r="A358" s="76" t="str">
        <f>$B$257</f>
        <v>THINNING</v>
      </c>
      <c r="B358" s="88">
        <v>1</v>
      </c>
      <c r="C358" s="4" t="s">
        <v>224</v>
      </c>
      <c r="D358" s="4" t="s">
        <v>360</v>
      </c>
      <c r="E358" s="88" t="s">
        <v>717</v>
      </c>
      <c r="F358" s="4" t="s">
        <v>371</v>
      </c>
      <c r="G358" s="4" t="s">
        <v>156</v>
      </c>
      <c r="H358" s="4" t="s">
        <v>154</v>
      </c>
      <c r="I358" s="88">
        <v>2</v>
      </c>
      <c r="J358" s="88" t="s">
        <v>371</v>
      </c>
      <c r="K358" s="88" t="s">
        <v>371</v>
      </c>
      <c r="L358" s="94" t="s">
        <v>371</v>
      </c>
      <c r="M358" s="96">
        <v>0</v>
      </c>
      <c r="N358" s="96">
        <v>0</v>
      </c>
      <c r="O358" s="96">
        <v>0</v>
      </c>
      <c r="P358" s="96">
        <v>0</v>
      </c>
      <c r="Q358" s="96">
        <v>0</v>
      </c>
      <c r="R358" s="96">
        <v>0</v>
      </c>
      <c r="S358" s="96">
        <v>0</v>
      </c>
      <c r="T358" s="96">
        <v>0</v>
      </c>
      <c r="U358" s="96">
        <v>0</v>
      </c>
      <c r="V358" s="96">
        <v>0</v>
      </c>
      <c r="W358" s="96">
        <v>0</v>
      </c>
      <c r="X358" s="97">
        <v>0</v>
      </c>
    </row>
    <row r="359" spans="1:24" x14ac:dyDescent="0.3">
      <c r="A359" s="76" t="str">
        <f>$B$295</f>
        <v>PROBING</v>
      </c>
      <c r="B359" s="88">
        <v>1</v>
      </c>
      <c r="C359" s="4" t="s">
        <v>224</v>
      </c>
      <c r="D359" s="4" t="s">
        <v>360</v>
      </c>
      <c r="E359" s="88" t="s">
        <v>717</v>
      </c>
      <c r="F359" s="4" t="s">
        <v>371</v>
      </c>
      <c r="G359" s="4" t="s">
        <v>156</v>
      </c>
      <c r="H359" s="4" t="s">
        <v>154</v>
      </c>
      <c r="I359" s="88">
        <v>2</v>
      </c>
      <c r="J359" s="88" t="s">
        <v>371</v>
      </c>
      <c r="K359" s="88" t="s">
        <v>371</v>
      </c>
      <c r="L359" s="94" t="s">
        <v>371</v>
      </c>
      <c r="M359" s="96">
        <v>0</v>
      </c>
      <c r="N359" s="96">
        <v>0</v>
      </c>
      <c r="O359" s="96">
        <v>0</v>
      </c>
      <c r="P359" s="96">
        <v>0</v>
      </c>
      <c r="Q359" s="96">
        <v>0</v>
      </c>
      <c r="R359" s="96">
        <v>0</v>
      </c>
      <c r="S359" s="96">
        <v>0</v>
      </c>
      <c r="T359" s="96">
        <v>0</v>
      </c>
      <c r="U359" s="96">
        <v>0</v>
      </c>
      <c r="V359" s="96">
        <v>0</v>
      </c>
      <c r="W359" s="96">
        <v>0</v>
      </c>
      <c r="X359" s="97">
        <v>0</v>
      </c>
    </row>
    <row r="360" spans="1:24" x14ac:dyDescent="0.3">
      <c r="A360" s="76" t="str">
        <f>$B$276</f>
        <v>DICING</v>
      </c>
      <c r="B360" s="88">
        <v>1</v>
      </c>
      <c r="C360" s="4" t="s">
        <v>224</v>
      </c>
      <c r="D360" s="4" t="s">
        <v>360</v>
      </c>
      <c r="E360" s="88" t="s">
        <v>717</v>
      </c>
      <c r="F360" s="4" t="s">
        <v>371</v>
      </c>
      <c r="G360" s="4" t="s">
        <v>156</v>
      </c>
      <c r="H360" s="4" t="s">
        <v>154</v>
      </c>
      <c r="I360" s="88">
        <v>2</v>
      </c>
      <c r="J360" s="88" t="s">
        <v>371</v>
      </c>
      <c r="K360" s="88" t="s">
        <v>371</v>
      </c>
      <c r="L360" s="94" t="s">
        <v>371</v>
      </c>
      <c r="M360" s="96">
        <v>0</v>
      </c>
      <c r="N360" s="96">
        <v>0</v>
      </c>
      <c r="O360" s="96">
        <v>0</v>
      </c>
      <c r="P360" s="96">
        <v>0</v>
      </c>
      <c r="Q360" s="96">
        <v>0</v>
      </c>
      <c r="R360" s="96">
        <v>0</v>
      </c>
      <c r="S360" s="96">
        <v>0</v>
      </c>
      <c r="T360" s="96">
        <v>0</v>
      </c>
      <c r="U360" s="96">
        <v>0</v>
      </c>
      <c r="V360" s="96">
        <v>0</v>
      </c>
      <c r="W360" s="96">
        <v>0</v>
      </c>
      <c r="X360" s="97">
        <v>0</v>
      </c>
    </row>
    <row r="361" spans="1:24" x14ac:dyDescent="0.3">
      <c r="A361" s="230" t="str">
        <f>$B$308</f>
        <v>WAFER FAB</v>
      </c>
      <c r="B361" s="88">
        <v>1</v>
      </c>
      <c r="C361" s="4" t="s">
        <v>224</v>
      </c>
      <c r="D361" s="4" t="s">
        <v>360</v>
      </c>
      <c r="E361" s="88" t="s">
        <v>717</v>
      </c>
      <c r="F361" s="4" t="s">
        <v>371</v>
      </c>
      <c r="G361" s="4" t="s">
        <v>156</v>
      </c>
      <c r="H361" s="4" t="s">
        <v>154</v>
      </c>
      <c r="I361" s="88">
        <v>2</v>
      </c>
      <c r="J361" s="88" t="s">
        <v>371</v>
      </c>
      <c r="K361" s="88" t="s">
        <v>371</v>
      </c>
      <c r="L361" s="94" t="s">
        <v>371</v>
      </c>
      <c r="M361" s="96">
        <v>0</v>
      </c>
      <c r="N361" s="96">
        <v>0</v>
      </c>
      <c r="O361" s="96">
        <v>0</v>
      </c>
      <c r="P361" s="96">
        <v>0</v>
      </c>
      <c r="Q361" s="96">
        <v>0</v>
      </c>
      <c r="R361" s="96">
        <v>0</v>
      </c>
      <c r="S361" s="96">
        <v>0</v>
      </c>
      <c r="T361" s="96">
        <v>0</v>
      </c>
      <c r="U361" s="96">
        <v>0</v>
      </c>
      <c r="V361" s="96">
        <v>0</v>
      </c>
      <c r="W361" s="96">
        <v>0</v>
      </c>
      <c r="X361" s="97">
        <v>0</v>
      </c>
    </row>
    <row r="362" spans="1:24" ht="15" thickBot="1" x14ac:dyDescent="0.35">
      <c r="A362" s="77" t="str">
        <f>B339</f>
        <v>IGBT DIE</v>
      </c>
      <c r="B362" s="89">
        <v>1</v>
      </c>
      <c r="C362" s="12" t="s">
        <v>224</v>
      </c>
      <c r="D362" s="12" t="s">
        <v>360</v>
      </c>
      <c r="E362" s="89" t="s">
        <v>717</v>
      </c>
      <c r="F362" s="12" t="s">
        <v>371</v>
      </c>
      <c r="G362" s="12" t="s">
        <v>156</v>
      </c>
      <c r="H362" s="12" t="s">
        <v>383</v>
      </c>
      <c r="I362" s="89">
        <v>2</v>
      </c>
      <c r="J362" s="89" t="s">
        <v>371</v>
      </c>
      <c r="K362" s="89" t="s">
        <v>371</v>
      </c>
      <c r="L362" s="95" t="s">
        <v>371</v>
      </c>
      <c r="M362" s="71">
        <v>0</v>
      </c>
      <c r="N362" s="71">
        <v>0</v>
      </c>
      <c r="O362" s="71">
        <v>0</v>
      </c>
      <c r="P362" s="71">
        <v>0</v>
      </c>
      <c r="Q362" s="71">
        <v>0</v>
      </c>
      <c r="R362" s="71">
        <v>0</v>
      </c>
      <c r="S362" s="71">
        <v>0</v>
      </c>
      <c r="T362" s="71">
        <v>0</v>
      </c>
      <c r="U362" s="71">
        <v>0</v>
      </c>
      <c r="V362" s="71">
        <v>0</v>
      </c>
      <c r="W362" s="71">
        <v>0</v>
      </c>
      <c r="X362" s="73">
        <v>0</v>
      </c>
    </row>
    <row r="365" spans="1:24" x14ac:dyDescent="0.3">
      <c r="B365" s="120"/>
    </row>
    <row r="366" spans="1:24" x14ac:dyDescent="0.3">
      <c r="B366" s="120"/>
    </row>
    <row r="367" spans="1:24" x14ac:dyDescent="0.3">
      <c r="B367" s="120"/>
    </row>
    <row r="369" spans="2:2" x14ac:dyDescent="0.3">
      <c r="B369" s="120"/>
    </row>
    <row r="370" spans="2:2" x14ac:dyDescent="0.3">
      <c r="B370" s="121"/>
    </row>
    <row r="372" spans="2:2" x14ac:dyDescent="0.3">
      <c r="B372" s="120"/>
    </row>
    <row r="373" spans="2:2" x14ac:dyDescent="0.3">
      <c r="B373" s="120"/>
    </row>
    <row r="374" spans="2:2" x14ac:dyDescent="0.3">
      <c r="B374" s="120"/>
    </row>
    <row r="377" spans="2:2" x14ac:dyDescent="0.3">
      <c r="B377" s="121"/>
    </row>
  </sheetData>
  <sheetProtection algorithmName="SHA-512" hashValue="B+Qjf3k7nDS2WHVDb4sEc6jsKKQSyH9dOhXM5On0Q2ZWawxmYgYMpTpUZrv4voUkrcM0wmeGVMaVQMDEE20RXw==" saltValue="BqvPSa8vW7EpylgbQUZtsw==" spinCount="100000" sheet="1" objects="1" scenarios="1"/>
  <phoneticPr fontId="15" type="noConversion"/>
  <pageMargins left="0.7" right="0.7" top="0.75" bottom="0.75" header="0.3" footer="0.3"/>
  <pageSetup paperSize="9" orientation="portrait" verticalDpi="0" r:id="rId1"/>
  <ignoredErrors>
    <ignoredError sqref="E318"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BF503-630A-4A6B-AA33-E3EDC2B1795A}">
  <dimension ref="A1:E33"/>
  <sheetViews>
    <sheetView zoomScale="85" zoomScaleNormal="85" workbookViewId="0">
      <selection activeCell="C20" sqref="C20:C23"/>
    </sheetView>
  </sheetViews>
  <sheetFormatPr baseColWidth="10" defaultRowHeight="14.4" x14ac:dyDescent="0.3"/>
  <cols>
    <col min="1" max="1" width="30.6640625" bestFit="1" customWidth="1"/>
    <col min="2" max="2" width="25.21875" style="1" bestFit="1" customWidth="1"/>
    <col min="3" max="3" width="61.5546875" bestFit="1" customWidth="1"/>
    <col min="4" max="4" width="51.6640625" bestFit="1" customWidth="1"/>
    <col min="5" max="5" width="39.33203125" bestFit="1" customWidth="1"/>
  </cols>
  <sheetData>
    <row r="1" spans="1:5" x14ac:dyDescent="0.3">
      <c r="A1" t="s">
        <v>135</v>
      </c>
    </row>
    <row r="2" spans="1:5" x14ac:dyDescent="0.3">
      <c r="A2" s="542" t="s">
        <v>312</v>
      </c>
      <c r="B2" s="594" t="s">
        <v>731</v>
      </c>
      <c r="C2" s="594" t="s">
        <v>721</v>
      </c>
      <c r="D2" s="594" t="s">
        <v>333</v>
      </c>
      <c r="E2" s="594" t="s">
        <v>733</v>
      </c>
    </row>
    <row r="3" spans="1:5" x14ac:dyDescent="0.3">
      <c r="A3" s="4" t="s">
        <v>669</v>
      </c>
      <c r="B3" s="595" t="s">
        <v>346</v>
      </c>
      <c r="C3" s="595" t="s">
        <v>370</v>
      </c>
      <c r="D3" s="595" t="s">
        <v>384</v>
      </c>
      <c r="E3" s="592" t="s">
        <v>734</v>
      </c>
    </row>
    <row r="4" spans="1:5" x14ac:dyDescent="0.3">
      <c r="A4" s="4" t="s">
        <v>313</v>
      </c>
      <c r="B4" s="595" t="s">
        <v>156</v>
      </c>
      <c r="C4" s="595" t="s">
        <v>370</v>
      </c>
      <c r="D4" s="595" t="s">
        <v>384</v>
      </c>
      <c r="E4" s="592" t="s">
        <v>722</v>
      </c>
    </row>
    <row r="5" spans="1:5" x14ac:dyDescent="0.3">
      <c r="A5" s="4" t="s">
        <v>723</v>
      </c>
      <c r="B5" s="595" t="s">
        <v>723</v>
      </c>
      <c r="C5" s="595" t="s">
        <v>370</v>
      </c>
      <c r="D5" s="595" t="s">
        <v>384</v>
      </c>
      <c r="E5" s="592" t="s">
        <v>724</v>
      </c>
    </row>
    <row r="6" spans="1:5" x14ac:dyDescent="0.3">
      <c r="A6" s="4" t="s">
        <v>687</v>
      </c>
      <c r="B6" s="595" t="s">
        <v>688</v>
      </c>
      <c r="C6" s="595" t="s">
        <v>370</v>
      </c>
      <c r="D6" s="595" t="s">
        <v>384</v>
      </c>
      <c r="E6" s="592" t="s">
        <v>725</v>
      </c>
    </row>
    <row r="7" spans="1:5" x14ac:dyDescent="0.3">
      <c r="A7" s="4" t="s">
        <v>682</v>
      </c>
      <c r="B7" s="595" t="s">
        <v>683</v>
      </c>
      <c r="C7" s="595" t="s">
        <v>716</v>
      </c>
      <c r="D7" s="595" t="s">
        <v>384</v>
      </c>
      <c r="E7" s="592" t="s">
        <v>737</v>
      </c>
    </row>
    <row r="8" spans="1:5" x14ac:dyDescent="0.3">
      <c r="A8" s="4" t="s">
        <v>676</v>
      </c>
      <c r="B8" s="595" t="s">
        <v>677</v>
      </c>
      <c r="C8" s="595" t="s">
        <v>716</v>
      </c>
      <c r="D8" s="595" t="s">
        <v>384</v>
      </c>
      <c r="E8" s="592" t="s">
        <v>735</v>
      </c>
    </row>
    <row r="9" spans="1:5" x14ac:dyDescent="0.3">
      <c r="A9" s="4" t="s">
        <v>680</v>
      </c>
      <c r="B9" s="595" t="s">
        <v>684</v>
      </c>
      <c r="C9" s="595" t="s">
        <v>716</v>
      </c>
      <c r="D9" s="595" t="s">
        <v>384</v>
      </c>
      <c r="E9" s="592" t="s">
        <v>727</v>
      </c>
    </row>
    <row r="10" spans="1:5" x14ac:dyDescent="0.3">
      <c r="A10" s="4" t="s">
        <v>681</v>
      </c>
      <c r="B10" s="595" t="s">
        <v>343</v>
      </c>
      <c r="C10" s="595" t="s">
        <v>716</v>
      </c>
      <c r="D10" s="595" t="s">
        <v>384</v>
      </c>
      <c r="E10" s="592" t="s">
        <v>726</v>
      </c>
    </row>
    <row r="11" spans="1:5" x14ac:dyDescent="0.3">
      <c r="A11" s="4" t="s">
        <v>685</v>
      </c>
      <c r="B11" s="595" t="s">
        <v>686</v>
      </c>
      <c r="C11" s="595" t="s">
        <v>716</v>
      </c>
      <c r="D11" s="595" t="s">
        <v>384</v>
      </c>
      <c r="E11" s="592" t="s">
        <v>736</v>
      </c>
    </row>
    <row r="12" spans="1:5" x14ac:dyDescent="0.3">
      <c r="A12" s="4" t="s">
        <v>732</v>
      </c>
      <c r="B12" s="595" t="s">
        <v>729</v>
      </c>
      <c r="C12" s="595" t="s">
        <v>728</v>
      </c>
      <c r="D12" s="595" t="s">
        <v>793</v>
      </c>
      <c r="E12" s="592" t="s">
        <v>730</v>
      </c>
    </row>
    <row r="14" spans="1:5" ht="15.6" x14ac:dyDescent="0.35">
      <c r="A14" s="542" t="s">
        <v>756</v>
      </c>
      <c r="B14" s="594" t="s">
        <v>770</v>
      </c>
    </row>
    <row r="15" spans="1:5" x14ac:dyDescent="0.3">
      <c r="A15" s="88">
        <v>150</v>
      </c>
      <c r="B15" s="592">
        <v>6</v>
      </c>
    </row>
    <row r="16" spans="1:5" x14ac:dyDescent="0.3">
      <c r="A16" s="88">
        <v>200</v>
      </c>
      <c r="B16" s="592">
        <v>6</v>
      </c>
    </row>
    <row r="17" spans="1:4" x14ac:dyDescent="0.3">
      <c r="A17" s="88">
        <v>300</v>
      </c>
      <c r="B17" s="592">
        <v>3</v>
      </c>
    </row>
    <row r="19" spans="1:4" ht="16.8" x14ac:dyDescent="0.35">
      <c r="A19" s="542" t="s">
        <v>971</v>
      </c>
      <c r="B19" s="594" t="s">
        <v>973</v>
      </c>
      <c r="C19" s="594" t="s">
        <v>974</v>
      </c>
      <c r="D19" s="594" t="s">
        <v>975</v>
      </c>
    </row>
    <row r="20" spans="1:4" x14ac:dyDescent="0.3">
      <c r="A20" s="4" t="s">
        <v>438</v>
      </c>
      <c r="B20" s="1015">
        <f>'1. USER INPUTS'!$E$9*0.01</f>
        <v>1</v>
      </c>
      <c r="C20" s="1015">
        <f>'1. USER INPUTS'!$E$17</f>
        <v>0.1</v>
      </c>
      <c r="D20" s="596">
        <f>((1-EXP(-$B$20*$C$20))/($B$20*$C$20))^2</f>
        <v>0.90559170060627225</v>
      </c>
    </row>
    <row r="21" spans="1:4" x14ac:dyDescent="0.3">
      <c r="A21" s="4" t="s">
        <v>972</v>
      </c>
      <c r="B21" s="1015"/>
      <c r="C21" s="1015"/>
      <c r="D21" s="596">
        <f>(1-EXP(-2*$B$20*$C$20))/(2*$B$20*$C$20)</f>
        <v>0.9063462346100909</v>
      </c>
    </row>
    <row r="22" spans="1:4" x14ac:dyDescent="0.3">
      <c r="A22" s="4" t="s">
        <v>948</v>
      </c>
      <c r="B22" s="1015"/>
      <c r="C22" s="1015"/>
      <c r="D22" s="596">
        <f>(1/(1+($B$20*$C$20)))</f>
        <v>0.90909090909090906</v>
      </c>
    </row>
    <row r="23" spans="1:4" x14ac:dyDescent="0.3">
      <c r="A23" s="4" t="s">
        <v>970</v>
      </c>
      <c r="B23" s="1015"/>
      <c r="C23" s="1015"/>
      <c r="D23" s="596">
        <f>EXP(-$B$20*$C$20)</f>
        <v>0.90483741803595952</v>
      </c>
    </row>
    <row r="24" spans="1:4" x14ac:dyDescent="0.3">
      <c r="B24" s="14"/>
    </row>
    <row r="25" spans="1:4" ht="16.2" x14ac:dyDescent="0.3">
      <c r="A25" s="542" t="s">
        <v>933</v>
      </c>
      <c r="B25" s="594" t="s">
        <v>934</v>
      </c>
      <c r="C25" s="594" t="s">
        <v>932</v>
      </c>
    </row>
    <row r="26" spans="1:4" ht="14.4" customHeight="1" x14ac:dyDescent="0.3">
      <c r="A26" s="88">
        <v>1</v>
      </c>
      <c r="B26" s="592" t="s">
        <v>210</v>
      </c>
      <c r="C26" s="592">
        <v>700</v>
      </c>
    </row>
    <row r="27" spans="1:4" ht="14.4" customHeight="1" x14ac:dyDescent="0.3">
      <c r="A27" s="88">
        <v>2</v>
      </c>
      <c r="B27" s="592" t="s">
        <v>210</v>
      </c>
      <c r="C27" s="592">
        <v>600</v>
      </c>
    </row>
    <row r="28" spans="1:4" x14ac:dyDescent="0.3">
      <c r="A28" s="88">
        <v>3</v>
      </c>
      <c r="B28" s="592">
        <v>1</v>
      </c>
      <c r="C28" s="592">
        <v>500</v>
      </c>
    </row>
    <row r="29" spans="1:4" x14ac:dyDescent="0.3">
      <c r="A29" s="88">
        <v>4</v>
      </c>
      <c r="B29" s="592">
        <v>10</v>
      </c>
      <c r="C29" s="592">
        <v>400</v>
      </c>
    </row>
    <row r="30" spans="1:4" x14ac:dyDescent="0.3">
      <c r="A30" s="88">
        <v>5</v>
      </c>
      <c r="B30" s="592">
        <v>100</v>
      </c>
      <c r="C30" s="592">
        <v>240</v>
      </c>
    </row>
    <row r="31" spans="1:4" x14ac:dyDescent="0.3">
      <c r="A31" s="88">
        <v>6</v>
      </c>
      <c r="B31" s="592">
        <v>1000</v>
      </c>
      <c r="C31" s="592">
        <v>150</v>
      </c>
    </row>
    <row r="32" spans="1:4" x14ac:dyDescent="0.3">
      <c r="A32" s="88">
        <v>7</v>
      </c>
      <c r="B32" s="592" t="s">
        <v>908</v>
      </c>
      <c r="C32" s="592">
        <v>30</v>
      </c>
    </row>
    <row r="33" spans="1:3" x14ac:dyDescent="0.3">
      <c r="A33" s="88">
        <v>8</v>
      </c>
      <c r="B33" s="592" t="s">
        <v>931</v>
      </c>
      <c r="C33" s="592">
        <v>5</v>
      </c>
    </row>
  </sheetData>
  <sheetProtection algorithmName="SHA-512" hashValue="QdGJELB763yB5lGp0DwUUpKYLsiOD7ZlneFy96lQ1ZYfAcJiWqAjo3AI2Cn09v+4PxeN6EPa3T8tPPGbeIjhkg==" saltValue="Icz9+b/uU48NuXxYGg1NzA==" spinCount="100000" sheet="1" objects="1" scenarios="1"/>
  <mergeCells count="2">
    <mergeCell ref="B20:B23"/>
    <mergeCell ref="C20:C23"/>
  </mergeCells>
  <phoneticPr fontId="15" type="noConversion"/>
  <pageMargins left="0.7" right="0.7" top="0.75" bottom="0.75" header="0.3" footer="0.3"/>
  <pageSetup paperSize="9" orientation="portrait" verticalDpi="0" r:id="rId1"/>
  <ignoredErrors>
    <ignoredError sqref="B32:B33"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92611-E169-4567-84FD-CDF3D614D624}">
  <dimension ref="A1:F26"/>
  <sheetViews>
    <sheetView zoomScaleNormal="100" workbookViewId="0">
      <selection activeCell="C24" sqref="C24"/>
    </sheetView>
  </sheetViews>
  <sheetFormatPr baseColWidth="10" defaultRowHeight="14.4" x14ac:dyDescent="0.3"/>
  <cols>
    <col min="2" max="2" width="30.88671875" customWidth="1"/>
    <col min="3" max="3" width="49.44140625" customWidth="1"/>
    <col min="4" max="4" width="69.88671875" customWidth="1"/>
    <col min="5" max="5" width="25" customWidth="1"/>
    <col min="6" max="6" width="84.5546875" customWidth="1"/>
  </cols>
  <sheetData>
    <row r="1" spans="1:6" ht="15" thickBot="1" x14ac:dyDescent="0.35">
      <c r="A1" t="s">
        <v>135</v>
      </c>
      <c r="F1" s="81" t="s">
        <v>466</v>
      </c>
    </row>
    <row r="2" spans="1:6" ht="15" thickTop="1" x14ac:dyDescent="0.3">
      <c r="A2" s="82" t="s">
        <v>467</v>
      </c>
      <c r="B2" s="82" t="s">
        <v>468</v>
      </c>
      <c r="C2" s="82" t="s">
        <v>469</v>
      </c>
      <c r="D2" s="82" t="s">
        <v>470</v>
      </c>
      <c r="E2" s="82" t="s">
        <v>142</v>
      </c>
      <c r="F2" s="83" t="s">
        <v>471</v>
      </c>
    </row>
    <row r="3" spans="1:6" x14ac:dyDescent="0.3">
      <c r="A3" s="3" t="s">
        <v>409</v>
      </c>
      <c r="B3" s="3" t="s">
        <v>530</v>
      </c>
      <c r="C3" s="3" t="s">
        <v>472</v>
      </c>
      <c r="D3" s="3" t="s">
        <v>473</v>
      </c>
      <c r="E3" s="3" t="s">
        <v>474</v>
      </c>
    </row>
    <row r="4" spans="1:6" x14ac:dyDescent="0.3">
      <c r="A4" s="3" t="s">
        <v>410</v>
      </c>
      <c r="B4" s="3" t="s">
        <v>530</v>
      </c>
      <c r="C4" s="3" t="s">
        <v>475</v>
      </c>
      <c r="D4" s="3" t="s">
        <v>476</v>
      </c>
      <c r="E4" s="3" t="s">
        <v>477</v>
      </c>
    </row>
    <row r="5" spans="1:6" x14ac:dyDescent="0.3">
      <c r="A5" s="3" t="s">
        <v>411</v>
      </c>
      <c r="B5" s="3" t="s">
        <v>530</v>
      </c>
      <c r="C5" s="3" t="s">
        <v>478</v>
      </c>
      <c r="D5" s="3" t="s">
        <v>479</v>
      </c>
      <c r="E5" s="3" t="s">
        <v>426</v>
      </c>
    </row>
    <row r="6" spans="1:6" x14ac:dyDescent="0.3">
      <c r="A6" s="3" t="s">
        <v>412</v>
      </c>
      <c r="B6" s="3" t="s">
        <v>530</v>
      </c>
      <c r="C6" s="3" t="s">
        <v>480</v>
      </c>
      <c r="D6" s="3" t="s">
        <v>479</v>
      </c>
      <c r="E6" s="3" t="s">
        <v>426</v>
      </c>
    </row>
    <row r="7" spans="1:6" x14ac:dyDescent="0.3">
      <c r="A7" s="3" t="s">
        <v>413</v>
      </c>
      <c r="B7" s="3" t="s">
        <v>530</v>
      </c>
      <c r="C7" s="3" t="s">
        <v>481</v>
      </c>
      <c r="D7" s="3" t="s">
        <v>482</v>
      </c>
      <c r="E7" s="84" t="s">
        <v>483</v>
      </c>
    </row>
    <row r="8" spans="1:6" x14ac:dyDescent="0.3">
      <c r="A8" s="3" t="s">
        <v>414</v>
      </c>
      <c r="B8" s="3" t="s">
        <v>530</v>
      </c>
      <c r="C8" s="3" t="s">
        <v>484</v>
      </c>
      <c r="D8" s="3" t="s">
        <v>485</v>
      </c>
      <c r="E8" s="3" t="s">
        <v>486</v>
      </c>
    </row>
    <row r="9" spans="1:6" x14ac:dyDescent="0.3">
      <c r="A9" s="3" t="s">
        <v>415</v>
      </c>
      <c r="B9" s="3" t="s">
        <v>530</v>
      </c>
      <c r="C9" s="3" t="s">
        <v>1935</v>
      </c>
      <c r="D9" s="3" t="s">
        <v>487</v>
      </c>
      <c r="E9" s="3" t="s">
        <v>488</v>
      </c>
    </row>
    <row r="10" spans="1:6" x14ac:dyDescent="0.3">
      <c r="A10" s="3" t="s">
        <v>416</v>
      </c>
      <c r="B10" s="3" t="s">
        <v>530</v>
      </c>
      <c r="C10" s="3" t="s">
        <v>489</v>
      </c>
      <c r="D10" s="3" t="s">
        <v>490</v>
      </c>
      <c r="E10" s="3" t="s">
        <v>491</v>
      </c>
    </row>
    <row r="11" spans="1:6" x14ac:dyDescent="0.3">
      <c r="A11" s="3" t="s">
        <v>417</v>
      </c>
      <c r="B11" s="3" t="s">
        <v>530</v>
      </c>
      <c r="C11" s="3" t="s">
        <v>492</v>
      </c>
      <c r="D11" s="3" t="s">
        <v>490</v>
      </c>
      <c r="E11" s="3" t="s">
        <v>493</v>
      </c>
    </row>
    <row r="12" spans="1:6" x14ac:dyDescent="0.3">
      <c r="A12" s="3" t="s">
        <v>418</v>
      </c>
      <c r="B12" s="3" t="s">
        <v>530</v>
      </c>
      <c r="C12" s="3" t="s">
        <v>494</v>
      </c>
      <c r="D12" s="3" t="s">
        <v>495</v>
      </c>
      <c r="E12" s="84" t="s">
        <v>496</v>
      </c>
    </row>
    <row r="13" spans="1:6" x14ac:dyDescent="0.3">
      <c r="A13" s="3" t="s">
        <v>419</v>
      </c>
      <c r="B13" s="3" t="s">
        <v>530</v>
      </c>
      <c r="C13" s="3" t="s">
        <v>497</v>
      </c>
      <c r="D13" s="3" t="s">
        <v>498</v>
      </c>
      <c r="E13" s="3" t="s">
        <v>499</v>
      </c>
    </row>
    <row r="14" spans="1:6" x14ac:dyDescent="0.3">
      <c r="A14" s="3" t="s">
        <v>420</v>
      </c>
      <c r="B14" s="3" t="s">
        <v>530</v>
      </c>
      <c r="C14" s="3" t="s">
        <v>500</v>
      </c>
      <c r="D14" s="3" t="s">
        <v>501</v>
      </c>
      <c r="E14" s="3" t="s">
        <v>427</v>
      </c>
    </row>
    <row r="15" spans="1:6" x14ac:dyDescent="0.3">
      <c r="A15" s="3" t="s">
        <v>421</v>
      </c>
      <c r="B15" s="3" t="s">
        <v>530</v>
      </c>
      <c r="C15" s="3" t="s">
        <v>502</v>
      </c>
      <c r="D15" s="3" t="s">
        <v>503</v>
      </c>
      <c r="E15" s="3" t="s">
        <v>504</v>
      </c>
    </row>
    <row r="16" spans="1:6" x14ac:dyDescent="0.3">
      <c r="A16" s="3" t="s">
        <v>422</v>
      </c>
      <c r="B16" s="3" t="s">
        <v>530</v>
      </c>
      <c r="C16" s="3" t="s">
        <v>505</v>
      </c>
      <c r="D16" s="3" t="s">
        <v>506</v>
      </c>
      <c r="E16" s="3" t="s">
        <v>507</v>
      </c>
    </row>
    <row r="17" spans="1:5" x14ac:dyDescent="0.3">
      <c r="A17" s="3" t="s">
        <v>423</v>
      </c>
      <c r="B17" s="3" t="s">
        <v>530</v>
      </c>
      <c r="C17" s="3" t="s">
        <v>508</v>
      </c>
      <c r="D17" s="3" t="s">
        <v>509</v>
      </c>
      <c r="E17" s="3" t="s">
        <v>152</v>
      </c>
    </row>
    <row r="18" spans="1:5" x14ac:dyDescent="0.3">
      <c r="A18" s="3" t="s">
        <v>424</v>
      </c>
      <c r="B18" s="3" t="s">
        <v>530</v>
      </c>
      <c r="C18" s="3" t="s">
        <v>510</v>
      </c>
      <c r="D18" s="3" t="s">
        <v>511</v>
      </c>
      <c r="E18" s="3" t="s">
        <v>512</v>
      </c>
    </row>
    <row r="20" spans="1:5" x14ac:dyDescent="0.3">
      <c r="A20" s="85" t="s">
        <v>140</v>
      </c>
      <c r="B20" s="86" t="s">
        <v>141</v>
      </c>
      <c r="C20" s="87" t="s">
        <v>325</v>
      </c>
    </row>
    <row r="21" spans="1:5" x14ac:dyDescent="0.3">
      <c r="A21" s="15" t="s">
        <v>143</v>
      </c>
      <c r="B21" s="15" t="s">
        <v>149</v>
      </c>
      <c r="C21" s="38" t="s">
        <v>151</v>
      </c>
    </row>
    <row r="22" spans="1:5" x14ac:dyDescent="0.3">
      <c r="A22" s="15" t="s">
        <v>143</v>
      </c>
      <c r="B22" s="15" t="s">
        <v>149</v>
      </c>
      <c r="C22" s="38" t="s">
        <v>150</v>
      </c>
    </row>
    <row r="23" spans="1:5" x14ac:dyDescent="0.3">
      <c r="A23" s="42" t="s">
        <v>143</v>
      </c>
      <c r="B23" s="42" t="s">
        <v>149</v>
      </c>
      <c r="C23" s="52" t="s">
        <v>228</v>
      </c>
    </row>
    <row r="24" spans="1:5" x14ac:dyDescent="0.3">
      <c r="A24" s="127" t="s">
        <v>145</v>
      </c>
      <c r="B24" s="127" t="s">
        <v>149</v>
      </c>
      <c r="C24" s="521" t="s">
        <v>321</v>
      </c>
    </row>
    <row r="25" spans="1:5" x14ac:dyDescent="0.3">
      <c r="A25" s="43" t="s">
        <v>145</v>
      </c>
      <c r="B25" s="43" t="s">
        <v>323</v>
      </c>
      <c r="C25" s="53" t="s">
        <v>320</v>
      </c>
    </row>
    <row r="26" spans="1:5" x14ac:dyDescent="0.3">
      <c r="A26" s="40" t="s">
        <v>145</v>
      </c>
      <c r="B26" s="40" t="s">
        <v>230</v>
      </c>
      <c r="C26" s="50" t="s">
        <v>144</v>
      </c>
    </row>
  </sheetData>
  <sheetProtection algorithmName="SHA-512" hashValue="VRju2L9fQbHnm4UuakgKqpnxQA5qgO13mc5v0o8D/pZ/QT47nF0tWoFT6HRrxKgfHrwl8P79xX9lruxYMGL58Q==" saltValue="LQHhu4D19P8E4n0GciKyhw==" spinCount="100000" sheet="1" objects="1" scenarios="1"/>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AA7B3-F984-4362-AA7E-E6C2FDDA90A8}">
  <dimension ref="A1:F20"/>
  <sheetViews>
    <sheetView zoomScale="85" zoomScaleNormal="85" workbookViewId="0"/>
  </sheetViews>
  <sheetFormatPr baseColWidth="10" defaultRowHeight="14.4" x14ac:dyDescent="0.3"/>
  <cols>
    <col min="1" max="1" width="43.77734375" customWidth="1"/>
    <col min="2" max="2" width="32.33203125" bestFit="1" customWidth="1"/>
    <col min="3" max="3" width="34.109375" bestFit="1" customWidth="1"/>
    <col min="4" max="4" width="37.33203125" bestFit="1" customWidth="1"/>
    <col min="5" max="5" width="39.33203125" bestFit="1" customWidth="1"/>
    <col min="6" max="6" width="28.109375" bestFit="1" customWidth="1"/>
  </cols>
  <sheetData>
    <row r="1" spans="1:6" x14ac:dyDescent="0.3">
      <c r="A1" t="s">
        <v>135</v>
      </c>
    </row>
    <row r="2" spans="1:6" x14ac:dyDescent="0.3">
      <c r="A2" s="584" t="s">
        <v>579</v>
      </c>
      <c r="B2" s="584">
        <v>1</v>
      </c>
      <c r="C2" s="584">
        <v>2</v>
      </c>
      <c r="D2" s="584">
        <v>3</v>
      </c>
      <c r="E2" s="584">
        <v>4</v>
      </c>
      <c r="F2" s="584">
        <v>5</v>
      </c>
    </row>
    <row r="3" spans="1:6" ht="28.8" x14ac:dyDescent="0.3">
      <c r="A3" s="585" t="s">
        <v>596</v>
      </c>
      <c r="B3" s="586" t="s">
        <v>554</v>
      </c>
      <c r="C3" s="586" t="s">
        <v>555</v>
      </c>
      <c r="D3" s="586" t="s">
        <v>556</v>
      </c>
      <c r="E3" s="586" t="s">
        <v>557</v>
      </c>
      <c r="F3" s="586" t="s">
        <v>558</v>
      </c>
    </row>
    <row r="4" spans="1:6" x14ac:dyDescent="0.3">
      <c r="A4" s="587" t="s">
        <v>670</v>
      </c>
      <c r="B4" s="878">
        <v>1</v>
      </c>
      <c r="C4" s="878">
        <v>1.0247973619913604</v>
      </c>
      <c r="D4" s="878">
        <v>1.0457364348384068</v>
      </c>
      <c r="E4" s="878">
        <v>1.0935646911485417</v>
      </c>
      <c r="F4" s="878">
        <v>1.2214027581601699</v>
      </c>
    </row>
    <row r="5" spans="1:6" ht="37.35" customHeight="1" x14ac:dyDescent="0.3">
      <c r="A5" s="588" t="s">
        <v>597</v>
      </c>
      <c r="B5" s="589" t="s">
        <v>559</v>
      </c>
      <c r="C5" s="589" t="s">
        <v>560</v>
      </c>
      <c r="D5" s="589" t="s">
        <v>561</v>
      </c>
      <c r="E5" s="589" t="s">
        <v>562</v>
      </c>
      <c r="F5" s="589" t="s">
        <v>563</v>
      </c>
    </row>
    <row r="6" spans="1:6" x14ac:dyDescent="0.3">
      <c r="A6" s="587" t="s">
        <v>670</v>
      </c>
      <c r="B6" s="878">
        <v>1</v>
      </c>
      <c r="C6" s="878">
        <v>1.0100501670841679</v>
      </c>
      <c r="D6" s="878">
        <v>1.0247973619913604</v>
      </c>
      <c r="E6" s="878">
        <v>1.0457364348384068</v>
      </c>
      <c r="F6" s="878">
        <v>1.0935646911485417</v>
      </c>
    </row>
    <row r="7" spans="1:6" ht="28.65" customHeight="1" x14ac:dyDescent="0.3">
      <c r="A7" s="585" t="s">
        <v>598</v>
      </c>
      <c r="B7" s="586" t="s">
        <v>564</v>
      </c>
      <c r="C7" s="586" t="s">
        <v>565</v>
      </c>
      <c r="D7" s="586" t="s">
        <v>566</v>
      </c>
      <c r="E7" s="586" t="s">
        <v>567</v>
      </c>
      <c r="F7" s="586" t="s">
        <v>568</v>
      </c>
    </row>
    <row r="8" spans="1:6" x14ac:dyDescent="0.3">
      <c r="A8" s="587" t="s">
        <v>670</v>
      </c>
      <c r="B8" s="878">
        <v>1</v>
      </c>
      <c r="C8" s="878">
        <v>1.0142426086996437</v>
      </c>
      <c r="D8" s="878">
        <v>1.0457364348384068</v>
      </c>
      <c r="E8" s="878">
        <v>1.0935646911485417</v>
      </c>
      <c r="F8" s="878">
        <v>1.2214027581601699</v>
      </c>
    </row>
    <row r="9" spans="1:6" ht="28.8" x14ac:dyDescent="0.3">
      <c r="A9" s="588" t="s">
        <v>599</v>
      </c>
      <c r="B9" s="589" t="s">
        <v>569</v>
      </c>
      <c r="C9" s="589" t="s">
        <v>570</v>
      </c>
      <c r="D9" s="589" t="s">
        <v>571</v>
      </c>
      <c r="E9" s="589" t="s">
        <v>572</v>
      </c>
      <c r="F9" s="589" t="s">
        <v>573</v>
      </c>
    </row>
    <row r="10" spans="1:6" x14ac:dyDescent="0.3">
      <c r="A10" s="587" t="s">
        <v>670</v>
      </c>
      <c r="B10" s="878">
        <v>1</v>
      </c>
      <c r="C10" s="878">
        <v>1.005012520859401</v>
      </c>
      <c r="D10" s="878">
        <v>1.0100501670841679</v>
      </c>
      <c r="E10" s="878">
        <v>1.0247973619913604</v>
      </c>
      <c r="F10" s="878">
        <v>1.0457364348384068</v>
      </c>
    </row>
    <row r="11" spans="1:6" ht="43.2" x14ac:dyDescent="0.3">
      <c r="A11" s="585" t="s">
        <v>600</v>
      </c>
      <c r="B11" s="586" t="s">
        <v>574</v>
      </c>
      <c r="C11" s="586" t="s">
        <v>575</v>
      </c>
      <c r="D11" s="586" t="s">
        <v>576</v>
      </c>
      <c r="E11" s="586" t="s">
        <v>577</v>
      </c>
      <c r="F11" s="586" t="s">
        <v>578</v>
      </c>
    </row>
    <row r="12" spans="1:6" x14ac:dyDescent="0.3">
      <c r="A12" s="587" t="s">
        <v>670</v>
      </c>
      <c r="B12" s="879">
        <v>1</v>
      </c>
      <c r="C12" s="879">
        <v>1.0247973619913604</v>
      </c>
      <c r="D12" s="879">
        <v>1.0935646911485417</v>
      </c>
      <c r="E12" s="879">
        <v>1.2214027581601699</v>
      </c>
      <c r="F12" s="879">
        <v>1.4139824580805163</v>
      </c>
    </row>
    <row r="14" spans="1:6" x14ac:dyDescent="0.3">
      <c r="A14" s="590"/>
      <c r="B14" s="591" t="s">
        <v>673</v>
      </c>
      <c r="C14" s="591" t="s">
        <v>597</v>
      </c>
      <c r="D14" s="591" t="s">
        <v>671</v>
      </c>
      <c r="E14" s="591" t="s">
        <v>599</v>
      </c>
      <c r="F14" s="591" t="s">
        <v>672</v>
      </c>
    </row>
    <row r="15" spans="1:6" x14ac:dyDescent="0.3">
      <c r="A15" s="400" t="s">
        <v>580</v>
      </c>
      <c r="B15" s="592">
        <v>4</v>
      </c>
      <c r="C15" s="592">
        <v>4</v>
      </c>
      <c r="D15" s="592">
        <v>1</v>
      </c>
      <c r="E15" s="592">
        <v>3</v>
      </c>
      <c r="F15" s="592">
        <v>2</v>
      </c>
    </row>
    <row r="16" spans="1:6" x14ac:dyDescent="0.3">
      <c r="A16" s="400" t="s">
        <v>581</v>
      </c>
      <c r="B16" s="593">
        <f>IF(B15=1, $B$4, IF(B15=2, $C$4, IF(B15=3, $D$4, IF(B15=4, $E$4, IF(B15=5, $F$4)))))</f>
        <v>1.0935646911485417</v>
      </c>
      <c r="C16" s="593">
        <f>IF(C15=1, $B$6, IF(C15=2, $C$6, IF(C15=3, $D$6, IF(C15=4, $E$6, IF(C15=5, $F$6)))))</f>
        <v>1.0457364348384068</v>
      </c>
      <c r="D16" s="593">
        <f>IF(D15=1, $B$8, IF(D15=2, $C$8, IF(D15=3, $D$8, IF(D15=4, $E$8, IF(D15=5, $F$8)))))</f>
        <v>1</v>
      </c>
      <c r="E16" s="593">
        <f>IF(E15=1, $B$10, IF(E15=2, $C$10, IF(E15=3, $D$10, IF(E15=4, $E$10, IF(E15=5, $F$10)))))</f>
        <v>1.0100501670841679</v>
      </c>
      <c r="F16" s="593">
        <f>IF(F15=1, $B$12, IF(F15=2, $C$12, IF(F15=3, $D$12, IF(F15=4, $E$12, IF(F15=5, $F$12)))))</f>
        <v>1.0247973619913604</v>
      </c>
    </row>
    <row r="17" spans="1:6" x14ac:dyDescent="0.3">
      <c r="A17" s="400" t="s">
        <v>595</v>
      </c>
      <c r="B17" s="1017">
        <v>5.9999999999999995E-4</v>
      </c>
      <c r="C17" s="1017"/>
      <c r="D17" s="1017"/>
      <c r="E17" s="1017"/>
      <c r="F17" s="1017"/>
    </row>
    <row r="18" spans="1:6" x14ac:dyDescent="0.3">
      <c r="A18" s="400" t="s">
        <v>582</v>
      </c>
      <c r="B18" s="1016">
        <f>EXP(SQRT(B17))</f>
        <v>1.0247973619913604</v>
      </c>
      <c r="C18" s="1016"/>
      <c r="D18" s="1016"/>
      <c r="E18" s="1016"/>
      <c r="F18" s="1016"/>
    </row>
    <row r="19" spans="1:6" x14ac:dyDescent="0.3">
      <c r="A19" s="400" t="s">
        <v>674</v>
      </c>
      <c r="B19" s="1016">
        <f>EXP(SQRT((LN(B16))^2+(LN(C16))^2+(LN(D16))^2+(LN(E16))^2+(LN(F16))^2+(LN(B18))^2))</f>
        <v>1.1121570947719619</v>
      </c>
      <c r="C19" s="1016"/>
      <c r="D19" s="1016"/>
      <c r="E19" s="1016"/>
      <c r="F19" s="1016"/>
    </row>
    <row r="20" spans="1:6" x14ac:dyDescent="0.3">
      <c r="A20" s="400" t="s">
        <v>583</v>
      </c>
      <c r="B20" s="1016">
        <f>SQRT(LN(B19))</f>
        <v>0.32603904386951327</v>
      </c>
      <c r="C20" s="1016"/>
      <c r="D20" s="1016"/>
      <c r="E20" s="1016"/>
      <c r="F20" s="1016"/>
    </row>
  </sheetData>
  <sheetProtection algorithmName="SHA-512" hashValue="WtHFkUoJDDYcPnbXXvgqXELPIoLNR1A6n9CMPTAuHkBUrv3x9BvhDbiaJb8xsyj8NXbBPe1vhZwArT92X1qrxQ==" saltValue="F0uW41mzrrTfOKpkNFmWqw==" spinCount="100000" sheet="1" objects="1" scenarios="1"/>
  <mergeCells count="4">
    <mergeCell ref="B20:F20"/>
    <mergeCell ref="B18:F18"/>
    <mergeCell ref="B19:F19"/>
    <mergeCell ref="B17:F17"/>
  </mergeCells>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77C99-C371-4B70-8B09-514E2604062A}">
  <dimension ref="A1:D79"/>
  <sheetViews>
    <sheetView zoomScale="85" zoomScaleNormal="85" workbookViewId="0">
      <selection activeCell="D16" sqref="D16"/>
    </sheetView>
  </sheetViews>
  <sheetFormatPr baseColWidth="10" defaultRowHeight="14.4" x14ac:dyDescent="0.3"/>
  <cols>
    <col min="1" max="1" width="28" bestFit="1" customWidth="1"/>
    <col min="2" max="2" width="26.109375" bestFit="1" customWidth="1"/>
    <col min="3" max="3" width="75.44140625" customWidth="1"/>
    <col min="4" max="4" width="8.44140625" bestFit="1" customWidth="1"/>
  </cols>
  <sheetData>
    <row r="1" spans="1:4" ht="15" thickBot="1" x14ac:dyDescent="0.35">
      <c r="A1" t="s">
        <v>135</v>
      </c>
    </row>
    <row r="2" spans="1:4" ht="30" customHeight="1" thickBot="1" x14ac:dyDescent="0.35">
      <c r="A2" s="1023" t="s">
        <v>2627</v>
      </c>
      <c r="B2" s="1024"/>
      <c r="C2" s="1024"/>
      <c r="D2" s="1025"/>
    </row>
    <row r="3" spans="1:4" ht="15" thickBot="1" x14ac:dyDescent="0.35"/>
    <row r="4" spans="1:4" ht="30" customHeight="1" thickBot="1" x14ac:dyDescent="0.35">
      <c r="A4" s="1018" t="s">
        <v>2630</v>
      </c>
      <c r="B4" s="1019"/>
      <c r="C4" s="1019"/>
      <c r="D4" s="1020"/>
    </row>
    <row r="5" spans="1:4" x14ac:dyDescent="0.3">
      <c r="A5" s="1026" t="s">
        <v>995</v>
      </c>
      <c r="B5" s="226" t="s">
        <v>993</v>
      </c>
      <c r="C5" s="602" t="s">
        <v>158</v>
      </c>
      <c r="D5" s="936">
        <f>SUM('3. SUMMARY LCI'!$B$46,'3. SUMMARY LCI'!$B$70,'3. SUMMARY LCI'!$B$91,'3. SUMMARY LCI'!$B$243,'3. SUMMARY LCI'!$B$267,'3. SUMMARY LCI'!$B$286)</f>
        <v>5.829689300978834</v>
      </c>
    </row>
    <row r="6" spans="1:4" x14ac:dyDescent="0.3">
      <c r="A6" s="1021"/>
      <c r="B6" s="4" t="s">
        <v>994</v>
      </c>
      <c r="C6" s="88" t="s">
        <v>158</v>
      </c>
      <c r="D6" s="937">
        <f>$D$5/'1. USER INPUTS'!$E$23</f>
        <v>1356.8989516878087</v>
      </c>
    </row>
    <row r="7" spans="1:4" x14ac:dyDescent="0.3">
      <c r="A7" s="1021" t="s">
        <v>996</v>
      </c>
      <c r="B7" s="4" t="s">
        <v>993</v>
      </c>
      <c r="C7" s="4" t="s">
        <v>210</v>
      </c>
      <c r="D7" s="553">
        <f>SUM('3. SUMMARY LCI'!$B$41:$B$45,'3. SUMMARY LCI'!$B$47,'3. SUMMARY LCI'!$B$66:$B$69,'3. SUMMARY LCI'!$B$71,'3. SUMMARY LCI'!$B$92:$B$99,'3. SUMMARY LCI'!$B$118:$B$122,'3. SUMMARY LCI'!$B$143:$B$145,'3. SUMMARY LCI'!$B$163:$B$165,'3. SUMMARY LCI'!$B$185:$B$192,'3. SUMMARY LCI'!$B$219:$B$223,'3. SUMMARY LCI'!$B$241:$B$242,'3. SUMMARY LCI'!$B$244:$B$245,'3. SUMMARY LCI'!$B$268:$B$269,'3. SUMMARY LCI'!$B$287)</f>
        <v>0.18508120194255778</v>
      </c>
    </row>
    <row r="8" spans="1:4" x14ac:dyDescent="0.3">
      <c r="A8" s="1021"/>
      <c r="B8" s="4" t="s">
        <v>994</v>
      </c>
      <c r="C8" s="4" t="s">
        <v>210</v>
      </c>
      <c r="D8" s="937">
        <f>$D$7/'1. USER INPUTS'!$E$23</f>
        <v>43.078880524697809</v>
      </c>
    </row>
    <row r="9" spans="1:4" x14ac:dyDescent="0.3">
      <c r="A9" s="1021" t="s">
        <v>997</v>
      </c>
      <c r="B9" s="4" t="s">
        <v>993</v>
      </c>
      <c r="C9" s="4" t="s">
        <v>210</v>
      </c>
      <c r="D9" s="553">
        <f>SUM(D5,D7)</f>
        <v>6.014770502921392</v>
      </c>
    </row>
    <row r="10" spans="1:4" ht="15" thickBot="1" x14ac:dyDescent="0.35">
      <c r="A10" s="1022"/>
      <c r="B10" s="12" t="s">
        <v>994</v>
      </c>
      <c r="C10" s="12" t="s">
        <v>210</v>
      </c>
      <c r="D10" s="938">
        <f>SUM(D6,D8)</f>
        <v>1399.9778322125064</v>
      </c>
    </row>
    <row r="11" spans="1:4" ht="15" thickBot="1" x14ac:dyDescent="0.35"/>
    <row r="12" spans="1:4" ht="30" customHeight="1" thickBot="1" x14ac:dyDescent="0.35">
      <c r="A12" s="1018" t="s">
        <v>2629</v>
      </c>
      <c r="B12" s="1019"/>
      <c r="C12" s="1019"/>
      <c r="D12" s="1020"/>
    </row>
    <row r="13" spans="1:4" x14ac:dyDescent="0.3">
      <c r="A13" s="554" t="s">
        <v>10</v>
      </c>
      <c r="B13" s="226" t="s">
        <v>993</v>
      </c>
      <c r="C13" s="555" t="s">
        <v>380</v>
      </c>
      <c r="D13" s="556">
        <f>SUM('3. SUMMARY LCI'!$B$42,'3. SUMMARY LCI'!$B$92,'3. SUMMARY LCI'!$B$186,'3. SUMMARY LCI'!$B$244)</f>
        <v>2.1434507726237986E-3</v>
      </c>
    </row>
    <row r="14" spans="1:4" x14ac:dyDescent="0.3">
      <c r="A14" s="557" t="s">
        <v>21</v>
      </c>
      <c r="B14" s="4" t="s">
        <v>993</v>
      </c>
      <c r="C14" s="262" t="s">
        <v>430</v>
      </c>
      <c r="D14" s="558">
        <f>SUM('3. SUMMARY LCI'!$B$43,'3. SUMMARY LCI'!$B$97,'3. SUMMARY LCI'!$B$242)</f>
        <v>8.1173513137440013E-3</v>
      </c>
    </row>
    <row r="15" spans="1:4" x14ac:dyDescent="0.3">
      <c r="A15" s="557" t="s">
        <v>12</v>
      </c>
      <c r="B15" s="4" t="s">
        <v>993</v>
      </c>
      <c r="C15" s="262" t="s">
        <v>431</v>
      </c>
      <c r="D15" s="558">
        <f>SUM('3. SUMMARY LCI'!$B$44)</f>
        <v>4.8691770301375606E-4</v>
      </c>
    </row>
    <row r="16" spans="1:4" x14ac:dyDescent="0.3">
      <c r="A16" s="557" t="s">
        <v>1</v>
      </c>
      <c r="B16" s="4" t="s">
        <v>993</v>
      </c>
      <c r="C16" s="262" t="s">
        <v>962</v>
      </c>
      <c r="D16" s="558">
        <f>SUM('3. SUMMARY LCI'!$B$45,'3. SUMMARY LCI'!$B$71,'3. SUMMARY LCI'!$B$99,'3. SUMMARY LCI'!$B$121,'3. SUMMARY LCI'!$B$144,'3. SUMMARY LCI'!$B$165,'3. SUMMARY LCI'!$B$189,'3. SUMMARY LCI'!$B$245)</f>
        <v>7.5060671050216229E-2</v>
      </c>
    </row>
    <row r="17" spans="1:4" x14ac:dyDescent="0.3">
      <c r="A17" s="557" t="s">
        <v>106</v>
      </c>
      <c r="B17" s="4" t="s">
        <v>993</v>
      </c>
      <c r="C17" s="262" t="s">
        <v>1494</v>
      </c>
      <c r="D17" s="558">
        <f>'3. SUMMARY LCI'!B47</f>
        <v>4.4971146205994008E-3</v>
      </c>
    </row>
    <row r="18" spans="1:4" x14ac:dyDescent="0.3">
      <c r="A18" s="557" t="s">
        <v>11</v>
      </c>
      <c r="B18" s="4" t="s">
        <v>993</v>
      </c>
      <c r="C18" s="262" t="s">
        <v>692</v>
      </c>
      <c r="D18" s="558">
        <f>SUM('3. SUMMARY LCI'!$B$66)</f>
        <v>2.4863696317040796E-5</v>
      </c>
    </row>
    <row r="19" spans="1:4" x14ac:dyDescent="0.3">
      <c r="A19" s="557" t="s">
        <v>15</v>
      </c>
      <c r="B19" s="4" t="s">
        <v>993</v>
      </c>
      <c r="C19" s="262" t="s">
        <v>693</v>
      </c>
      <c r="D19" s="558">
        <f>SUM('3. SUMMARY LCI'!$B$67)</f>
        <v>1.9305861677626377E-3</v>
      </c>
    </row>
    <row r="20" spans="1:4" x14ac:dyDescent="0.3">
      <c r="A20" s="557" t="s">
        <v>1828</v>
      </c>
      <c r="B20" s="4" t="s">
        <v>993</v>
      </c>
      <c r="C20" s="262" t="s">
        <v>694</v>
      </c>
      <c r="D20" s="558">
        <f>SUM('3. SUMMARY LCI'!$B$68)</f>
        <v>5.2234656128236969E-5</v>
      </c>
    </row>
    <row r="21" spans="1:4" x14ac:dyDescent="0.3">
      <c r="A21" s="557" t="s">
        <v>827</v>
      </c>
      <c r="B21" s="4" t="s">
        <v>993</v>
      </c>
      <c r="C21" s="262" t="s">
        <v>447</v>
      </c>
      <c r="D21" s="558">
        <f>SUM('3. SUMMARY LCI'!$B$69)</f>
        <v>1.1412441682031545E-4</v>
      </c>
    </row>
    <row r="22" spans="1:4" x14ac:dyDescent="0.3">
      <c r="A22" s="557" t="s">
        <v>3</v>
      </c>
      <c r="B22" s="4" t="s">
        <v>993</v>
      </c>
      <c r="C22" s="262" t="s">
        <v>375</v>
      </c>
      <c r="D22" s="558">
        <f>SUM('3. SUMMARY LCI'!$B$120,'3. SUMMARY LCI'!$B$143,'3. SUMMARY LCI'!$B$188)</f>
        <v>3.5158214195284046E-2</v>
      </c>
    </row>
    <row r="23" spans="1:4" x14ac:dyDescent="0.3">
      <c r="A23" s="557" t="s">
        <v>0</v>
      </c>
      <c r="B23" s="4" t="s">
        <v>993</v>
      </c>
      <c r="C23" s="262" t="s">
        <v>695</v>
      </c>
      <c r="D23" s="558">
        <f>SUM('3. SUMMARY LCI'!$B$41,'3. SUMMARY LCI'!$B$93)</f>
        <v>1.8477159814430421E-3</v>
      </c>
    </row>
    <row r="24" spans="1:4" x14ac:dyDescent="0.3">
      <c r="A24" s="557" t="s">
        <v>9</v>
      </c>
      <c r="B24" s="4" t="s">
        <v>993</v>
      </c>
      <c r="C24" s="262" t="s">
        <v>696</v>
      </c>
      <c r="D24" s="558">
        <f>'3. SUMMARY LCI'!$B$94</f>
        <v>1.0248966688943553E-2</v>
      </c>
    </row>
    <row r="25" spans="1:4" x14ac:dyDescent="0.3">
      <c r="A25" s="557" t="s">
        <v>1803</v>
      </c>
      <c r="B25" s="4" t="s">
        <v>993</v>
      </c>
      <c r="C25" s="262" t="s">
        <v>1812</v>
      </c>
      <c r="D25" s="558">
        <f>'3. SUMMARY LCI'!$B$98</f>
        <v>3.1792861785015828E-3</v>
      </c>
    </row>
    <row r="26" spans="1:4" x14ac:dyDescent="0.3">
      <c r="A26" s="557" t="s">
        <v>749</v>
      </c>
      <c r="B26" s="4" t="s">
        <v>993</v>
      </c>
      <c r="C26" s="262" t="s">
        <v>698</v>
      </c>
      <c r="D26" s="558">
        <f>'3. SUMMARY LCI'!$B$95</f>
        <v>3.0429752600375721E-3</v>
      </c>
    </row>
    <row r="27" spans="1:4" x14ac:dyDescent="0.3">
      <c r="A27" s="557" t="s">
        <v>20</v>
      </c>
      <c r="B27" s="4" t="s">
        <v>993</v>
      </c>
      <c r="C27" s="262" t="s">
        <v>798</v>
      </c>
      <c r="D27" s="558">
        <f>'3. SUMMARY LCI'!$B$96</f>
        <v>1.3759005387366649E-2</v>
      </c>
    </row>
    <row r="28" spans="1:4" x14ac:dyDescent="0.3">
      <c r="A28" s="557" t="s">
        <v>5</v>
      </c>
      <c r="B28" s="4" t="s">
        <v>993</v>
      </c>
      <c r="C28" s="262" t="s">
        <v>902</v>
      </c>
      <c r="D28" s="558">
        <f>SUM('3. SUMMARY LCI'!B118,'3. SUMMARY LCI'!B191)</f>
        <v>4.1896205173706262E-3</v>
      </c>
    </row>
    <row r="29" spans="1:4" x14ac:dyDescent="0.3">
      <c r="A29" s="557" t="s">
        <v>6</v>
      </c>
      <c r="B29" s="4" t="s">
        <v>993</v>
      </c>
      <c r="C29" s="262" t="s">
        <v>378</v>
      </c>
      <c r="D29" s="558">
        <f>SUM('3. SUMMARY LCI'!$B$119)</f>
        <v>4.8377779988476293E-3</v>
      </c>
    </row>
    <row r="30" spans="1:4" x14ac:dyDescent="0.3">
      <c r="A30" s="557" t="s">
        <v>78</v>
      </c>
      <c r="B30" s="4" t="s">
        <v>993</v>
      </c>
      <c r="C30" s="262" t="s">
        <v>699</v>
      </c>
      <c r="D30" s="558">
        <f>SUM('3. SUMMARY LCI'!$B$145)</f>
        <v>1.3576610819625769E-2</v>
      </c>
    </row>
    <row r="31" spans="1:4" x14ac:dyDescent="0.3">
      <c r="A31" s="557" t="s">
        <v>2</v>
      </c>
      <c r="B31" s="4" t="s">
        <v>993</v>
      </c>
      <c r="C31" s="262" t="s">
        <v>381</v>
      </c>
      <c r="D31" s="558">
        <f>SUM('3. SUMMARY LCI'!B190,'3. SUMMARY LCI'!B223)</f>
        <v>6.5091147790049571E-5</v>
      </c>
    </row>
    <row r="32" spans="1:4" x14ac:dyDescent="0.3">
      <c r="A32" s="557" t="s">
        <v>8</v>
      </c>
      <c r="B32" s="4" t="s">
        <v>993</v>
      </c>
      <c r="C32" s="262" t="s">
        <v>379</v>
      </c>
      <c r="D32" s="558">
        <f>SUM('3. SUMMARY LCI'!$B$187,'3. SUMMARY LCI'!$B$163)</f>
        <v>3.6166528446792328E-4</v>
      </c>
    </row>
    <row r="33" spans="1:4" x14ac:dyDescent="0.3">
      <c r="A33" s="557" t="s">
        <v>112</v>
      </c>
      <c r="B33" s="4" t="s">
        <v>993</v>
      </c>
      <c r="C33" s="262" t="s">
        <v>865</v>
      </c>
      <c r="D33" s="558">
        <f>SUM('3. SUMMARY LCI'!$B$164)</f>
        <v>1.2450772088239983E-3</v>
      </c>
    </row>
    <row r="34" spans="1:4" x14ac:dyDescent="0.3">
      <c r="A34" s="557" t="s">
        <v>7</v>
      </c>
      <c r="B34" s="4" t="s">
        <v>993</v>
      </c>
      <c r="C34" s="262" t="s">
        <v>700</v>
      </c>
      <c r="D34" s="558">
        <f>SUM('3. SUMMARY LCI'!$B$185)</f>
        <v>8.0217113308517331E-6</v>
      </c>
    </row>
    <row r="35" spans="1:4" x14ac:dyDescent="0.3">
      <c r="A35" s="557" t="s">
        <v>179</v>
      </c>
      <c r="B35" s="4" t="s">
        <v>993</v>
      </c>
      <c r="C35" s="262" t="s">
        <v>701</v>
      </c>
      <c r="D35" s="558">
        <f>SUM('3. SUMMARY LCI'!$B$219)</f>
        <v>2.5509948341697122E-5</v>
      </c>
    </row>
    <row r="36" spans="1:4" x14ac:dyDescent="0.3">
      <c r="A36" s="557" t="s">
        <v>186</v>
      </c>
      <c r="B36" s="4" t="s">
        <v>993</v>
      </c>
      <c r="C36" s="262" t="s">
        <v>702</v>
      </c>
      <c r="D36" s="558">
        <f>'3. SUMMARY LCI'!$B$192</f>
        <v>3.0148201347907945E-8</v>
      </c>
    </row>
    <row r="37" spans="1:4" x14ac:dyDescent="0.3">
      <c r="A37" s="557" t="s">
        <v>180</v>
      </c>
      <c r="B37" s="4" t="s">
        <v>993</v>
      </c>
      <c r="C37" s="262" t="s">
        <v>703</v>
      </c>
      <c r="D37" s="558">
        <f>'3. SUMMARY LCI'!$B$220</f>
        <v>3.6442783345281597E-6</v>
      </c>
    </row>
    <row r="38" spans="1:4" x14ac:dyDescent="0.3">
      <c r="A38" s="557" t="s">
        <v>187</v>
      </c>
      <c r="B38" s="4" t="s">
        <v>993</v>
      </c>
      <c r="C38" s="262" t="s">
        <v>705</v>
      </c>
      <c r="D38" s="558">
        <f>'3. SUMMARY LCI'!$B$221</f>
        <v>1.2012621176778007E-5</v>
      </c>
    </row>
    <row r="39" spans="1:4" x14ac:dyDescent="0.3">
      <c r="A39" s="557" t="s">
        <v>1039</v>
      </c>
      <c r="B39" s="4" t="s">
        <v>993</v>
      </c>
      <c r="C39" s="262" t="s">
        <v>1036</v>
      </c>
      <c r="D39" s="558">
        <f>'3. SUMMARY LCI'!B222</f>
        <v>5.6704970885258167E-6</v>
      </c>
    </row>
    <row r="40" spans="1:4" x14ac:dyDescent="0.3">
      <c r="A40" s="557" t="s">
        <v>19</v>
      </c>
      <c r="B40" s="4" t="s">
        <v>993</v>
      </c>
      <c r="C40" s="262" t="s">
        <v>704</v>
      </c>
      <c r="D40" s="558">
        <f>'3. SUMMARY LCI'!$B$241</f>
        <v>4.3129165177710797E-4</v>
      </c>
    </row>
    <row r="41" spans="1:4" x14ac:dyDescent="0.3">
      <c r="A41" s="557" t="s">
        <v>752</v>
      </c>
      <c r="B41" s="4" t="s">
        <v>993</v>
      </c>
      <c r="C41" s="262" t="s">
        <v>400</v>
      </c>
      <c r="D41" s="558">
        <f>'3. SUMMARY LCI'!$B$268</f>
        <v>3.7522569518475129E-5</v>
      </c>
    </row>
    <row r="42" spans="1:4" x14ac:dyDescent="0.3">
      <c r="A42" s="557" t="s">
        <v>750</v>
      </c>
      <c r="B42" s="4" t="s">
        <v>993</v>
      </c>
      <c r="C42" s="262" t="s">
        <v>718</v>
      </c>
      <c r="D42" s="558">
        <f>'3. SUMMARY LCI'!$B$269</f>
        <v>2.9964066306120425E-4</v>
      </c>
    </row>
    <row r="43" spans="1:4" x14ac:dyDescent="0.3">
      <c r="A43" s="557" t="s">
        <v>751</v>
      </c>
      <c r="B43" s="4" t="s">
        <v>993</v>
      </c>
      <c r="C43" s="262" t="s">
        <v>404</v>
      </c>
      <c r="D43" s="558">
        <f>'3. SUMMARY LCI'!$B$287</f>
        <v>5.0123404213100309E-5</v>
      </c>
    </row>
    <row r="44" spans="1:4" x14ac:dyDescent="0.3">
      <c r="A44" s="557" t="s">
        <v>125</v>
      </c>
      <c r="B44" s="4" t="s">
        <v>993</v>
      </c>
      <c r="C44" s="262" t="s">
        <v>158</v>
      </c>
      <c r="D44" s="553">
        <f>$D$5</f>
        <v>5.829689300978834</v>
      </c>
    </row>
    <row r="45" spans="1:4" x14ac:dyDescent="0.3">
      <c r="A45" s="559" t="s">
        <v>782</v>
      </c>
      <c r="B45" s="4" t="s">
        <v>993</v>
      </c>
      <c r="C45" s="44" t="s">
        <v>225</v>
      </c>
      <c r="D45" s="553">
        <f>SUM(D13:D44)</f>
        <v>6.0145020895376051</v>
      </c>
    </row>
    <row r="46" spans="1:4" ht="15" thickBot="1" x14ac:dyDescent="0.35">
      <c r="A46" s="102" t="s">
        <v>781</v>
      </c>
      <c r="B46" s="12" t="s">
        <v>993</v>
      </c>
      <c r="C46" s="365" t="s">
        <v>225</v>
      </c>
      <c r="D46" s="603">
        <f>SUM(D13:D43)</f>
        <v>0.18481278855877151</v>
      </c>
    </row>
    <row r="47" spans="1:4" ht="15" thickBot="1" x14ac:dyDescent="0.35"/>
    <row r="48" spans="1:4" ht="30" customHeight="1" thickBot="1" x14ac:dyDescent="0.35">
      <c r="A48" s="1018" t="s">
        <v>2628</v>
      </c>
      <c r="B48" s="1019"/>
      <c r="C48" s="1019"/>
      <c r="D48" s="1020"/>
    </row>
    <row r="49" spans="1:4" x14ac:dyDescent="0.3">
      <c r="A49" s="554" t="s">
        <v>10</v>
      </c>
      <c r="B49" s="226" t="s">
        <v>994</v>
      </c>
      <c r="C49" s="555" t="s">
        <v>380</v>
      </c>
      <c r="D49" s="556">
        <f>D13/'1. USER INPUTS'!$E$23</f>
        <v>0.49890242107402072</v>
      </c>
    </row>
    <row r="50" spans="1:4" x14ac:dyDescent="0.3">
      <c r="A50" s="557" t="s">
        <v>21</v>
      </c>
      <c r="B50" s="4" t="s">
        <v>994</v>
      </c>
      <c r="C50" s="262" t="s">
        <v>430</v>
      </c>
      <c r="D50" s="558">
        <f>D14/'1. USER INPUTS'!$E$23</f>
        <v>1.8893674978959023</v>
      </c>
    </row>
    <row r="51" spans="1:4" x14ac:dyDescent="0.3">
      <c r="A51" s="557" t="s">
        <v>12</v>
      </c>
      <c r="B51" s="4" t="s">
        <v>994</v>
      </c>
      <c r="C51" s="262" t="s">
        <v>431</v>
      </c>
      <c r="D51" s="558">
        <f>D15/'1. USER INPUTS'!$E$23</f>
        <v>0.11333333333333336</v>
      </c>
    </row>
    <row r="52" spans="1:4" x14ac:dyDescent="0.3">
      <c r="A52" s="557" t="s">
        <v>1</v>
      </c>
      <c r="B52" s="4" t="s">
        <v>994</v>
      </c>
      <c r="C52" s="262" t="s">
        <v>962</v>
      </c>
      <c r="D52" s="558">
        <f>D16/'1. USER INPUTS'!$E$23</f>
        <v>17.470870333333334</v>
      </c>
    </row>
    <row r="53" spans="1:4" x14ac:dyDescent="0.3">
      <c r="A53" s="557" t="s">
        <v>11</v>
      </c>
      <c r="B53" s="4" t="s">
        <v>994</v>
      </c>
      <c r="C53" s="262" t="s">
        <v>692</v>
      </c>
      <c r="D53" s="558">
        <f>D18/'1. USER INPUTS'!$E$23</f>
        <v>5.787190659030831E-3</v>
      </c>
    </row>
    <row r="54" spans="1:4" x14ac:dyDescent="0.3">
      <c r="A54" s="557" t="s">
        <v>15</v>
      </c>
      <c r="B54" s="4" t="s">
        <v>994</v>
      </c>
      <c r="C54" s="262" t="s">
        <v>693</v>
      </c>
      <c r="D54" s="558">
        <f>D19/'1. USER INPUTS'!$E$23</f>
        <v>0.44935676876300445</v>
      </c>
    </row>
    <row r="55" spans="1:4" x14ac:dyDescent="0.3">
      <c r="A55" s="557" t="s">
        <v>1828</v>
      </c>
      <c r="B55" s="4" t="s">
        <v>994</v>
      </c>
      <c r="C55" s="262" t="s">
        <v>694</v>
      </c>
      <c r="D55" s="558">
        <f>D20/'1. USER INPUTS'!$E$23</f>
        <v>1.2157963569392503E-2</v>
      </c>
    </row>
    <row r="56" spans="1:4" x14ac:dyDescent="0.3">
      <c r="A56" s="557" t="s">
        <v>827</v>
      </c>
      <c r="B56" s="4" t="s">
        <v>994</v>
      </c>
      <c r="C56" s="262" t="s">
        <v>447</v>
      </c>
      <c r="D56" s="558">
        <f>D21/'1. USER INPUTS'!$E$23</f>
        <v>2.6563216931555438E-2</v>
      </c>
    </row>
    <row r="57" spans="1:4" x14ac:dyDescent="0.3">
      <c r="A57" s="557" t="s">
        <v>3</v>
      </c>
      <c r="B57" s="4" t="s">
        <v>994</v>
      </c>
      <c r="C57" s="262" t="s">
        <v>375</v>
      </c>
      <c r="D57" s="558">
        <f>D22/'1. USER INPUTS'!$E$23</f>
        <v>8.1833081527666067</v>
      </c>
    </row>
    <row r="58" spans="1:4" x14ac:dyDescent="0.3">
      <c r="A58" s="557" t="s">
        <v>0</v>
      </c>
      <c r="B58" s="4" t="s">
        <v>994</v>
      </c>
      <c r="C58" s="262" t="s">
        <v>695</v>
      </c>
      <c r="D58" s="558">
        <f>D23/'1. USER INPUTS'!$E$23</f>
        <v>0.43006818181818179</v>
      </c>
    </row>
    <row r="59" spans="1:4" x14ac:dyDescent="0.3">
      <c r="A59" s="557" t="s">
        <v>9</v>
      </c>
      <c r="B59" s="4" t="s">
        <v>994</v>
      </c>
      <c r="C59" s="262" t="s">
        <v>696</v>
      </c>
      <c r="D59" s="558">
        <f>D24/'1. USER INPUTS'!$E$23</f>
        <v>2.3855151515151509</v>
      </c>
    </row>
    <row r="60" spans="1:4" x14ac:dyDescent="0.3">
      <c r="A60" s="557" t="s">
        <v>26</v>
      </c>
      <c r="B60" s="4" t="s">
        <v>994</v>
      </c>
      <c r="C60" s="262" t="s">
        <v>697</v>
      </c>
      <c r="D60" s="558">
        <f>D25/'1. USER INPUTS'!$E$23</f>
        <v>0.74</v>
      </c>
    </row>
    <row r="61" spans="1:4" x14ac:dyDescent="0.3">
      <c r="A61" s="557" t="s">
        <v>749</v>
      </c>
      <c r="B61" s="4" t="s">
        <v>994</v>
      </c>
      <c r="C61" s="262" t="s">
        <v>698</v>
      </c>
      <c r="D61" s="558">
        <f>D26/'1. USER INPUTS'!$E$23</f>
        <v>0.70827272727272739</v>
      </c>
    </row>
    <row r="62" spans="1:4" x14ac:dyDescent="0.3">
      <c r="A62" s="557" t="s">
        <v>5</v>
      </c>
      <c r="B62" s="4" t="s">
        <v>994</v>
      </c>
      <c r="C62" s="262" t="s">
        <v>902</v>
      </c>
      <c r="D62" s="558">
        <f>D28/'1. USER INPUTS'!$E$23</f>
        <v>0.97516203600000007</v>
      </c>
    </row>
    <row r="63" spans="1:4" x14ac:dyDescent="0.3">
      <c r="A63" s="557" t="s">
        <v>6</v>
      </c>
      <c r="B63" s="4" t="s">
        <v>994</v>
      </c>
      <c r="C63" s="262" t="s">
        <v>378</v>
      </c>
      <c r="D63" s="558">
        <f>D29/'1. USER INPUTS'!$E$23</f>
        <v>1.1260250000000003</v>
      </c>
    </row>
    <row r="64" spans="1:4" x14ac:dyDescent="0.3">
      <c r="A64" s="557" t="s">
        <v>78</v>
      </c>
      <c r="B64" s="4" t="s">
        <v>994</v>
      </c>
      <c r="C64" s="262" t="s">
        <v>699</v>
      </c>
      <c r="D64" s="558">
        <f>D30/'1. USER INPUTS'!$E$23</f>
        <v>3.1600464514516076</v>
      </c>
    </row>
    <row r="65" spans="1:4" x14ac:dyDescent="0.3">
      <c r="A65" s="557" t="s">
        <v>2</v>
      </c>
      <c r="B65" s="4" t="s">
        <v>994</v>
      </c>
      <c r="C65" s="262" t="s">
        <v>381</v>
      </c>
      <c r="D65" s="558">
        <f>D31/'1. USER INPUTS'!$E$23</f>
        <v>1.5150397498138495E-2</v>
      </c>
    </row>
    <row r="66" spans="1:4" x14ac:dyDescent="0.3">
      <c r="A66" s="557" t="s">
        <v>8</v>
      </c>
      <c r="B66" s="4" t="s">
        <v>994</v>
      </c>
      <c r="C66" s="262" t="s">
        <v>379</v>
      </c>
      <c r="D66" s="558">
        <f>D32/'1. USER INPUTS'!$E$23</f>
        <v>8.4179999999999991E-2</v>
      </c>
    </row>
    <row r="67" spans="1:4" x14ac:dyDescent="0.3">
      <c r="A67" s="557" t="s">
        <v>112</v>
      </c>
      <c r="B67" s="4" t="s">
        <v>994</v>
      </c>
      <c r="C67" s="262" t="s">
        <v>865</v>
      </c>
      <c r="D67" s="558">
        <f>D33/'1. USER INPUTS'!$E$23</f>
        <v>0.2898</v>
      </c>
    </row>
    <row r="68" spans="1:4" x14ac:dyDescent="0.3">
      <c r="A68" s="557" t="s">
        <v>7</v>
      </c>
      <c r="B68" s="4" t="s">
        <v>994</v>
      </c>
      <c r="C68" s="262" t="s">
        <v>700</v>
      </c>
      <c r="D68" s="558">
        <f>D34/'1. USER INPUTS'!$E$23</f>
        <v>1.8671066558808452E-3</v>
      </c>
    </row>
    <row r="69" spans="1:4" x14ac:dyDescent="0.3">
      <c r="A69" s="557" t="s">
        <v>179</v>
      </c>
      <c r="B69" s="4" t="s">
        <v>994</v>
      </c>
      <c r="C69" s="262" t="s">
        <v>701</v>
      </c>
      <c r="D69" s="558">
        <f>D35/'1. USER INPUTS'!$E$23</f>
        <v>5.93761011528471E-3</v>
      </c>
    </row>
    <row r="70" spans="1:4" x14ac:dyDescent="0.3">
      <c r="A70" s="557" t="s">
        <v>186</v>
      </c>
      <c r="B70" s="4" t="s">
        <v>994</v>
      </c>
      <c r="C70" s="262" t="s">
        <v>702</v>
      </c>
      <c r="D70" s="558">
        <f>D36/'1. USER INPUTS'!$E$23</f>
        <v>7.0171943464260778E-6</v>
      </c>
    </row>
    <row r="71" spans="1:4" x14ac:dyDescent="0.3">
      <c r="A71" s="557" t="s">
        <v>180</v>
      </c>
      <c r="B71" s="4" t="s">
        <v>994</v>
      </c>
      <c r="C71" s="262" t="s">
        <v>703</v>
      </c>
      <c r="D71" s="558">
        <f>D37/'1. USER INPUTS'!$E$23</f>
        <v>8.4823001646924421E-4</v>
      </c>
    </row>
    <row r="72" spans="1:4" x14ac:dyDescent="0.3">
      <c r="A72" s="557" t="s">
        <v>19</v>
      </c>
      <c r="B72" s="4" t="s">
        <v>994</v>
      </c>
      <c r="C72" s="262" t="s">
        <v>704</v>
      </c>
      <c r="D72" s="558">
        <f>D38/'1. USER INPUTS'!$E$23</f>
        <v>2.7960174616949158E-3</v>
      </c>
    </row>
    <row r="73" spans="1:4" x14ac:dyDescent="0.3">
      <c r="A73" s="557" t="s">
        <v>187</v>
      </c>
      <c r="B73" s="4" t="s">
        <v>994</v>
      </c>
      <c r="C73" s="262" t="s">
        <v>705</v>
      </c>
      <c r="D73" s="558">
        <f>D40/'1. USER INPUTS'!$E$23</f>
        <v>0.10038599999999999</v>
      </c>
    </row>
    <row r="74" spans="1:4" x14ac:dyDescent="0.3">
      <c r="A74" s="557" t="s">
        <v>752</v>
      </c>
      <c r="B74" s="4" t="s">
        <v>994</v>
      </c>
      <c r="C74" s="262" t="s">
        <v>400</v>
      </c>
      <c r="D74" s="558">
        <f>D41/'1. USER INPUTS'!$E$23</f>
        <v>8.7336275769796263E-3</v>
      </c>
    </row>
    <row r="75" spans="1:4" x14ac:dyDescent="0.3">
      <c r="A75" s="557" t="s">
        <v>750</v>
      </c>
      <c r="B75" s="4" t="s">
        <v>994</v>
      </c>
      <c r="C75" s="262" t="s">
        <v>718</v>
      </c>
      <c r="D75" s="558">
        <f>D42/'1. USER INPUTS'!$E$23</f>
        <v>6.974335690969341E-2</v>
      </c>
    </row>
    <row r="76" spans="1:4" x14ac:dyDescent="0.3">
      <c r="A76" s="557" t="s">
        <v>751</v>
      </c>
      <c r="B76" s="4" t="s">
        <v>994</v>
      </c>
      <c r="C76" s="262" t="s">
        <v>404</v>
      </c>
      <c r="D76" s="558">
        <f>D43/'1. USER INPUTS'!$E$23</f>
        <v>1.1666555646517985E-2</v>
      </c>
    </row>
    <row r="77" spans="1:4" x14ac:dyDescent="0.3">
      <c r="A77" s="559" t="s">
        <v>125</v>
      </c>
      <c r="B77" s="4" t="s">
        <v>994</v>
      </c>
      <c r="C77" s="262" t="s">
        <v>158</v>
      </c>
      <c r="D77" s="558">
        <f>D44/'1. USER INPUTS'!$E$23</f>
        <v>1356.8989516878087</v>
      </c>
    </row>
    <row r="78" spans="1:4" x14ac:dyDescent="0.3">
      <c r="A78" s="559" t="s">
        <v>782</v>
      </c>
      <c r="B78" s="4" t="s">
        <v>994</v>
      </c>
      <c r="C78" s="44" t="s">
        <v>225</v>
      </c>
      <c r="D78" s="558">
        <f>D45/'1. USER INPUTS'!$E$23</f>
        <v>1399.9153572125063</v>
      </c>
    </row>
    <row r="79" spans="1:4" ht="15" thickBot="1" x14ac:dyDescent="0.35">
      <c r="A79" s="102" t="s">
        <v>781</v>
      </c>
      <c r="B79" s="12" t="s">
        <v>994</v>
      </c>
      <c r="C79" s="365" t="s">
        <v>225</v>
      </c>
      <c r="D79" s="560">
        <f>D46/'1. USER INPUTS'!$E$23</f>
        <v>43.016405524697817</v>
      </c>
    </row>
  </sheetData>
  <sheetProtection algorithmName="SHA-512" hashValue="lCmNvzIwEEa+sJEphY6jRVi8RzHWaGlAUxOYtUjRK2ACcYENAcuGvkjL+8UqGp4lcB43mP2FPkQevCg47NM2GQ==" saltValue="Y4Kypk0ov16jonrT66JI1Q==" spinCount="100000" sheet="1" objects="1" scenarios="1"/>
  <mergeCells count="7">
    <mergeCell ref="A4:D4"/>
    <mergeCell ref="A12:D12"/>
    <mergeCell ref="A48:D48"/>
    <mergeCell ref="A9:A10"/>
    <mergeCell ref="A2:D2"/>
    <mergeCell ref="A5:A6"/>
    <mergeCell ref="A7:A8"/>
  </mergeCells>
  <conditionalFormatting sqref="D13:D43">
    <cfRule type="dataBar" priority="12">
      <dataBar>
        <cfvo type="min"/>
        <cfvo type="max"/>
        <color rgb="FF638EC6"/>
      </dataBar>
      <extLst>
        <ext xmlns:x14="http://schemas.microsoft.com/office/spreadsheetml/2009/9/main" uri="{B025F937-C7B1-47D3-B67F-A62EFF666E3E}">
          <x14:id>{7A6CB47A-D84B-4EDC-8454-DBF364BFDABA}</x14:id>
        </ext>
      </extLst>
    </cfRule>
  </conditionalFormatting>
  <conditionalFormatting sqref="D49:D76">
    <cfRule type="dataBar" priority="14">
      <dataBar>
        <cfvo type="min"/>
        <cfvo type="max"/>
        <color rgb="FFD6007B"/>
      </dataBar>
      <extLst>
        <ext xmlns:x14="http://schemas.microsoft.com/office/spreadsheetml/2009/9/main" uri="{B025F937-C7B1-47D3-B67F-A62EFF666E3E}">
          <x14:id>{9747FD46-B967-459B-8DF6-B62A8C55C1C1}</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7A6CB47A-D84B-4EDC-8454-DBF364BFDABA}">
            <x14:dataBar minLength="0" maxLength="100" border="1" negativeBarBorderColorSameAsPositive="0">
              <x14:cfvo type="autoMin"/>
              <x14:cfvo type="autoMax"/>
              <x14:borderColor rgb="FF638EC6"/>
              <x14:negativeFillColor rgb="FFFF0000"/>
              <x14:negativeBorderColor rgb="FFFF0000"/>
              <x14:axisColor rgb="FF000000"/>
            </x14:dataBar>
          </x14:cfRule>
          <xm:sqref>D13:D43</xm:sqref>
        </x14:conditionalFormatting>
        <x14:conditionalFormatting xmlns:xm="http://schemas.microsoft.com/office/excel/2006/main">
          <x14:cfRule type="dataBar" id="{9747FD46-B967-459B-8DF6-B62A8C55C1C1}">
            <x14:dataBar minLength="0" maxLength="100" border="1" negativeBarBorderColorSameAsPositive="0">
              <x14:cfvo type="autoMin"/>
              <x14:cfvo type="autoMax"/>
              <x14:borderColor rgb="FFD6007B"/>
              <x14:negativeFillColor rgb="FFFF0000"/>
              <x14:negativeBorderColor rgb="FFFF0000"/>
              <x14:axisColor rgb="FF000000"/>
            </x14:dataBar>
          </x14:cfRule>
          <xm:sqref>D49:D76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191DD-BA8D-471C-9ADC-FE8DFBC678D1}">
  <dimension ref="A1:S64"/>
  <sheetViews>
    <sheetView zoomScale="85" zoomScaleNormal="85" workbookViewId="0">
      <selection activeCell="A2" sqref="A2:D2"/>
    </sheetView>
  </sheetViews>
  <sheetFormatPr baseColWidth="10" defaultRowHeight="14.4" x14ac:dyDescent="0.3"/>
  <cols>
    <col min="1" max="1" width="64.33203125" bestFit="1" customWidth="1"/>
    <col min="2" max="2" width="31.21875" bestFit="1" customWidth="1"/>
    <col min="3" max="3" width="65.44140625" bestFit="1" customWidth="1"/>
  </cols>
  <sheetData>
    <row r="1" spans="1:19" ht="15" thickBot="1" x14ac:dyDescent="0.35">
      <c r="A1" t="s">
        <v>135</v>
      </c>
    </row>
    <row r="2" spans="1:19" ht="30" customHeight="1" thickBot="1" x14ac:dyDescent="0.35">
      <c r="A2" s="1027" t="s">
        <v>1918</v>
      </c>
      <c r="B2" s="1028"/>
      <c r="C2" s="1028"/>
      <c r="D2" s="1029"/>
    </row>
    <row r="3" spans="1:19" ht="15" thickBot="1" x14ac:dyDescent="0.35"/>
    <row r="4" spans="1:19" ht="30" customHeight="1" thickBot="1" x14ac:dyDescent="0.35">
      <c r="A4" s="1030" t="s">
        <v>2633</v>
      </c>
      <c r="B4" s="1031"/>
      <c r="C4" s="1031"/>
      <c r="D4" s="1032"/>
    </row>
    <row r="5" spans="1:19" x14ac:dyDescent="0.3">
      <c r="A5" s="1026" t="s">
        <v>985</v>
      </c>
      <c r="B5" s="226" t="s">
        <v>988</v>
      </c>
      <c r="C5" s="550"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5" s="552">
        <f>SUM($D$7,$D$9,$D$11)</f>
        <v>2.1356647959848489</v>
      </c>
      <c r="F5" s="1"/>
    </row>
    <row r="6" spans="1:19" x14ac:dyDescent="0.3">
      <c r="A6" s="1021"/>
      <c r="B6" s="4" t="s">
        <v>987</v>
      </c>
      <c r="C6"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6" s="253">
        <f>SUM($D$8,$D$10,$D$12)</f>
        <v>497.09018323529347</v>
      </c>
      <c r="F6" s="1"/>
    </row>
    <row r="7" spans="1:19" x14ac:dyDescent="0.3">
      <c r="A7" s="1034" t="s">
        <v>839</v>
      </c>
      <c r="B7" s="4" t="s">
        <v>988</v>
      </c>
      <c r="C7"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7" s="254">
        <f>'3. SUMMARY LCI'!$B$12</f>
        <v>0.48496365535673341</v>
      </c>
      <c r="F7" s="1"/>
    </row>
    <row r="8" spans="1:19" x14ac:dyDescent="0.3">
      <c r="A8" s="1034"/>
      <c r="B8" s="4" t="s">
        <v>987</v>
      </c>
      <c r="C8"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8" s="255">
        <f>$D$7/'1. USER INPUTS'!$E$23</f>
        <v>112.87851574692839</v>
      </c>
      <c r="F8" s="1"/>
    </row>
    <row r="9" spans="1:19" x14ac:dyDescent="0.3">
      <c r="A9" s="1035" t="s">
        <v>2632</v>
      </c>
      <c r="B9" s="4" t="s">
        <v>988</v>
      </c>
      <c r="C9"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9" s="254">
        <f>SUM('3. SUMMARY LCI'!$B$304,'3. SUMMARY LCI'!$B$285,'3. SUMMARY LCI'!$B$266,'3. SUMMARY LCI'!$B$240,'3. SUMMARY LCI'!$B$218,'3. SUMMARY LCI'!$B$183,'3. SUMMARY LCI'!$B$162,'3. SUMMARY LCI'!$B$142,'3. SUMMARY LCI'!$B$117,'3. SUMMARY LCI'!$B$90,'3. SUMMARY LCI'!$B$65,'3. SUMMARY LCI'!$B$40)</f>
        <v>0.59696102796926509</v>
      </c>
      <c r="F9" s="245"/>
    </row>
    <row r="10" spans="1:19" x14ac:dyDescent="0.3">
      <c r="A10" s="1035"/>
      <c r="B10" s="4" t="s">
        <v>987</v>
      </c>
      <c r="C10"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10" s="255">
        <f>$D$9/'1. USER INPUTS'!$E$23</f>
        <v>138.94664899447844</v>
      </c>
      <c r="F10" s="246"/>
    </row>
    <row r="11" spans="1:19" x14ac:dyDescent="0.3">
      <c r="A11" s="1036" t="s">
        <v>986</v>
      </c>
      <c r="B11" s="4" t="s">
        <v>988</v>
      </c>
      <c r="C11"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11" s="254">
        <f>SUM('3. SUMMARY LCI'!$B$317:$B$320,'3. SUMMARY LCI'!$B$322,'3. SUMMARY LCI'!$B$327,'3. SUMMARY LCI'!$B$329)</f>
        <v>1.0537401126588501</v>
      </c>
      <c r="F11" s="1"/>
    </row>
    <row r="12" spans="1:19" ht="15" thickBot="1" x14ac:dyDescent="0.35">
      <c r="A12" s="1037"/>
      <c r="B12" s="12" t="s">
        <v>987</v>
      </c>
      <c r="C12" s="256"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12" s="257">
        <f>$D$11/'1. USER INPUTS'!$E$23</f>
        <v>245.26501849388669</v>
      </c>
      <c r="F12" s="1"/>
    </row>
    <row r="13" spans="1:19" ht="15" thickBot="1" x14ac:dyDescent="0.35">
      <c r="B13" s="36"/>
      <c r="D13" s="247"/>
    </row>
    <row r="14" spans="1:19" ht="30" customHeight="1" thickBot="1" x14ac:dyDescent="0.35">
      <c r="A14" s="1023" t="s">
        <v>1913</v>
      </c>
      <c r="B14" s="1024"/>
      <c r="C14" s="1024"/>
      <c r="D14" s="1025"/>
    </row>
    <row r="15" spans="1:19" x14ac:dyDescent="0.3">
      <c r="A15" s="860" t="s">
        <v>1448</v>
      </c>
      <c r="B15" s="226" t="s">
        <v>988</v>
      </c>
      <c r="C15" s="550"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15" s="551">
        <f>'3. SUMMARY LCI'!$B$40</f>
        <v>2.2475548326758485E-3</v>
      </c>
      <c r="S15" s="2"/>
    </row>
    <row r="16" spans="1:19" x14ac:dyDescent="0.3">
      <c r="A16" s="559"/>
      <c r="B16" s="4" t="s">
        <v>987</v>
      </c>
      <c r="C16"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16" s="258">
        <f>$D$15/'1. USER INPUTS'!$E$23</f>
        <v>0.52313333333333323</v>
      </c>
    </row>
    <row r="17" spans="1:4" x14ac:dyDescent="0.3">
      <c r="A17" s="559" t="s">
        <v>267</v>
      </c>
      <c r="B17" s="4" t="s">
        <v>988</v>
      </c>
      <c r="C17"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17" s="258">
        <f>'3. SUMMARY LCI'!$B$65</f>
        <v>0.16855945189623259</v>
      </c>
    </row>
    <row r="18" spans="1:4" x14ac:dyDescent="0.3">
      <c r="A18" s="559"/>
      <c r="B18" s="4" t="s">
        <v>987</v>
      </c>
      <c r="C18"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18" s="258">
        <f>$D$17/'1. USER INPUTS'!$E$23</f>
        <v>39.233333333333334</v>
      </c>
    </row>
    <row r="19" spans="1:4" x14ac:dyDescent="0.3">
      <c r="A19" s="559" t="s">
        <v>347</v>
      </c>
      <c r="B19" s="4" t="s">
        <v>988</v>
      </c>
      <c r="C19"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19" s="258">
        <f>'3. SUMMARY LCI'!$B$90</f>
        <v>1.64931437638483E-3</v>
      </c>
    </row>
    <row r="20" spans="1:4" x14ac:dyDescent="0.3">
      <c r="A20" s="559"/>
      <c r="B20" s="4" t="s">
        <v>987</v>
      </c>
      <c r="C20"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20" s="258">
        <f>$D$19/'1. USER INPUTS'!$E$23</f>
        <v>0.38388888888888884</v>
      </c>
    </row>
    <row r="21" spans="1:4" x14ac:dyDescent="0.3">
      <c r="A21" s="559" t="s">
        <v>348</v>
      </c>
      <c r="B21" s="4" t="s">
        <v>988</v>
      </c>
      <c r="C21"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21" s="258">
        <f>'3. SUMMARY LCI'!$B$117</f>
        <v>9.5864357369348271E-2</v>
      </c>
    </row>
    <row r="22" spans="1:4" x14ac:dyDescent="0.3">
      <c r="A22" s="559"/>
      <c r="B22" s="4" t="s">
        <v>987</v>
      </c>
      <c r="C22"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22" s="258">
        <f>$D$21/'1. USER INPUTS'!$E$23</f>
        <v>22.313066666666668</v>
      </c>
    </row>
    <row r="23" spans="1:4" x14ac:dyDescent="0.3">
      <c r="A23" s="559" t="s">
        <v>1256</v>
      </c>
      <c r="B23" s="4" t="s">
        <v>988</v>
      </c>
      <c r="C23"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23" s="258">
        <f>'3. SUMMARY LCI'!$B$142</f>
        <v>0.11336064059254561</v>
      </c>
    </row>
    <row r="24" spans="1:4" x14ac:dyDescent="0.3">
      <c r="A24" s="559"/>
      <c r="B24" s="4" t="s">
        <v>987</v>
      </c>
      <c r="C24"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24" s="258">
        <f>$D$23/'1. USER INPUTS'!$E$23</f>
        <v>26.385442935502002</v>
      </c>
    </row>
    <row r="25" spans="1:4" x14ac:dyDescent="0.3">
      <c r="A25" s="559" t="s">
        <v>989</v>
      </c>
      <c r="B25" s="4" t="s">
        <v>988</v>
      </c>
      <c r="C25"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25" s="258">
        <f>'3. SUMMARY LCI'!$B$162</f>
        <v>0.10378030258352013</v>
      </c>
    </row>
    <row r="26" spans="1:4" x14ac:dyDescent="0.3">
      <c r="A26" s="559"/>
      <c r="B26" s="4" t="s">
        <v>987</v>
      </c>
      <c r="C26"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26" s="258">
        <f>$D$25/'1. USER INPUTS'!$E$23</f>
        <v>24.155555555555551</v>
      </c>
    </row>
    <row r="27" spans="1:4" x14ac:dyDescent="0.3">
      <c r="A27" s="559" t="s">
        <v>1501</v>
      </c>
      <c r="B27" s="4" t="s">
        <v>988</v>
      </c>
      <c r="C27"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27" s="258">
        <f>'3. SUMMARY LCI'!$B$183</f>
        <v>4.0788069635323637E-2</v>
      </c>
    </row>
    <row r="28" spans="1:4" x14ac:dyDescent="0.3">
      <c r="A28" s="559"/>
      <c r="B28" s="4" t="s">
        <v>987</v>
      </c>
      <c r="C28"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28" s="258">
        <f>$D$27/'1. USER INPUTS'!$E$23</f>
        <v>9.4936944444444453</v>
      </c>
    </row>
    <row r="29" spans="1:4" x14ac:dyDescent="0.3">
      <c r="A29" s="559" t="s">
        <v>1500</v>
      </c>
      <c r="B29" s="4" t="s">
        <v>988</v>
      </c>
      <c r="C29"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29" s="258">
        <f>'3. SUMMARY LCI'!$B$218</f>
        <v>4.2133491520167578E-2</v>
      </c>
    </row>
    <row r="30" spans="1:4" x14ac:dyDescent="0.3">
      <c r="A30" s="559"/>
      <c r="B30" s="4" t="s">
        <v>987</v>
      </c>
      <c r="C30"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30" s="258">
        <f>$D$29/'1. USER INPUTS'!$E$23</f>
        <v>9.8068503350707363</v>
      </c>
    </row>
    <row r="31" spans="1:4" x14ac:dyDescent="0.3">
      <c r="A31" s="559" t="s">
        <v>177</v>
      </c>
      <c r="B31" s="4" t="s">
        <v>988</v>
      </c>
      <c r="C31"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31" s="258">
        <f>'3. SUMMARY LCI'!$B$240</f>
        <v>1.0941327208897338E-2</v>
      </c>
    </row>
    <row r="32" spans="1:4" x14ac:dyDescent="0.3">
      <c r="A32" s="559"/>
      <c r="B32" s="4" t="s">
        <v>987</v>
      </c>
      <c r="C32"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32" s="258">
        <f>$D$31/'1. USER INPUTS'!$E$23</f>
        <v>2.546666666666666</v>
      </c>
    </row>
    <row r="33" spans="1:10" x14ac:dyDescent="0.3">
      <c r="A33" s="559" t="s">
        <v>1497</v>
      </c>
      <c r="B33" s="4" t="s">
        <v>988</v>
      </c>
      <c r="C33"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33" s="258">
        <f>'3. SUMMARY LCI'!$B$266</f>
        <v>5.6386111544186549E-3</v>
      </c>
    </row>
    <row r="34" spans="1:10" x14ac:dyDescent="0.3">
      <c r="A34" s="559"/>
      <c r="B34" s="4" t="s">
        <v>987</v>
      </c>
      <c r="C34"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34" s="258">
        <f>$D$33/'1. USER INPUTS'!$E$23</f>
        <v>1.3124242424242423</v>
      </c>
    </row>
    <row r="35" spans="1:10" x14ac:dyDescent="0.3">
      <c r="A35" s="559" t="s">
        <v>1498</v>
      </c>
      <c r="B35" s="4" t="s">
        <v>988</v>
      </c>
      <c r="C35"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35" s="258">
        <f>'3. SUMMARY LCI'!$B$285</f>
        <v>6.2121787992343233E-3</v>
      </c>
    </row>
    <row r="36" spans="1:10" x14ac:dyDescent="0.3">
      <c r="A36" s="559"/>
      <c r="B36" s="4" t="s">
        <v>987</v>
      </c>
      <c r="C36"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36" s="258">
        <f>$D$35/'1. USER INPUTS'!$E$23</f>
        <v>1.4459259259259256</v>
      </c>
    </row>
    <row r="37" spans="1:10" x14ac:dyDescent="0.3">
      <c r="A37" s="559" t="s">
        <v>1499</v>
      </c>
      <c r="B37" s="4" t="s">
        <v>988</v>
      </c>
      <c r="C37"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37" s="258">
        <f>'3. SUMMARY LCI'!$B$304</f>
        <v>5.7857280005163946E-3</v>
      </c>
    </row>
    <row r="38" spans="1:10" ht="15" thickBot="1" x14ac:dyDescent="0.35">
      <c r="A38" s="102"/>
      <c r="B38" s="12" t="s">
        <v>987</v>
      </c>
      <c r="C38" s="256"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38" s="259">
        <f>$D$37/'1. USER INPUTS'!$E$23</f>
        <v>1.3466666666666667</v>
      </c>
    </row>
    <row r="39" spans="1:10" ht="15" thickBot="1" x14ac:dyDescent="0.35"/>
    <row r="40" spans="1:10" ht="30" customHeight="1" thickBot="1" x14ac:dyDescent="0.35">
      <c r="A40" s="1038" t="s">
        <v>1914</v>
      </c>
      <c r="B40" s="1039"/>
      <c r="C40" s="1039"/>
      <c r="D40" s="1040"/>
    </row>
    <row r="41" spans="1:10" x14ac:dyDescent="0.3">
      <c r="A41" s="554" t="s">
        <v>990</v>
      </c>
      <c r="B41" s="226" t="s">
        <v>988</v>
      </c>
      <c r="C41" s="550"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41" s="551">
        <f>'24. WAFER FAB'!$D$37</f>
        <v>0.44475595377760807</v>
      </c>
      <c r="E41" s="248"/>
      <c r="H41" s="248"/>
    </row>
    <row r="42" spans="1:10" x14ac:dyDescent="0.3">
      <c r="A42" s="861"/>
      <c r="B42" s="4" t="s">
        <v>987</v>
      </c>
      <c r="C42"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42" s="258">
        <f>$D$41/'1. USER INPUTS'!$E$23</f>
        <v>103.51990582695703</v>
      </c>
      <c r="E42" s="248"/>
      <c r="H42" s="248"/>
    </row>
    <row r="43" spans="1:10" x14ac:dyDescent="0.3">
      <c r="A43" s="557" t="s">
        <v>991</v>
      </c>
      <c r="B43" s="4" t="s">
        <v>988</v>
      </c>
      <c r="C43"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43" s="258">
        <f>'24. WAFER FAB'!$D$38</f>
        <v>0.47097533388089891</v>
      </c>
      <c r="E43" s="250"/>
      <c r="F43" s="128"/>
      <c r="G43" s="249"/>
      <c r="H43" s="250"/>
      <c r="I43" s="128"/>
      <c r="J43" s="249"/>
    </row>
    <row r="44" spans="1:10" x14ac:dyDescent="0.3">
      <c r="A44" s="861"/>
      <c r="B44" s="4" t="s">
        <v>987</v>
      </c>
      <c r="C44"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44" s="258">
        <f>$D$43/'1. USER INPUTS'!$E$23</f>
        <v>109.6226409024071</v>
      </c>
      <c r="E44" s="250"/>
      <c r="F44" s="128"/>
      <c r="G44" s="249"/>
      <c r="H44" s="250"/>
      <c r="I44" s="128"/>
      <c r="J44" s="249"/>
    </row>
    <row r="45" spans="1:10" x14ac:dyDescent="0.3">
      <c r="A45" s="557" t="s">
        <v>992</v>
      </c>
      <c r="B45" s="4" t="s">
        <v>988</v>
      </c>
      <c r="C45"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45" s="258">
        <f>'24. WAFER FAB'!$D$39</f>
        <v>8.2107608988746181E-2</v>
      </c>
      <c r="E45" s="250"/>
      <c r="F45" s="128"/>
      <c r="G45" s="249"/>
      <c r="H45" s="250"/>
      <c r="I45" s="128"/>
      <c r="J45" s="249"/>
    </row>
    <row r="46" spans="1:10" x14ac:dyDescent="0.3">
      <c r="A46" s="861"/>
      <c r="B46" s="4" t="s">
        <v>987</v>
      </c>
      <c r="C46"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46" s="258">
        <f>$D$45/'1. USER INPUTS'!$E$23</f>
        <v>19.111091999999999</v>
      </c>
      <c r="E46" s="250"/>
      <c r="F46" s="128"/>
      <c r="G46" s="249"/>
      <c r="H46" s="250"/>
      <c r="I46" s="128"/>
      <c r="J46" s="249"/>
    </row>
    <row r="47" spans="1:10" x14ac:dyDescent="0.3">
      <c r="A47" s="557" t="s">
        <v>2282</v>
      </c>
      <c r="B47" s="4" t="s">
        <v>988</v>
      </c>
      <c r="C47"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47" s="258">
        <f>'3. SUMMARY LCI'!$B$320</f>
        <v>4.2963326736507886E-2</v>
      </c>
      <c r="E47" s="250"/>
      <c r="F47" s="128"/>
      <c r="G47" s="249"/>
      <c r="H47" s="250"/>
      <c r="I47" s="128"/>
      <c r="J47" s="249"/>
    </row>
    <row r="48" spans="1:10" x14ac:dyDescent="0.3">
      <c r="A48" s="861"/>
      <c r="B48" s="4" t="s">
        <v>987</v>
      </c>
      <c r="C48"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48" s="258">
        <f>$D$47/'1. USER INPUTS'!$E$23</f>
        <v>10.000000000000002</v>
      </c>
      <c r="E48" s="250"/>
      <c r="F48" s="128"/>
      <c r="G48" s="249"/>
      <c r="H48" s="250"/>
      <c r="I48" s="128"/>
      <c r="J48" s="249"/>
    </row>
    <row r="49" spans="1:10" x14ac:dyDescent="0.3">
      <c r="A49" s="557" t="s">
        <v>1819</v>
      </c>
      <c r="B49" s="4" t="s">
        <v>988</v>
      </c>
      <c r="C49"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49" s="258">
        <f>'24. WAFER FAB'!$D$42</f>
        <v>1.7755438798122491E-4</v>
      </c>
      <c r="E49" s="128"/>
      <c r="F49" s="128"/>
      <c r="G49" s="249"/>
      <c r="H49" s="250"/>
      <c r="I49" s="128"/>
      <c r="J49" s="249"/>
    </row>
    <row r="50" spans="1:10" x14ac:dyDescent="0.3">
      <c r="A50" s="861"/>
      <c r="B50" s="4" t="s">
        <v>987</v>
      </c>
      <c r="C50"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50" s="258">
        <f>$D$49/'1. USER INPUTS'!$E$23</f>
        <v>4.1326964522593386E-2</v>
      </c>
      <c r="E50" s="128"/>
      <c r="F50" s="128"/>
      <c r="G50" s="249"/>
      <c r="H50" s="250"/>
      <c r="I50" s="128"/>
      <c r="J50" s="249"/>
    </row>
    <row r="51" spans="1:10" x14ac:dyDescent="0.3">
      <c r="A51" s="557" t="s">
        <v>834</v>
      </c>
      <c r="B51" s="4" t="s">
        <v>988</v>
      </c>
      <c r="C51"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51" s="258">
        <f>'24. WAFER FAB'!$D$356</f>
        <v>5.3402858141853209E-3</v>
      </c>
      <c r="E51" s="1033"/>
      <c r="F51" s="1033"/>
      <c r="G51" s="1033"/>
      <c r="H51" s="1033"/>
      <c r="I51" s="1033"/>
      <c r="J51" s="1033"/>
    </row>
    <row r="52" spans="1:10" x14ac:dyDescent="0.3">
      <c r="A52" s="861"/>
      <c r="B52" s="4" t="s">
        <v>987</v>
      </c>
      <c r="C52"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52" s="258">
        <f>$D$51/'1. USER INPUTS'!$E$23</f>
        <v>1.2429870356495087</v>
      </c>
      <c r="E52" s="252"/>
      <c r="F52" s="252"/>
      <c r="G52" s="252"/>
      <c r="H52" s="252"/>
      <c r="I52" s="252"/>
      <c r="J52" s="252"/>
    </row>
    <row r="53" spans="1:10" x14ac:dyDescent="0.3">
      <c r="A53" s="557" t="s">
        <v>124</v>
      </c>
      <c r="B53" s="4" t="s">
        <v>988</v>
      </c>
      <c r="C53"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53" s="258">
        <f>'24. WAFER FAB'!$D$47</f>
        <v>1.2227744990964792E-2</v>
      </c>
      <c r="E53" s="251"/>
      <c r="F53" s="128"/>
      <c r="G53" s="249"/>
      <c r="H53" s="251"/>
      <c r="I53" s="128"/>
      <c r="J53" s="249"/>
    </row>
    <row r="54" spans="1:10" x14ac:dyDescent="0.3">
      <c r="A54" s="861"/>
      <c r="B54" s="4" t="s">
        <v>987</v>
      </c>
      <c r="C54"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54" s="258">
        <f>$D$53/'1. USER INPUTS'!$E$23</f>
        <v>2.8460889600000003</v>
      </c>
      <c r="E54" s="251"/>
      <c r="F54" s="128"/>
      <c r="G54" s="249"/>
      <c r="H54" s="251"/>
      <c r="I54" s="128"/>
      <c r="J54" s="249"/>
    </row>
    <row r="55" spans="1:10" x14ac:dyDescent="0.3">
      <c r="A55" s="557" t="s">
        <v>125</v>
      </c>
      <c r="B55" s="4" t="s">
        <v>988</v>
      </c>
      <c r="C55"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55" s="258">
        <f>'24. WAFER FAB'!$D$428</f>
        <v>5.2467203708809501E-2</v>
      </c>
      <c r="E55" s="251"/>
      <c r="F55" s="128"/>
      <c r="G55" s="249"/>
      <c r="H55" s="251"/>
      <c r="I55" s="128"/>
      <c r="J55" s="249"/>
    </row>
    <row r="56" spans="1:10" x14ac:dyDescent="0.3">
      <c r="A56" s="861"/>
      <c r="B56" s="4" t="s">
        <v>987</v>
      </c>
      <c r="C56"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56" s="258">
        <f>$D$55/'1. USER INPUTS'!$E$23</f>
        <v>12.212090565190277</v>
      </c>
      <c r="E56" s="251"/>
      <c r="F56" s="128"/>
      <c r="G56" s="249"/>
      <c r="H56" s="251"/>
      <c r="I56" s="128"/>
      <c r="J56" s="249"/>
    </row>
    <row r="57" spans="1:10" x14ac:dyDescent="0.3">
      <c r="A57" s="557" t="s">
        <v>835</v>
      </c>
      <c r="B57" s="4" t="s">
        <v>988</v>
      </c>
      <c r="C57"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57" s="258">
        <f>$D$58*'1. USER INPUTS'!$E$23</f>
        <v>1.216080262860349E-3</v>
      </c>
      <c r="E57" s="251"/>
      <c r="F57" s="128"/>
      <c r="G57" s="249"/>
      <c r="H57" s="251"/>
      <c r="I57" s="128"/>
      <c r="J57" s="249"/>
    </row>
    <row r="58" spans="1:10" x14ac:dyDescent="0.3">
      <c r="A58" s="861"/>
      <c r="B58" s="4" t="s">
        <v>987</v>
      </c>
      <c r="C58"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58" s="258">
        <f>'24. WAFER FAB'!$D$468</f>
        <v>0.28305076800000001</v>
      </c>
      <c r="E58" s="251"/>
      <c r="F58" s="128"/>
      <c r="G58" s="249"/>
      <c r="H58" s="251"/>
      <c r="I58" s="128"/>
      <c r="J58" s="249"/>
    </row>
    <row r="59" spans="1:10" x14ac:dyDescent="0.3">
      <c r="A59" s="557" t="s">
        <v>836</v>
      </c>
      <c r="B59" s="4" t="s">
        <v>988</v>
      </c>
      <c r="C59"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59" s="258">
        <f>'24. WAFER FAB'!$D$509</f>
        <v>5.3258989614321842E-4</v>
      </c>
      <c r="E59" s="128"/>
      <c r="F59" s="128"/>
      <c r="G59" s="249"/>
      <c r="H59" s="251"/>
      <c r="I59" s="128"/>
      <c r="J59" s="249"/>
    </row>
    <row r="60" spans="1:10" x14ac:dyDescent="0.3">
      <c r="A60" s="861"/>
      <c r="B60" s="4" t="s">
        <v>987</v>
      </c>
      <c r="C60"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60" s="258">
        <f>$D$59/'1. USER INPUTS'!$E$23</f>
        <v>0.12396383999999999</v>
      </c>
      <c r="E60" s="128"/>
      <c r="F60" s="128"/>
      <c r="G60" s="249"/>
      <c r="H60" s="251"/>
      <c r="I60" s="128"/>
      <c r="J60" s="249"/>
    </row>
    <row r="61" spans="1:10" x14ac:dyDescent="0.3">
      <c r="A61" s="557" t="s">
        <v>1</v>
      </c>
      <c r="B61" s="4" t="s">
        <v>988</v>
      </c>
      <c r="C61"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61" s="258">
        <f>'24. WAFER FAB'!D483</f>
        <v>3.3807326241017385E-2</v>
      </c>
    </row>
    <row r="62" spans="1:10" x14ac:dyDescent="0.3">
      <c r="A62" s="861"/>
      <c r="B62" s="4" t="s">
        <v>987</v>
      </c>
      <c r="C62"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62" s="258">
        <f>$D$61/'1. USER INPUTS'!$E$23</f>
        <v>7.8688799981333322</v>
      </c>
    </row>
    <row r="63" spans="1:10" x14ac:dyDescent="0.3">
      <c r="A63" s="557" t="s">
        <v>837</v>
      </c>
      <c r="B63" s="4" t="s">
        <v>988</v>
      </c>
      <c r="C63"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63" s="263">
        <f>'24. WAFER FAB'!$D$333</f>
        <v>6.702362177913796E-4</v>
      </c>
    </row>
    <row r="64" spans="1:10" ht="15" thickBot="1" x14ac:dyDescent="0.35">
      <c r="A64" s="862"/>
      <c r="B64" s="12" t="s">
        <v>987</v>
      </c>
      <c r="C64" s="256"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64" s="259">
        <f>$D$63/'1. USER INPUTS'!$E$23</f>
        <v>0.15600193669868903</v>
      </c>
    </row>
  </sheetData>
  <sheetProtection algorithmName="SHA-512" hashValue="gRrrTEXGH1NID9ehg7tYtrjmaowD+cLSHngAInnBnpxMlASVzltOaYdSmHsAw5QkoOWair5L02bVexpsv8bheg==" saltValue="dAmQB2QNgDHpCXeEeyoyoQ==" spinCount="100000" sheet="1" objects="1" scenarios="1"/>
  <mergeCells count="10">
    <mergeCell ref="A2:D2"/>
    <mergeCell ref="A4:D4"/>
    <mergeCell ref="A14:D14"/>
    <mergeCell ref="E51:G51"/>
    <mergeCell ref="H51:J51"/>
    <mergeCell ref="A5:A6"/>
    <mergeCell ref="A7:A8"/>
    <mergeCell ref="A9:A10"/>
    <mergeCell ref="A11:A12"/>
    <mergeCell ref="A40:D40"/>
  </mergeCells>
  <conditionalFormatting sqref="D5 D7 D9 D11">
    <cfRule type="dataBar" priority="11">
      <dataBar>
        <cfvo type="min"/>
        <cfvo type="max"/>
        <color rgb="FF638EC6"/>
      </dataBar>
      <extLst>
        <ext xmlns:x14="http://schemas.microsoft.com/office/spreadsheetml/2009/9/main" uri="{B025F937-C7B1-47D3-B67F-A62EFF666E3E}">
          <x14:id>{24C74B23-C9FF-4DC5-90F9-236894837DE6}</x14:id>
        </ext>
      </extLst>
    </cfRule>
  </conditionalFormatting>
  <conditionalFormatting sqref="D6 D8 D10 D12">
    <cfRule type="dataBar" priority="10">
      <dataBar>
        <cfvo type="min"/>
        <cfvo type="max"/>
        <color rgb="FFD6007B"/>
      </dataBar>
      <extLst>
        <ext xmlns:x14="http://schemas.microsoft.com/office/spreadsheetml/2009/9/main" uri="{B025F937-C7B1-47D3-B67F-A62EFF666E3E}">
          <x14:id>{0854F800-5E29-4DE5-A456-AC30267D5CBB}</x14:id>
        </ext>
      </extLst>
    </cfRule>
  </conditionalFormatting>
  <conditionalFormatting sqref="D15 D33 D17 D19 D21 D23 D25 D27 D29 D31 D35">
    <cfRule type="dataBar" priority="9">
      <dataBar>
        <cfvo type="min"/>
        <cfvo type="max"/>
        <color rgb="FF638EC6"/>
      </dataBar>
      <extLst>
        <ext xmlns:x14="http://schemas.microsoft.com/office/spreadsheetml/2009/9/main" uri="{B025F937-C7B1-47D3-B67F-A62EFF666E3E}">
          <x14:id>{4C1C8DE6-B20B-463D-B0CD-1000C13F991F}</x14:id>
        </ext>
      </extLst>
    </cfRule>
  </conditionalFormatting>
  <conditionalFormatting sqref="D17 D21 D23 D25 D27 D15 D19 D29 D31 D33 D35 D37">
    <cfRule type="dataBar" priority="1">
      <dataBar>
        <cfvo type="min"/>
        <cfvo type="max"/>
        <color rgb="FF638EC6"/>
      </dataBar>
      <extLst>
        <ext xmlns:x14="http://schemas.microsoft.com/office/spreadsheetml/2009/9/main" uri="{B025F937-C7B1-47D3-B67F-A62EFF666E3E}">
          <x14:id>{6FC3F0EF-3368-4CB9-9BB3-81655DADFCC6}</x14:id>
        </ext>
      </extLst>
    </cfRule>
  </conditionalFormatting>
  <conditionalFormatting sqref="D18 D34 D16 D20 D22 D24 D26 D28 D30 D32 D36 D38">
    <cfRule type="dataBar" priority="8">
      <dataBar>
        <cfvo type="min"/>
        <cfvo type="max"/>
        <color rgb="FFD6007B"/>
      </dataBar>
      <extLst>
        <ext xmlns:x14="http://schemas.microsoft.com/office/spreadsheetml/2009/9/main" uri="{B025F937-C7B1-47D3-B67F-A62EFF666E3E}">
          <x14:id>{245D8551-F6AC-43E5-8C91-E9DE150713C7}</x14:id>
        </ext>
      </extLst>
    </cfRule>
  </conditionalFormatting>
  <conditionalFormatting sqref="D37">
    <cfRule type="dataBar" priority="5">
      <dataBar>
        <cfvo type="min"/>
        <cfvo type="max"/>
        <color rgb="FF638EC6"/>
      </dataBar>
      <extLst>
        <ext xmlns:x14="http://schemas.microsoft.com/office/spreadsheetml/2009/9/main" uri="{B025F937-C7B1-47D3-B67F-A62EFF666E3E}">
          <x14:id>{275F71BC-01D0-4BB1-BD25-F525024D4855}</x14:id>
        </ext>
      </extLst>
    </cfRule>
  </conditionalFormatting>
  <conditionalFormatting sqref="D41 D43 D45 D47 D49 D51 D53 D55 D57 D59 D61 D63">
    <cfRule type="dataBar" priority="2">
      <dataBar>
        <cfvo type="min"/>
        <cfvo type="max"/>
        <color rgb="FF638EC6"/>
      </dataBar>
      <extLst>
        <ext xmlns:x14="http://schemas.microsoft.com/office/spreadsheetml/2009/9/main" uri="{B025F937-C7B1-47D3-B67F-A62EFF666E3E}">
          <x14:id>{76098C19-5BA9-4ED3-80A9-85AD6C81E3B7}</x14:id>
        </ext>
      </extLst>
    </cfRule>
  </conditionalFormatting>
  <conditionalFormatting sqref="D41 D49 D43 D45 D51 D53 D55 D57 D59 D61 D63">
    <cfRule type="dataBar" priority="7">
      <dataBar>
        <cfvo type="min"/>
        <cfvo type="max"/>
        <color rgb="FF638EC6"/>
      </dataBar>
      <extLst>
        <ext xmlns:x14="http://schemas.microsoft.com/office/spreadsheetml/2009/9/main" uri="{B025F937-C7B1-47D3-B67F-A62EFF666E3E}">
          <x14:id>{C78E4CB8-3AAE-4840-97B8-CD54BA1AD204}</x14:id>
        </ext>
      </extLst>
    </cfRule>
  </conditionalFormatting>
  <conditionalFormatting sqref="D42 D44 D46 D49 D52 D54 D56 D58 D60 D62 D64">
    <cfRule type="dataBar" priority="3">
      <dataBar>
        <cfvo type="min"/>
        <cfvo type="max"/>
        <color rgb="FFD6007B"/>
      </dataBar>
      <extLst>
        <ext xmlns:x14="http://schemas.microsoft.com/office/spreadsheetml/2009/9/main" uri="{B025F937-C7B1-47D3-B67F-A62EFF666E3E}">
          <x14:id>{AFB46A44-9937-4A87-A5EA-0DC47DFAAFCD}</x14:id>
        </ext>
      </extLst>
    </cfRule>
  </conditionalFormatting>
  <conditionalFormatting sqref="D42 D50 D44 D46 D52 D54 D56 D58 D60 D62 D64 D48">
    <cfRule type="dataBar" priority="6">
      <dataBar>
        <cfvo type="min"/>
        <cfvo type="max"/>
        <color rgb="FFD6007B"/>
      </dataBar>
      <extLst>
        <ext xmlns:x14="http://schemas.microsoft.com/office/spreadsheetml/2009/9/main" uri="{B025F937-C7B1-47D3-B67F-A62EFF666E3E}">
          <x14:id>{82973433-762D-4F35-807C-111652B87409}</x14:id>
        </ext>
      </extLst>
    </cfRule>
  </conditionalFormatting>
  <conditionalFormatting sqref="D47">
    <cfRule type="dataBar" priority="4">
      <dataBar>
        <cfvo type="min"/>
        <cfvo type="max"/>
        <color rgb="FF638EC6"/>
      </dataBar>
      <extLst>
        <ext xmlns:x14="http://schemas.microsoft.com/office/spreadsheetml/2009/9/main" uri="{B025F937-C7B1-47D3-B67F-A62EFF666E3E}">
          <x14:id>{388D0964-85C7-44F7-A8A1-38450952376C}</x14:id>
        </ext>
      </extLst>
    </cfRule>
  </conditionalFormatting>
  <pageMargins left="0.7" right="0.7" top="0.75" bottom="0.75" header="0.3" footer="0.3"/>
  <pageSetup paperSize="9" orientation="portrait" verticalDpi="0" r:id="rId1"/>
  <ignoredErrors>
    <ignoredError sqref="D51 D55 D47 D17 D63 D61 D53 D19 D21 D23 D25 D27 D29 D31 D33 D35 D37" formula="1"/>
  </ignoredErrors>
  <drawing r:id="rId2"/>
  <extLst>
    <ext xmlns:x14="http://schemas.microsoft.com/office/spreadsheetml/2009/9/main" uri="{78C0D931-6437-407d-A8EE-F0AAD7539E65}">
      <x14:conditionalFormattings>
        <x14:conditionalFormatting xmlns:xm="http://schemas.microsoft.com/office/excel/2006/main">
          <x14:cfRule type="dataBar" id="{24C74B23-C9FF-4DC5-90F9-236894837DE6}">
            <x14:dataBar minLength="0" maxLength="100" border="1" negativeBarBorderColorSameAsPositive="0">
              <x14:cfvo type="autoMin"/>
              <x14:cfvo type="autoMax"/>
              <x14:borderColor rgb="FF638EC6"/>
              <x14:negativeFillColor rgb="FFFF0000"/>
              <x14:negativeBorderColor rgb="FFFF0000"/>
              <x14:axisColor rgb="FF000000"/>
            </x14:dataBar>
          </x14:cfRule>
          <xm:sqref>D5 D7 D9 D11</xm:sqref>
        </x14:conditionalFormatting>
        <x14:conditionalFormatting xmlns:xm="http://schemas.microsoft.com/office/excel/2006/main">
          <x14:cfRule type="dataBar" id="{0854F800-5E29-4DE5-A456-AC30267D5CBB}">
            <x14:dataBar minLength="0" maxLength="100" border="1" negativeBarBorderColorSameAsPositive="0">
              <x14:cfvo type="autoMin"/>
              <x14:cfvo type="autoMax"/>
              <x14:borderColor rgb="FFD6007B"/>
              <x14:negativeFillColor rgb="FFFF0000"/>
              <x14:negativeBorderColor rgb="FFFF0000"/>
              <x14:axisColor rgb="FF000000"/>
            </x14:dataBar>
          </x14:cfRule>
          <xm:sqref>D6 D8 D10 D12</xm:sqref>
        </x14:conditionalFormatting>
        <x14:conditionalFormatting xmlns:xm="http://schemas.microsoft.com/office/excel/2006/main">
          <x14:cfRule type="dataBar" id="{4C1C8DE6-B20B-463D-B0CD-1000C13F991F}">
            <x14:dataBar minLength="0" maxLength="100" border="1" negativeBarBorderColorSameAsPositive="0">
              <x14:cfvo type="autoMin"/>
              <x14:cfvo type="autoMax"/>
              <x14:borderColor rgb="FF638EC6"/>
              <x14:negativeFillColor rgb="FFFF0000"/>
              <x14:negativeBorderColor rgb="FFFF0000"/>
              <x14:axisColor rgb="FF000000"/>
            </x14:dataBar>
          </x14:cfRule>
          <xm:sqref>D15 D33 D17 D19 D21 D23 D25 D27 D29 D31 D35</xm:sqref>
        </x14:conditionalFormatting>
        <x14:conditionalFormatting xmlns:xm="http://schemas.microsoft.com/office/excel/2006/main">
          <x14:cfRule type="dataBar" id="{6FC3F0EF-3368-4CB9-9BB3-81655DADFCC6}">
            <x14:dataBar minLength="0" maxLength="100" border="1" negativeBarBorderColorSameAsPositive="0">
              <x14:cfvo type="autoMin"/>
              <x14:cfvo type="autoMax"/>
              <x14:borderColor rgb="FF638EC6"/>
              <x14:negativeFillColor rgb="FFFF0000"/>
              <x14:negativeBorderColor rgb="FFFF0000"/>
              <x14:axisColor rgb="FF000000"/>
            </x14:dataBar>
          </x14:cfRule>
          <xm:sqref>D17 D21 D23 D25 D27 D15 D19 D29 D31 D33 D35 D37</xm:sqref>
        </x14:conditionalFormatting>
        <x14:conditionalFormatting xmlns:xm="http://schemas.microsoft.com/office/excel/2006/main">
          <x14:cfRule type="dataBar" id="{245D8551-F6AC-43E5-8C91-E9DE150713C7}">
            <x14:dataBar minLength="0" maxLength="100" border="1" negativeBarBorderColorSameAsPositive="0">
              <x14:cfvo type="autoMin"/>
              <x14:cfvo type="autoMax"/>
              <x14:borderColor rgb="FFD6007B"/>
              <x14:negativeFillColor rgb="FFFF0000"/>
              <x14:negativeBorderColor rgb="FFFF0000"/>
              <x14:axisColor rgb="FF000000"/>
            </x14:dataBar>
          </x14:cfRule>
          <xm:sqref>D18 D34 D16 D20 D22 D24 D26 D28 D30 D32 D36 D38</xm:sqref>
        </x14:conditionalFormatting>
        <x14:conditionalFormatting xmlns:xm="http://schemas.microsoft.com/office/excel/2006/main">
          <x14:cfRule type="dataBar" id="{275F71BC-01D0-4BB1-BD25-F525024D4855}">
            <x14:dataBar minLength="0" maxLength="100" border="1" negativeBarBorderColorSameAsPositive="0">
              <x14:cfvo type="autoMin"/>
              <x14:cfvo type="autoMax"/>
              <x14:borderColor rgb="FF638EC6"/>
              <x14:negativeFillColor rgb="FFFF0000"/>
              <x14:negativeBorderColor rgb="FFFF0000"/>
              <x14:axisColor rgb="FF000000"/>
            </x14:dataBar>
          </x14:cfRule>
          <xm:sqref>D37</xm:sqref>
        </x14:conditionalFormatting>
        <x14:conditionalFormatting xmlns:xm="http://schemas.microsoft.com/office/excel/2006/main">
          <x14:cfRule type="dataBar" id="{76098C19-5BA9-4ED3-80A9-85AD6C81E3B7}">
            <x14:dataBar minLength="0" maxLength="100" border="1" negativeBarBorderColorSameAsPositive="0">
              <x14:cfvo type="autoMin"/>
              <x14:cfvo type="autoMax"/>
              <x14:borderColor rgb="FF638EC6"/>
              <x14:negativeFillColor rgb="FFFF0000"/>
              <x14:negativeBorderColor rgb="FFFF0000"/>
              <x14:axisColor rgb="FF000000"/>
            </x14:dataBar>
          </x14:cfRule>
          <xm:sqref>D41 D43 D45 D47 D49 D51 D53 D55 D57 D59 D61 D63</xm:sqref>
        </x14:conditionalFormatting>
        <x14:conditionalFormatting xmlns:xm="http://schemas.microsoft.com/office/excel/2006/main">
          <x14:cfRule type="dataBar" id="{C78E4CB8-3AAE-4840-97B8-CD54BA1AD204}">
            <x14:dataBar minLength="0" maxLength="100" border="1" negativeBarBorderColorSameAsPositive="0">
              <x14:cfvo type="autoMin"/>
              <x14:cfvo type="autoMax"/>
              <x14:borderColor rgb="FF638EC6"/>
              <x14:negativeFillColor rgb="FFFF0000"/>
              <x14:negativeBorderColor rgb="FFFF0000"/>
              <x14:axisColor rgb="FF000000"/>
            </x14:dataBar>
          </x14:cfRule>
          <xm:sqref>D41 D49 D43 D45 D51 D53 D55 D57 D59 D61 D63</xm:sqref>
        </x14:conditionalFormatting>
        <x14:conditionalFormatting xmlns:xm="http://schemas.microsoft.com/office/excel/2006/main">
          <x14:cfRule type="dataBar" id="{AFB46A44-9937-4A87-A5EA-0DC47DFAAFCD}">
            <x14:dataBar minLength="0" maxLength="100" gradient="0">
              <x14:cfvo type="autoMin"/>
              <x14:cfvo type="autoMax"/>
              <x14:negativeFillColor rgb="FFFF0000"/>
              <x14:axisColor rgb="FF000000"/>
            </x14:dataBar>
          </x14:cfRule>
          <xm:sqref>D42 D44 D46 D49 D52 D54 D56 D58 D60 D62 D64</xm:sqref>
        </x14:conditionalFormatting>
        <x14:conditionalFormatting xmlns:xm="http://schemas.microsoft.com/office/excel/2006/main">
          <x14:cfRule type="dataBar" id="{82973433-762D-4F35-807C-111652B87409}">
            <x14:dataBar minLength="0" maxLength="100" border="1" negativeBarBorderColorSameAsPositive="0">
              <x14:cfvo type="autoMin"/>
              <x14:cfvo type="autoMax"/>
              <x14:borderColor rgb="FFD6007B"/>
              <x14:negativeFillColor rgb="FFFF0000"/>
              <x14:negativeBorderColor rgb="FFFF0000"/>
              <x14:axisColor rgb="FF000000"/>
            </x14:dataBar>
          </x14:cfRule>
          <xm:sqref>D42 D50 D44 D46 D52 D54 D56 D58 D60 D62 D64 D48</xm:sqref>
        </x14:conditionalFormatting>
        <x14:conditionalFormatting xmlns:xm="http://schemas.microsoft.com/office/excel/2006/main">
          <x14:cfRule type="dataBar" id="{388D0964-85C7-44F7-A8A1-38450952376C}">
            <x14:dataBar minLength="0" maxLength="100" border="1" negativeBarBorderColorSameAsPositive="0">
              <x14:cfvo type="autoMin"/>
              <x14:cfvo type="autoMax"/>
              <x14:borderColor rgb="FF638EC6"/>
              <x14:negativeFillColor rgb="FFFF0000"/>
              <x14:negativeBorderColor rgb="FFFF0000"/>
              <x14:axisColor rgb="FF000000"/>
            </x14:dataBar>
          </x14:cfRule>
          <xm:sqref>D47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DD6C0-3015-4BA1-B96A-CE5588A77112}">
  <dimension ref="A1:Q46"/>
  <sheetViews>
    <sheetView zoomScale="85" zoomScaleNormal="85" workbookViewId="0"/>
  </sheetViews>
  <sheetFormatPr baseColWidth="10" defaultColWidth="10.88671875" defaultRowHeight="13.8" x14ac:dyDescent="0.3"/>
  <cols>
    <col min="1" max="16384" width="10.88671875" style="37"/>
  </cols>
  <sheetData>
    <row r="1" spans="1:17" ht="14.4" thickBot="1" x14ac:dyDescent="0.35">
      <c r="A1" s="37" t="s">
        <v>135</v>
      </c>
    </row>
    <row r="2" spans="1:17" ht="30" customHeight="1" thickBot="1" x14ac:dyDescent="0.35">
      <c r="A2" s="1027" t="s">
        <v>2625</v>
      </c>
      <c r="B2" s="1028"/>
      <c r="C2" s="1028"/>
      <c r="D2" s="1028"/>
      <c r="E2" s="1028"/>
      <c r="F2" s="1028"/>
      <c r="G2" s="1028"/>
      <c r="H2" s="1028"/>
      <c r="I2" s="1028"/>
      <c r="J2" s="1028"/>
      <c r="K2" s="1028"/>
      <c r="L2" s="1028"/>
      <c r="M2" s="1028"/>
      <c r="N2" s="1028"/>
      <c r="O2" s="1028"/>
      <c r="P2" s="1028"/>
      <c r="Q2" s="1029"/>
    </row>
    <row r="3" spans="1:17" ht="15" customHeight="1" x14ac:dyDescent="0.3"/>
    <row r="4" spans="1:17" ht="15" customHeight="1" x14ac:dyDescent="0.3"/>
    <row r="5" spans="1:17" ht="15" customHeight="1" x14ac:dyDescent="0.3"/>
    <row r="6" spans="1:17" ht="15" customHeight="1" x14ac:dyDescent="0.3"/>
    <row r="7" spans="1:17" ht="15" customHeight="1" x14ac:dyDescent="0.3"/>
    <row r="8" spans="1:17" ht="15" customHeight="1" x14ac:dyDescent="0.3"/>
    <row r="9" spans="1:17" ht="15" customHeight="1" x14ac:dyDescent="0.3"/>
    <row r="10" spans="1:17" ht="15" customHeight="1" x14ac:dyDescent="0.3"/>
    <row r="11" spans="1:17" ht="15" customHeight="1" x14ac:dyDescent="0.3"/>
    <row r="12" spans="1:17" ht="15" customHeight="1" x14ac:dyDescent="0.3"/>
    <row r="13" spans="1:17" ht="15" customHeight="1" x14ac:dyDescent="0.3"/>
    <row r="14" spans="1:17" ht="15" customHeight="1" x14ac:dyDescent="0.3"/>
    <row r="15" spans="1:17" ht="15" customHeight="1" x14ac:dyDescent="0.3"/>
    <row r="16" spans="1:17" ht="15"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sheetData>
  <sheetProtection algorithmName="SHA-512" hashValue="E3prxpb0tgn+Yl0cbbrbLlvb6sL5GK2fCA3w8rKJlJMkmCODzIygiuEBlMxFYIx8LxEdLT/HWo3yjnFXfBjpLg==" saltValue="XM2sKw2peBcAyKfRvSTQLg==" spinCount="100000" sheet="1" objects="1" scenarios="1"/>
  <mergeCells count="1">
    <mergeCell ref="A2:Q2"/>
  </mergeCells>
  <pageMargins left="0.7" right="0.7" top="0.75" bottom="0.75" header="0.3" footer="0.3"/>
  <pageSetup paperSize="9" orientation="portrait"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7C469-A8D8-41F6-853F-ADE5FA9B394E}">
  <dimension ref="A1:L169"/>
  <sheetViews>
    <sheetView zoomScale="85" zoomScaleNormal="85" workbookViewId="0">
      <selection activeCell="F35" sqref="F35"/>
    </sheetView>
  </sheetViews>
  <sheetFormatPr baseColWidth="10" defaultRowHeight="14.4" x14ac:dyDescent="0.3"/>
  <cols>
    <col min="1" max="1" width="12.77734375" bestFit="1" customWidth="1"/>
    <col min="2" max="2" width="37.33203125" bestFit="1" customWidth="1"/>
    <col min="3" max="3" width="24.5546875" bestFit="1" customWidth="1"/>
    <col min="4" max="4" width="41.109375" bestFit="1" customWidth="1"/>
    <col min="5" max="5" width="17.33203125" bestFit="1" customWidth="1"/>
    <col min="6" max="6" width="110.88671875" customWidth="1"/>
    <col min="7" max="7" width="55.6640625" bestFit="1" customWidth="1"/>
    <col min="8" max="8" width="27.109375" bestFit="1" customWidth="1"/>
    <col min="9" max="9" width="20.77734375" bestFit="1" customWidth="1"/>
    <col min="10" max="10" width="28.44140625" bestFit="1" customWidth="1"/>
    <col min="11" max="11" width="24.5546875" bestFit="1" customWidth="1"/>
  </cols>
  <sheetData>
    <row r="1" spans="1:11" ht="15" thickBot="1" x14ac:dyDescent="0.35">
      <c r="A1" t="s">
        <v>135</v>
      </c>
    </row>
    <row r="2" spans="1:11" ht="19.95" customHeight="1" thickBot="1" x14ac:dyDescent="0.35">
      <c r="A2" s="7" t="s">
        <v>1062</v>
      </c>
      <c r="B2" s="277" t="s">
        <v>166</v>
      </c>
      <c r="C2" s="1109" t="s">
        <v>223</v>
      </c>
      <c r="D2" s="1110"/>
      <c r="E2" s="303" t="s">
        <v>1063</v>
      </c>
      <c r="F2" s="278" t="s">
        <v>1064</v>
      </c>
      <c r="G2" s="303" t="s">
        <v>1065</v>
      </c>
      <c r="H2" s="303" t="s">
        <v>1066</v>
      </c>
      <c r="I2" s="303" t="s">
        <v>1067</v>
      </c>
      <c r="J2" s="303" t="s">
        <v>2607</v>
      </c>
      <c r="K2" s="278" t="s">
        <v>1068</v>
      </c>
    </row>
    <row r="3" spans="1:11" ht="16.95" customHeight="1" x14ac:dyDescent="0.3">
      <c r="A3" s="1041" t="s">
        <v>1069</v>
      </c>
      <c r="B3" s="1056" t="s">
        <v>1070</v>
      </c>
      <c r="C3" s="1111" t="s">
        <v>1071</v>
      </c>
      <c r="D3" s="1112"/>
      <c r="E3" s="1115"/>
      <c r="F3" s="379"/>
      <c r="G3" s="380"/>
      <c r="H3" s="380"/>
      <c r="I3" s="380"/>
      <c r="J3" s="380"/>
      <c r="K3" s="381"/>
    </row>
    <row r="4" spans="1:11" ht="16.95" customHeight="1" thickBot="1" x14ac:dyDescent="0.35">
      <c r="A4" s="1042"/>
      <c r="B4" s="1058"/>
      <c r="C4" s="1118" t="s">
        <v>1264</v>
      </c>
      <c r="D4" s="1119"/>
      <c r="E4" s="1116"/>
      <c r="F4" s="382"/>
      <c r="G4" s="383"/>
      <c r="H4" s="383"/>
      <c r="I4" s="383"/>
      <c r="J4" s="383"/>
      <c r="K4" s="384"/>
    </row>
    <row r="5" spans="1:11" ht="16.95" customHeight="1" thickBot="1" x14ac:dyDescent="0.35">
      <c r="A5" s="1042"/>
      <c r="B5" s="327" t="s">
        <v>1072</v>
      </c>
      <c r="C5" s="1120" t="s">
        <v>1502</v>
      </c>
      <c r="D5" s="1121"/>
      <c r="E5" s="1117"/>
      <c r="F5" s="382"/>
      <c r="G5" s="383"/>
      <c r="H5" s="383"/>
      <c r="I5" s="383"/>
      <c r="J5" s="383"/>
      <c r="K5" s="384"/>
    </row>
    <row r="6" spans="1:11" ht="16.95" customHeight="1" x14ac:dyDescent="0.3">
      <c r="A6" s="1042"/>
      <c r="B6" s="1056" t="s">
        <v>1073</v>
      </c>
      <c r="C6" s="1068" t="s">
        <v>1198</v>
      </c>
      <c r="D6" s="1069"/>
      <c r="E6" s="1082">
        <v>1</v>
      </c>
      <c r="F6" s="619" t="s">
        <v>1198</v>
      </c>
      <c r="G6" s="620" t="s">
        <v>1269</v>
      </c>
      <c r="H6" s="620" t="s">
        <v>1081</v>
      </c>
      <c r="I6" s="620">
        <v>1</v>
      </c>
      <c r="J6" s="620" t="s">
        <v>1155</v>
      </c>
      <c r="K6" s="621" t="s">
        <v>2091</v>
      </c>
    </row>
    <row r="7" spans="1:11" ht="16.95" customHeight="1" x14ac:dyDescent="0.3">
      <c r="A7" s="1042"/>
      <c r="B7" s="1057"/>
      <c r="C7" s="1044" t="s">
        <v>1199</v>
      </c>
      <c r="D7" s="1045"/>
      <c r="E7" s="1083"/>
      <c r="F7" s="622" t="s">
        <v>1270</v>
      </c>
      <c r="G7" s="392" t="s">
        <v>1286</v>
      </c>
      <c r="H7" s="392" t="s">
        <v>1127</v>
      </c>
      <c r="I7" s="392">
        <v>1</v>
      </c>
      <c r="J7" s="392" t="s">
        <v>1268</v>
      </c>
      <c r="K7" s="623" t="s">
        <v>1093</v>
      </c>
    </row>
    <row r="8" spans="1:11" ht="16.95" customHeight="1" x14ac:dyDescent="0.3">
      <c r="A8" s="1042"/>
      <c r="B8" s="1057"/>
      <c r="C8" s="1113" t="s">
        <v>1200</v>
      </c>
      <c r="D8" s="1114"/>
      <c r="E8" s="1083"/>
      <c r="F8" s="622" t="s">
        <v>1267</v>
      </c>
      <c r="G8" s="392" t="s">
        <v>1269</v>
      </c>
      <c r="H8" s="392" t="s">
        <v>1301</v>
      </c>
      <c r="I8" s="392">
        <v>1</v>
      </c>
      <c r="J8" s="392" t="s">
        <v>1155</v>
      </c>
      <c r="K8" s="623" t="s">
        <v>1346</v>
      </c>
    </row>
    <row r="9" spans="1:11" ht="16.95" customHeight="1" x14ac:dyDescent="0.3">
      <c r="A9" s="1042"/>
      <c r="B9" s="1057"/>
      <c r="C9" s="1044" t="s">
        <v>1074</v>
      </c>
      <c r="D9" s="1045"/>
      <c r="E9" s="1083"/>
      <c r="F9" s="622" t="s">
        <v>1075</v>
      </c>
      <c r="G9" s="392" t="s">
        <v>1076</v>
      </c>
      <c r="H9" s="392" t="s">
        <v>1344</v>
      </c>
      <c r="I9" s="392">
        <v>1</v>
      </c>
      <c r="J9" s="392" t="s">
        <v>1077</v>
      </c>
      <c r="K9" s="623" t="s">
        <v>1078</v>
      </c>
    </row>
    <row r="10" spans="1:11" ht="16.95" customHeight="1" x14ac:dyDescent="0.3">
      <c r="A10" s="1042"/>
      <c r="B10" s="1057"/>
      <c r="C10" s="1044" t="s">
        <v>1079</v>
      </c>
      <c r="D10" s="1045"/>
      <c r="E10" s="1083"/>
      <c r="F10" s="622" t="s">
        <v>1080</v>
      </c>
      <c r="G10" s="618" t="s">
        <v>2061</v>
      </c>
      <c r="H10" s="392" t="s">
        <v>1091</v>
      </c>
      <c r="I10" s="392">
        <v>25</v>
      </c>
      <c r="J10" s="392" t="s">
        <v>1308</v>
      </c>
      <c r="K10" s="623" t="s">
        <v>2062</v>
      </c>
    </row>
    <row r="11" spans="1:11" ht="16.95" customHeight="1" x14ac:dyDescent="0.3">
      <c r="A11" s="1042"/>
      <c r="B11" s="1057"/>
      <c r="C11" s="1044" t="s">
        <v>1442</v>
      </c>
      <c r="D11" s="1045"/>
      <c r="E11" s="1083"/>
      <c r="F11" s="622" t="s">
        <v>1463</v>
      </c>
      <c r="G11" s="618" t="s">
        <v>2051</v>
      </c>
      <c r="H11" s="392" t="s">
        <v>2021</v>
      </c>
      <c r="I11" s="392" t="s">
        <v>2079</v>
      </c>
      <c r="J11" s="392" t="s">
        <v>1446</v>
      </c>
      <c r="K11" s="623" t="s">
        <v>1082</v>
      </c>
    </row>
    <row r="12" spans="1:11" ht="16.95" customHeight="1" thickBot="1" x14ac:dyDescent="0.35">
      <c r="A12" s="1043"/>
      <c r="B12" s="1058"/>
      <c r="C12" s="1064" t="s">
        <v>1201</v>
      </c>
      <c r="D12" s="1065"/>
      <c r="E12" s="1084"/>
      <c r="F12" s="622" t="s">
        <v>1509</v>
      </c>
      <c r="G12" s="392" t="s">
        <v>2071</v>
      </c>
      <c r="H12" s="392" t="s">
        <v>2073</v>
      </c>
      <c r="I12" s="392">
        <v>50</v>
      </c>
      <c r="J12" s="392" t="s">
        <v>1447</v>
      </c>
      <c r="K12" s="623" t="s">
        <v>1093</v>
      </c>
    </row>
    <row r="13" spans="1:11" ht="16.95" customHeight="1" x14ac:dyDescent="0.3">
      <c r="A13" s="1041" t="s">
        <v>1083</v>
      </c>
      <c r="B13" s="1078" t="s">
        <v>1084</v>
      </c>
      <c r="C13" s="1073" t="s">
        <v>183</v>
      </c>
      <c r="D13" s="368" t="s">
        <v>1085</v>
      </c>
      <c r="E13" s="1082">
        <v>2</v>
      </c>
      <c r="F13" s="622" t="s">
        <v>2075</v>
      </c>
      <c r="G13" s="392" t="s">
        <v>1086</v>
      </c>
      <c r="H13" s="392" t="s">
        <v>1102</v>
      </c>
      <c r="I13" s="392">
        <v>100</v>
      </c>
      <c r="J13" s="392" t="s">
        <v>1088</v>
      </c>
      <c r="K13" s="623" t="s">
        <v>1089</v>
      </c>
    </row>
    <row r="14" spans="1:11" ht="16.95" customHeight="1" x14ac:dyDescent="0.3">
      <c r="A14" s="1042"/>
      <c r="B14" s="1079"/>
      <c r="C14" s="1074"/>
      <c r="D14" s="369" t="s">
        <v>1198</v>
      </c>
      <c r="E14" s="1083"/>
      <c r="F14" s="622" t="s">
        <v>1198</v>
      </c>
      <c r="G14" s="392" t="s">
        <v>1269</v>
      </c>
      <c r="H14" s="392" t="s">
        <v>1081</v>
      </c>
      <c r="I14" s="392">
        <v>1</v>
      </c>
      <c r="J14" s="392" t="s">
        <v>1155</v>
      </c>
      <c r="K14" s="623" t="s">
        <v>2091</v>
      </c>
    </row>
    <row r="15" spans="1:11" ht="16.95" customHeight="1" x14ac:dyDescent="0.3">
      <c r="A15" s="1042"/>
      <c r="B15" s="1079"/>
      <c r="C15" s="1074"/>
      <c r="D15" s="370" t="s">
        <v>1199</v>
      </c>
      <c r="E15" s="1083"/>
      <c r="F15" s="622" t="s">
        <v>1270</v>
      </c>
      <c r="G15" s="392" t="s">
        <v>1286</v>
      </c>
      <c r="H15" s="392" t="s">
        <v>1127</v>
      </c>
      <c r="I15" s="392">
        <v>1</v>
      </c>
      <c r="J15" s="392" t="s">
        <v>1268</v>
      </c>
      <c r="K15" s="623" t="s">
        <v>1093</v>
      </c>
    </row>
    <row r="16" spans="1:11" ht="16.95" customHeight="1" x14ac:dyDescent="0.3">
      <c r="A16" s="1042"/>
      <c r="B16" s="1079"/>
      <c r="C16" s="1074"/>
      <c r="D16" s="370" t="s">
        <v>1200</v>
      </c>
      <c r="E16" s="1083"/>
      <c r="F16" s="622" t="s">
        <v>1267</v>
      </c>
      <c r="G16" s="392" t="s">
        <v>1269</v>
      </c>
      <c r="H16" s="392" t="s">
        <v>1301</v>
      </c>
      <c r="I16" s="392">
        <v>1</v>
      </c>
      <c r="J16" s="392" t="s">
        <v>1155</v>
      </c>
      <c r="K16" s="623" t="s">
        <v>1346</v>
      </c>
    </row>
    <row r="17" spans="1:11" ht="16.95" customHeight="1" x14ac:dyDescent="0.3">
      <c r="A17" s="1042"/>
      <c r="B17" s="1079"/>
      <c r="C17" s="1074"/>
      <c r="D17" s="370" t="s">
        <v>1090</v>
      </c>
      <c r="E17" s="1083"/>
      <c r="F17" s="622" t="s">
        <v>2076</v>
      </c>
      <c r="G17" s="392" t="s">
        <v>2055</v>
      </c>
      <c r="H17" s="392" t="s">
        <v>1301</v>
      </c>
      <c r="I17" s="392">
        <v>1</v>
      </c>
      <c r="J17" s="392" t="s">
        <v>1092</v>
      </c>
      <c r="K17" s="623" t="s">
        <v>2043</v>
      </c>
    </row>
    <row r="18" spans="1:11" ht="16.95" customHeight="1" x14ac:dyDescent="0.3">
      <c r="A18" s="1042"/>
      <c r="B18" s="1079"/>
      <c r="C18" s="1074"/>
      <c r="D18" s="371" t="s">
        <v>1079</v>
      </c>
      <c r="E18" s="1083"/>
      <c r="F18" s="622" t="s">
        <v>1080</v>
      </c>
      <c r="G18" s="618" t="s">
        <v>2061</v>
      </c>
      <c r="H18" s="392" t="s">
        <v>1091</v>
      </c>
      <c r="I18" s="392">
        <v>25</v>
      </c>
      <c r="J18" s="392" t="s">
        <v>1308</v>
      </c>
      <c r="K18" s="623" t="s">
        <v>2062</v>
      </c>
    </row>
    <row r="19" spans="1:11" ht="16.95" customHeight="1" thickBot="1" x14ac:dyDescent="0.35">
      <c r="A19" s="1042"/>
      <c r="B19" s="1079"/>
      <c r="C19" s="1075"/>
      <c r="D19" s="372" t="s">
        <v>1094</v>
      </c>
      <c r="E19" s="1084"/>
      <c r="F19" s="622" t="s">
        <v>1095</v>
      </c>
      <c r="G19" s="618" t="s">
        <v>2047</v>
      </c>
      <c r="H19" s="392" t="s">
        <v>1301</v>
      </c>
      <c r="I19" s="392" t="s">
        <v>2048</v>
      </c>
      <c r="J19" s="392" t="s">
        <v>1446</v>
      </c>
      <c r="K19" s="623" t="s">
        <v>2090</v>
      </c>
    </row>
    <row r="20" spans="1:11" ht="16.95" customHeight="1" x14ac:dyDescent="0.3">
      <c r="A20" s="1042"/>
      <c r="B20" s="1079"/>
      <c r="C20" s="1073" t="s">
        <v>184</v>
      </c>
      <c r="D20" s="369" t="s">
        <v>1198</v>
      </c>
      <c r="E20" s="1082">
        <v>3</v>
      </c>
      <c r="F20" s="622" t="s">
        <v>1198</v>
      </c>
      <c r="G20" s="392" t="s">
        <v>1269</v>
      </c>
      <c r="H20" s="392" t="s">
        <v>1081</v>
      </c>
      <c r="I20" s="392">
        <v>1</v>
      </c>
      <c r="J20" s="392" t="s">
        <v>1155</v>
      </c>
      <c r="K20" s="623" t="s">
        <v>2091</v>
      </c>
    </row>
    <row r="21" spans="1:11" ht="16.95" customHeight="1" x14ac:dyDescent="0.3">
      <c r="A21" s="1042"/>
      <c r="B21" s="1079"/>
      <c r="C21" s="1074"/>
      <c r="D21" s="370" t="s">
        <v>1199</v>
      </c>
      <c r="E21" s="1083"/>
      <c r="F21" s="622" t="s">
        <v>1270</v>
      </c>
      <c r="G21" s="392" t="s">
        <v>1286</v>
      </c>
      <c r="H21" s="392" t="s">
        <v>1127</v>
      </c>
      <c r="I21" s="392">
        <v>1</v>
      </c>
      <c r="J21" s="392" t="s">
        <v>1268</v>
      </c>
      <c r="K21" s="623" t="s">
        <v>1093</v>
      </c>
    </row>
    <row r="22" spans="1:11" ht="16.95" customHeight="1" x14ac:dyDescent="0.3">
      <c r="A22" s="1042"/>
      <c r="B22" s="1079"/>
      <c r="C22" s="1074"/>
      <c r="D22" s="370" t="s">
        <v>1200</v>
      </c>
      <c r="E22" s="1083"/>
      <c r="F22" s="622" t="s">
        <v>1267</v>
      </c>
      <c r="G22" s="392" t="s">
        <v>1269</v>
      </c>
      <c r="H22" s="392" t="s">
        <v>1301</v>
      </c>
      <c r="I22" s="392">
        <v>1</v>
      </c>
      <c r="J22" s="392" t="s">
        <v>1155</v>
      </c>
      <c r="K22" s="623" t="s">
        <v>1346</v>
      </c>
    </row>
    <row r="23" spans="1:11" ht="16.95" customHeight="1" x14ac:dyDescent="0.3">
      <c r="A23" s="1042"/>
      <c r="B23" s="1079"/>
      <c r="C23" s="1074"/>
      <c r="D23" s="370" t="s">
        <v>1090</v>
      </c>
      <c r="E23" s="1083"/>
      <c r="F23" s="622" t="s">
        <v>1096</v>
      </c>
      <c r="G23" s="392" t="s">
        <v>2050</v>
      </c>
      <c r="H23" s="392" t="s">
        <v>1301</v>
      </c>
      <c r="I23" s="392">
        <v>1</v>
      </c>
      <c r="J23" s="392" t="s">
        <v>1092</v>
      </c>
      <c r="K23" s="623" t="s">
        <v>2043</v>
      </c>
    </row>
    <row r="24" spans="1:11" ht="16.95" customHeight="1" x14ac:dyDescent="0.3">
      <c r="A24" s="1042"/>
      <c r="B24" s="1079"/>
      <c r="C24" s="1074"/>
      <c r="D24" s="371" t="s">
        <v>1079</v>
      </c>
      <c r="E24" s="1083"/>
      <c r="F24" s="622" t="s">
        <v>1080</v>
      </c>
      <c r="G24" s="618" t="s">
        <v>2061</v>
      </c>
      <c r="H24" s="392" t="s">
        <v>1091</v>
      </c>
      <c r="I24" s="392">
        <v>25</v>
      </c>
      <c r="J24" s="392" t="s">
        <v>1308</v>
      </c>
      <c r="K24" s="623" t="s">
        <v>2062</v>
      </c>
    </row>
    <row r="25" spans="1:11" ht="16.95" customHeight="1" thickBot="1" x14ac:dyDescent="0.35">
      <c r="A25" s="1042"/>
      <c r="B25" s="1079"/>
      <c r="C25" s="1074"/>
      <c r="D25" s="371" t="s">
        <v>1094</v>
      </c>
      <c r="E25" s="1083"/>
      <c r="F25" s="622" t="s">
        <v>1095</v>
      </c>
      <c r="G25" s="618" t="s">
        <v>2047</v>
      </c>
      <c r="H25" s="392" t="s">
        <v>1301</v>
      </c>
      <c r="I25" s="392" t="s">
        <v>2048</v>
      </c>
      <c r="J25" s="392" t="s">
        <v>1446</v>
      </c>
      <c r="K25" s="623" t="s">
        <v>2090</v>
      </c>
    </row>
    <row r="26" spans="1:11" ht="16.95" customHeight="1" x14ac:dyDescent="0.3">
      <c r="A26" s="1042"/>
      <c r="B26" s="1053" t="s">
        <v>165</v>
      </c>
      <c r="C26" s="1068" t="s">
        <v>182</v>
      </c>
      <c r="D26" s="1069"/>
      <c r="E26" s="1082">
        <v>4</v>
      </c>
      <c r="F26" s="622" t="s">
        <v>1097</v>
      </c>
      <c r="G26" s="392" t="s">
        <v>887</v>
      </c>
      <c r="H26" s="392" t="s">
        <v>1378</v>
      </c>
      <c r="I26" s="392">
        <v>100</v>
      </c>
      <c r="J26" s="392" t="s">
        <v>1098</v>
      </c>
      <c r="K26" s="623" t="s">
        <v>1099</v>
      </c>
    </row>
    <row r="27" spans="1:11" ht="16.95" customHeight="1" x14ac:dyDescent="0.3">
      <c r="A27" s="1042"/>
      <c r="B27" s="1054"/>
      <c r="C27" s="1059" t="s">
        <v>1198</v>
      </c>
      <c r="D27" s="1060"/>
      <c r="E27" s="1083"/>
      <c r="F27" s="622" t="s">
        <v>1198</v>
      </c>
      <c r="G27" s="392" t="s">
        <v>1269</v>
      </c>
      <c r="H27" s="392" t="s">
        <v>1081</v>
      </c>
      <c r="I27" s="392">
        <v>1</v>
      </c>
      <c r="J27" s="392" t="s">
        <v>1155</v>
      </c>
      <c r="K27" s="623" t="s">
        <v>2091</v>
      </c>
    </row>
    <row r="28" spans="1:11" ht="16.95" customHeight="1" x14ac:dyDescent="0.3">
      <c r="A28" s="1042"/>
      <c r="B28" s="1054"/>
      <c r="C28" s="1059" t="s">
        <v>1199</v>
      </c>
      <c r="D28" s="1060"/>
      <c r="E28" s="1083"/>
      <c r="F28" s="622" t="s">
        <v>1270</v>
      </c>
      <c r="G28" s="392" t="s">
        <v>1286</v>
      </c>
      <c r="H28" s="392" t="s">
        <v>1127</v>
      </c>
      <c r="I28" s="392">
        <v>1</v>
      </c>
      <c r="J28" s="392" t="s">
        <v>1268</v>
      </c>
      <c r="K28" s="623" t="s">
        <v>1093</v>
      </c>
    </row>
    <row r="29" spans="1:11" ht="16.95" customHeight="1" x14ac:dyDescent="0.3">
      <c r="A29" s="1042"/>
      <c r="B29" s="1054"/>
      <c r="C29" s="1059" t="s">
        <v>1200</v>
      </c>
      <c r="D29" s="1060"/>
      <c r="E29" s="1083"/>
      <c r="F29" s="622" t="s">
        <v>1267</v>
      </c>
      <c r="G29" s="392" t="s">
        <v>1269</v>
      </c>
      <c r="H29" s="392" t="s">
        <v>1301</v>
      </c>
      <c r="I29" s="392">
        <v>1</v>
      </c>
      <c r="J29" s="392" t="s">
        <v>1155</v>
      </c>
      <c r="K29" s="623" t="s">
        <v>1346</v>
      </c>
    </row>
    <row r="30" spans="1:11" ht="16.95" customHeight="1" x14ac:dyDescent="0.3">
      <c r="A30" s="1042"/>
      <c r="B30" s="1054"/>
      <c r="C30" s="1059" t="s">
        <v>1100</v>
      </c>
      <c r="D30" s="1060"/>
      <c r="E30" s="1083"/>
      <c r="F30" s="622" t="s">
        <v>1101</v>
      </c>
      <c r="G30" s="392" t="s">
        <v>1076</v>
      </c>
      <c r="H30" s="392" t="s">
        <v>1091</v>
      </c>
      <c r="I30" s="392">
        <v>1</v>
      </c>
      <c r="J30" s="392" t="s">
        <v>1077</v>
      </c>
      <c r="K30" s="623" t="s">
        <v>2083</v>
      </c>
    </row>
    <row r="31" spans="1:11" ht="16.95" customHeight="1" x14ac:dyDescent="0.3">
      <c r="A31" s="1042"/>
      <c r="B31" s="1054"/>
      <c r="C31" s="1059" t="s">
        <v>1079</v>
      </c>
      <c r="D31" s="1060"/>
      <c r="E31" s="1083"/>
      <c r="F31" s="622" t="s">
        <v>1080</v>
      </c>
      <c r="G31" s="618" t="s">
        <v>2061</v>
      </c>
      <c r="H31" s="392" t="s">
        <v>1091</v>
      </c>
      <c r="I31" s="392">
        <v>25</v>
      </c>
      <c r="J31" s="392" t="s">
        <v>1308</v>
      </c>
      <c r="K31" s="623" t="s">
        <v>2062</v>
      </c>
    </row>
    <row r="32" spans="1:11" ht="19.8" customHeight="1" x14ac:dyDescent="0.3">
      <c r="A32" s="1042"/>
      <c r="B32" s="1054"/>
      <c r="C32" s="1059" t="s">
        <v>1232</v>
      </c>
      <c r="D32" s="1060"/>
      <c r="E32" s="1083"/>
      <c r="F32" s="624" t="s">
        <v>2085</v>
      </c>
      <c r="G32" s="392" t="s">
        <v>1086</v>
      </c>
      <c r="H32" s="392" t="s">
        <v>1087</v>
      </c>
      <c r="I32" s="392">
        <v>100</v>
      </c>
      <c r="J32" s="392" t="s">
        <v>1088</v>
      </c>
      <c r="K32" s="623" t="s">
        <v>1103</v>
      </c>
    </row>
    <row r="33" spans="1:11" ht="16.95" customHeight="1" thickBot="1" x14ac:dyDescent="0.35">
      <c r="A33" s="1042"/>
      <c r="B33" s="1055"/>
      <c r="C33" s="1107" t="s">
        <v>1443</v>
      </c>
      <c r="D33" s="1108"/>
      <c r="E33" s="1084"/>
      <c r="F33" s="622" t="s">
        <v>1104</v>
      </c>
      <c r="G33" s="618" t="s">
        <v>2047</v>
      </c>
      <c r="H33" s="392" t="s">
        <v>2080</v>
      </c>
      <c r="I33" s="392" t="s">
        <v>2079</v>
      </c>
      <c r="J33" s="392" t="s">
        <v>1446</v>
      </c>
      <c r="K33" s="623" t="s">
        <v>2081</v>
      </c>
    </row>
    <row r="34" spans="1:11" ht="16.95" customHeight="1" x14ac:dyDescent="0.3">
      <c r="A34" s="1041" t="s">
        <v>1083</v>
      </c>
      <c r="B34" s="1100" t="s">
        <v>170</v>
      </c>
      <c r="C34" s="1074" t="s">
        <v>1105</v>
      </c>
      <c r="D34" s="369" t="s">
        <v>1198</v>
      </c>
      <c r="E34" s="1082">
        <v>5</v>
      </c>
      <c r="F34" s="622" t="s">
        <v>1198</v>
      </c>
      <c r="G34" s="392" t="s">
        <v>1269</v>
      </c>
      <c r="H34" s="392" t="s">
        <v>1081</v>
      </c>
      <c r="I34" s="392">
        <v>1</v>
      </c>
      <c r="J34" s="392" t="s">
        <v>1155</v>
      </c>
      <c r="K34" s="623" t="s">
        <v>2091</v>
      </c>
    </row>
    <row r="35" spans="1:11" ht="16.95" customHeight="1" x14ac:dyDescent="0.3">
      <c r="A35" s="1042"/>
      <c r="B35" s="1100"/>
      <c r="C35" s="1074"/>
      <c r="D35" s="370" t="s">
        <v>1199</v>
      </c>
      <c r="E35" s="1083"/>
      <c r="F35" s="622" t="s">
        <v>1270</v>
      </c>
      <c r="G35" s="392" t="s">
        <v>1286</v>
      </c>
      <c r="H35" s="392" t="s">
        <v>1127</v>
      </c>
      <c r="I35" s="392">
        <v>1</v>
      </c>
      <c r="J35" s="392" t="s">
        <v>1268</v>
      </c>
      <c r="K35" s="623" t="s">
        <v>1093</v>
      </c>
    </row>
    <row r="36" spans="1:11" ht="16.95" customHeight="1" x14ac:dyDescent="0.3">
      <c r="A36" s="1042"/>
      <c r="B36" s="1100"/>
      <c r="C36" s="1074"/>
      <c r="D36" s="370" t="s">
        <v>1200</v>
      </c>
      <c r="E36" s="1083"/>
      <c r="F36" s="622" t="s">
        <v>1267</v>
      </c>
      <c r="G36" s="392" t="s">
        <v>1269</v>
      </c>
      <c r="H36" s="392" t="s">
        <v>1301</v>
      </c>
      <c r="I36" s="392">
        <v>1</v>
      </c>
      <c r="J36" s="392" t="s">
        <v>1155</v>
      </c>
      <c r="K36" s="623" t="s">
        <v>1346</v>
      </c>
    </row>
    <row r="37" spans="1:11" ht="16.95" customHeight="1" x14ac:dyDescent="0.3">
      <c r="A37" s="1042"/>
      <c r="B37" s="1101"/>
      <c r="C37" s="1074"/>
      <c r="D37" s="370" t="s">
        <v>1090</v>
      </c>
      <c r="E37" s="1083"/>
      <c r="F37" s="622" t="s">
        <v>1106</v>
      </c>
      <c r="G37" s="392" t="s">
        <v>2050</v>
      </c>
      <c r="H37" s="392" t="s">
        <v>1301</v>
      </c>
      <c r="I37" s="392">
        <v>1</v>
      </c>
      <c r="J37" s="392" t="s">
        <v>1092</v>
      </c>
      <c r="K37" s="623" t="s">
        <v>2043</v>
      </c>
    </row>
    <row r="38" spans="1:11" ht="16.95" customHeight="1" x14ac:dyDescent="0.3">
      <c r="A38" s="1042"/>
      <c r="B38" s="1101"/>
      <c r="C38" s="1074"/>
      <c r="D38" s="371" t="s">
        <v>1079</v>
      </c>
      <c r="E38" s="1083"/>
      <c r="F38" s="622" t="s">
        <v>1080</v>
      </c>
      <c r="G38" s="618" t="s">
        <v>2061</v>
      </c>
      <c r="H38" s="392" t="s">
        <v>1091</v>
      </c>
      <c r="I38" s="392">
        <v>25</v>
      </c>
      <c r="J38" s="392" t="s">
        <v>1308</v>
      </c>
      <c r="K38" s="623" t="s">
        <v>2062</v>
      </c>
    </row>
    <row r="39" spans="1:11" ht="16.95" customHeight="1" x14ac:dyDescent="0.3">
      <c r="A39" s="1042"/>
      <c r="B39" s="1101"/>
      <c r="C39" s="1074"/>
      <c r="D39" s="370" t="s">
        <v>1094</v>
      </c>
      <c r="E39" s="1083"/>
      <c r="F39" s="622" t="s">
        <v>1095</v>
      </c>
      <c r="G39" s="618" t="s">
        <v>2047</v>
      </c>
      <c r="H39" s="392" t="s">
        <v>1301</v>
      </c>
      <c r="I39" s="392" t="s">
        <v>2048</v>
      </c>
      <c r="J39" s="392" t="s">
        <v>1446</v>
      </c>
      <c r="K39" s="623" t="s">
        <v>2090</v>
      </c>
    </row>
    <row r="40" spans="1:11" ht="16.95" customHeight="1" thickBot="1" x14ac:dyDescent="0.35">
      <c r="A40" s="1042"/>
      <c r="B40" s="1101"/>
      <c r="C40" s="1075"/>
      <c r="D40" s="371" t="s">
        <v>1230</v>
      </c>
      <c r="E40" s="1084"/>
      <c r="F40" s="622" t="s">
        <v>2095</v>
      </c>
      <c r="G40" s="392" t="s">
        <v>2063</v>
      </c>
      <c r="H40" s="392" t="s">
        <v>1081</v>
      </c>
      <c r="I40" s="392">
        <v>1</v>
      </c>
      <c r="J40" s="392" t="s">
        <v>1088</v>
      </c>
      <c r="K40" s="623" t="s">
        <v>2096</v>
      </c>
    </row>
    <row r="41" spans="1:11" ht="16.95" customHeight="1" x14ac:dyDescent="0.3">
      <c r="A41" s="1042"/>
      <c r="B41" s="1101"/>
      <c r="C41" s="1073" t="s">
        <v>1108</v>
      </c>
      <c r="D41" s="368" t="s">
        <v>1198</v>
      </c>
      <c r="E41" s="1082">
        <v>6</v>
      </c>
      <c r="F41" s="622" t="s">
        <v>1198</v>
      </c>
      <c r="G41" s="392" t="s">
        <v>1269</v>
      </c>
      <c r="H41" s="392" t="s">
        <v>1081</v>
      </c>
      <c r="I41" s="392">
        <v>1</v>
      </c>
      <c r="J41" s="392" t="s">
        <v>1155</v>
      </c>
      <c r="K41" s="623" t="s">
        <v>2091</v>
      </c>
    </row>
    <row r="42" spans="1:11" ht="16.95" customHeight="1" x14ac:dyDescent="0.3">
      <c r="A42" s="1042"/>
      <c r="B42" s="1101"/>
      <c r="C42" s="1074"/>
      <c r="D42" s="370" t="s">
        <v>1199</v>
      </c>
      <c r="E42" s="1083"/>
      <c r="F42" s="622" t="s">
        <v>1270</v>
      </c>
      <c r="G42" s="392" t="s">
        <v>1286</v>
      </c>
      <c r="H42" s="392" t="s">
        <v>1127</v>
      </c>
      <c r="I42" s="392">
        <v>1</v>
      </c>
      <c r="J42" s="392" t="s">
        <v>1268</v>
      </c>
      <c r="K42" s="623" t="s">
        <v>1093</v>
      </c>
    </row>
    <row r="43" spans="1:11" ht="16.95" customHeight="1" x14ac:dyDescent="0.3">
      <c r="A43" s="1042"/>
      <c r="B43" s="1101"/>
      <c r="C43" s="1074"/>
      <c r="D43" s="370" t="s">
        <v>1200</v>
      </c>
      <c r="E43" s="1083"/>
      <c r="F43" s="622" t="s">
        <v>1267</v>
      </c>
      <c r="G43" s="392" t="s">
        <v>1269</v>
      </c>
      <c r="H43" s="392" t="s">
        <v>1301</v>
      </c>
      <c r="I43" s="392">
        <v>1</v>
      </c>
      <c r="J43" s="392" t="s">
        <v>1155</v>
      </c>
      <c r="K43" s="623" t="s">
        <v>1346</v>
      </c>
    </row>
    <row r="44" spans="1:11" ht="16.95" customHeight="1" x14ac:dyDescent="0.3">
      <c r="A44" s="1042"/>
      <c r="B44" s="1101"/>
      <c r="C44" s="1074"/>
      <c r="D44" s="370" t="s">
        <v>1090</v>
      </c>
      <c r="E44" s="1083"/>
      <c r="F44" s="622" t="s">
        <v>1109</v>
      </c>
      <c r="G44" s="392" t="s">
        <v>2050</v>
      </c>
      <c r="H44" s="392" t="s">
        <v>2589</v>
      </c>
      <c r="I44" s="392">
        <v>1</v>
      </c>
      <c r="J44" s="392" t="s">
        <v>1092</v>
      </c>
      <c r="K44" s="623" t="s">
        <v>2043</v>
      </c>
    </row>
    <row r="45" spans="1:11" ht="16.95" customHeight="1" x14ac:dyDescent="0.3">
      <c r="A45" s="1042"/>
      <c r="B45" s="1101"/>
      <c r="C45" s="1074"/>
      <c r="D45" s="371" t="s">
        <v>1079</v>
      </c>
      <c r="E45" s="1083"/>
      <c r="F45" s="622" t="s">
        <v>1080</v>
      </c>
      <c r="G45" s="618" t="s">
        <v>2061</v>
      </c>
      <c r="H45" s="392" t="s">
        <v>1091</v>
      </c>
      <c r="I45" s="392">
        <v>25</v>
      </c>
      <c r="J45" s="392" t="s">
        <v>1308</v>
      </c>
      <c r="K45" s="623" t="s">
        <v>2062</v>
      </c>
    </row>
    <row r="46" spans="1:11" ht="16.95" customHeight="1" thickBot="1" x14ac:dyDescent="0.35">
      <c r="A46" s="1042"/>
      <c r="B46" s="1101"/>
      <c r="C46" s="1075"/>
      <c r="D46" s="372" t="s">
        <v>1094</v>
      </c>
      <c r="E46" s="1083"/>
      <c r="F46" s="622" t="s">
        <v>1095</v>
      </c>
      <c r="G46" s="618" t="s">
        <v>2047</v>
      </c>
      <c r="H46" s="392" t="s">
        <v>1301</v>
      </c>
      <c r="I46" s="392" t="s">
        <v>2048</v>
      </c>
      <c r="J46" s="392" t="s">
        <v>1446</v>
      </c>
      <c r="K46" s="623" t="s">
        <v>2090</v>
      </c>
    </row>
    <row r="47" spans="1:11" ht="16.95" customHeight="1" x14ac:dyDescent="0.3">
      <c r="A47" s="1042"/>
      <c r="B47" s="1101"/>
      <c r="C47" s="1073" t="s">
        <v>1110</v>
      </c>
      <c r="D47" s="369" t="s">
        <v>1198</v>
      </c>
      <c r="E47" s="1082">
        <v>7</v>
      </c>
      <c r="F47" s="622" t="s">
        <v>1198</v>
      </c>
      <c r="G47" s="392" t="s">
        <v>1269</v>
      </c>
      <c r="H47" s="392" t="s">
        <v>1081</v>
      </c>
      <c r="I47" s="392">
        <v>1</v>
      </c>
      <c r="J47" s="392" t="s">
        <v>1155</v>
      </c>
      <c r="K47" s="623" t="s">
        <v>2025</v>
      </c>
    </row>
    <row r="48" spans="1:11" ht="16.95" customHeight="1" x14ac:dyDescent="0.3">
      <c r="A48" s="1042"/>
      <c r="B48" s="1101"/>
      <c r="C48" s="1074"/>
      <c r="D48" s="370" t="s">
        <v>1199</v>
      </c>
      <c r="E48" s="1083"/>
      <c r="F48" s="622" t="s">
        <v>1270</v>
      </c>
      <c r="G48" s="392" t="s">
        <v>1286</v>
      </c>
      <c r="H48" s="392" t="s">
        <v>1127</v>
      </c>
      <c r="I48" s="392">
        <v>1</v>
      </c>
      <c r="J48" s="392" t="s">
        <v>1268</v>
      </c>
      <c r="K48" s="623" t="s">
        <v>1093</v>
      </c>
    </row>
    <row r="49" spans="1:11" ht="16.95" customHeight="1" x14ac:dyDescent="0.3">
      <c r="A49" s="1042"/>
      <c r="B49" s="1101"/>
      <c r="C49" s="1074"/>
      <c r="D49" s="370" t="s">
        <v>1200</v>
      </c>
      <c r="E49" s="1083"/>
      <c r="F49" s="622" t="s">
        <v>1267</v>
      </c>
      <c r="G49" s="392" t="s">
        <v>1269</v>
      </c>
      <c r="H49" s="392" t="s">
        <v>1301</v>
      </c>
      <c r="I49" s="392">
        <v>1</v>
      </c>
      <c r="J49" s="392" t="s">
        <v>1155</v>
      </c>
      <c r="K49" s="623" t="s">
        <v>1346</v>
      </c>
    </row>
    <row r="50" spans="1:11" ht="16.95" customHeight="1" x14ac:dyDescent="0.3">
      <c r="A50" s="1042"/>
      <c r="B50" s="1101"/>
      <c r="C50" s="1074"/>
      <c r="D50" s="370" t="s">
        <v>1111</v>
      </c>
      <c r="E50" s="1083"/>
      <c r="F50" s="622" t="s">
        <v>2590</v>
      </c>
      <c r="G50" s="392" t="s">
        <v>2050</v>
      </c>
      <c r="H50" s="392" t="s">
        <v>2589</v>
      </c>
      <c r="I50" s="392">
        <v>1</v>
      </c>
      <c r="J50" s="392" t="s">
        <v>1092</v>
      </c>
      <c r="K50" s="623" t="s">
        <v>2043</v>
      </c>
    </row>
    <row r="51" spans="1:11" ht="16.95" customHeight="1" x14ac:dyDescent="0.3">
      <c r="A51" s="1042"/>
      <c r="B51" s="1101"/>
      <c r="C51" s="1074"/>
      <c r="D51" s="371" t="s">
        <v>1079</v>
      </c>
      <c r="E51" s="1083"/>
      <c r="F51" s="622" t="s">
        <v>1080</v>
      </c>
      <c r="G51" s="618" t="s">
        <v>2061</v>
      </c>
      <c r="H51" s="392" t="s">
        <v>1091</v>
      </c>
      <c r="I51" s="392">
        <v>25</v>
      </c>
      <c r="J51" s="392" t="s">
        <v>1308</v>
      </c>
      <c r="K51" s="623" t="s">
        <v>2062</v>
      </c>
    </row>
    <row r="52" spans="1:11" ht="16.95" customHeight="1" x14ac:dyDescent="0.3">
      <c r="A52" s="1042"/>
      <c r="B52" s="1102"/>
      <c r="C52" s="1074"/>
      <c r="D52" s="370" t="s">
        <v>1094</v>
      </c>
      <c r="E52" s="1083"/>
      <c r="F52" s="622" t="s">
        <v>1095</v>
      </c>
      <c r="G52" s="618" t="s">
        <v>2047</v>
      </c>
      <c r="H52" s="392" t="s">
        <v>1301</v>
      </c>
      <c r="I52" s="392" t="s">
        <v>2048</v>
      </c>
      <c r="J52" s="392" t="s">
        <v>1308</v>
      </c>
      <c r="K52" s="623" t="s">
        <v>2090</v>
      </c>
    </row>
    <row r="53" spans="1:11" ht="16.95" customHeight="1" thickBot="1" x14ac:dyDescent="0.35">
      <c r="A53" s="1042"/>
      <c r="B53" s="1102"/>
      <c r="C53" s="1075"/>
      <c r="D53" s="371" t="s">
        <v>1107</v>
      </c>
      <c r="E53" s="1084"/>
      <c r="F53" s="622" t="s">
        <v>1247</v>
      </c>
      <c r="G53" s="392" t="s">
        <v>1248</v>
      </c>
      <c r="H53" s="392" t="s">
        <v>1249</v>
      </c>
      <c r="I53" s="392">
        <v>100</v>
      </c>
      <c r="J53" s="392" t="s">
        <v>1088</v>
      </c>
      <c r="K53" s="623" t="s">
        <v>2086</v>
      </c>
    </row>
    <row r="54" spans="1:11" ht="16.95" customHeight="1" x14ac:dyDescent="0.3">
      <c r="A54" s="1042"/>
      <c r="B54" s="1078" t="s">
        <v>167</v>
      </c>
      <c r="C54" s="1080" t="s">
        <v>185</v>
      </c>
      <c r="D54" s="368" t="s">
        <v>1112</v>
      </c>
      <c r="E54" s="1082">
        <v>8</v>
      </c>
      <c r="F54" s="622" t="s">
        <v>1396</v>
      </c>
      <c r="G54" s="392" t="s">
        <v>1113</v>
      </c>
      <c r="H54" s="392" t="s">
        <v>2094</v>
      </c>
      <c r="I54" s="392">
        <v>1</v>
      </c>
      <c r="J54" s="392" t="s">
        <v>1088</v>
      </c>
      <c r="K54" s="623" t="s">
        <v>1114</v>
      </c>
    </row>
    <row r="55" spans="1:11" ht="16.95" customHeight="1" x14ac:dyDescent="0.3">
      <c r="A55" s="1042"/>
      <c r="B55" s="1079"/>
      <c r="C55" s="1081"/>
      <c r="D55" s="369" t="s">
        <v>1198</v>
      </c>
      <c r="E55" s="1083"/>
      <c r="F55" s="622" t="s">
        <v>1198</v>
      </c>
      <c r="G55" s="392" t="s">
        <v>1269</v>
      </c>
      <c r="H55" s="392" t="s">
        <v>1081</v>
      </c>
      <c r="I55" s="392">
        <v>1</v>
      </c>
      <c r="J55" s="392" t="s">
        <v>1155</v>
      </c>
      <c r="K55" s="623" t="s">
        <v>2091</v>
      </c>
    </row>
    <row r="56" spans="1:11" ht="16.95" customHeight="1" x14ac:dyDescent="0.3">
      <c r="A56" s="1042"/>
      <c r="B56" s="1079"/>
      <c r="C56" s="1081"/>
      <c r="D56" s="370" t="s">
        <v>1199</v>
      </c>
      <c r="E56" s="1083"/>
      <c r="F56" s="622" t="s">
        <v>1270</v>
      </c>
      <c r="G56" s="392" t="s">
        <v>1286</v>
      </c>
      <c r="H56" s="392" t="s">
        <v>1127</v>
      </c>
      <c r="I56" s="392">
        <v>1</v>
      </c>
      <c r="J56" s="392" t="s">
        <v>1268</v>
      </c>
      <c r="K56" s="623" t="s">
        <v>1093</v>
      </c>
    </row>
    <row r="57" spans="1:11" ht="16.95" customHeight="1" x14ac:dyDescent="0.3">
      <c r="A57" s="1042"/>
      <c r="B57" s="1079"/>
      <c r="C57" s="1081"/>
      <c r="D57" s="370" t="s">
        <v>1200</v>
      </c>
      <c r="E57" s="1083"/>
      <c r="F57" s="622" t="s">
        <v>1267</v>
      </c>
      <c r="G57" s="392" t="s">
        <v>1269</v>
      </c>
      <c r="H57" s="392" t="s">
        <v>1301</v>
      </c>
      <c r="I57" s="392">
        <v>1</v>
      </c>
      <c r="J57" s="392" t="s">
        <v>1155</v>
      </c>
      <c r="K57" s="623" t="s">
        <v>1346</v>
      </c>
    </row>
    <row r="58" spans="1:11" ht="16.95" customHeight="1" x14ac:dyDescent="0.3">
      <c r="A58" s="1042"/>
      <c r="B58" s="1079"/>
      <c r="C58" s="1081"/>
      <c r="D58" s="370" t="s">
        <v>1115</v>
      </c>
      <c r="E58" s="1083"/>
      <c r="F58" s="622" t="s">
        <v>1116</v>
      </c>
      <c r="G58" s="392" t="s">
        <v>1076</v>
      </c>
      <c r="H58" s="392" t="s">
        <v>2088</v>
      </c>
      <c r="I58" s="392">
        <v>1</v>
      </c>
      <c r="J58" s="392" t="s">
        <v>1077</v>
      </c>
      <c r="K58" s="623" t="s">
        <v>1078</v>
      </c>
    </row>
    <row r="59" spans="1:11" ht="16.95" customHeight="1" x14ac:dyDescent="0.3">
      <c r="A59" s="1042"/>
      <c r="B59" s="1079"/>
      <c r="C59" s="1081"/>
      <c r="D59" s="371" t="s">
        <v>1079</v>
      </c>
      <c r="E59" s="1083"/>
      <c r="F59" s="622" t="s">
        <v>1080</v>
      </c>
      <c r="G59" s="618" t="s">
        <v>2061</v>
      </c>
      <c r="H59" s="392" t="s">
        <v>1091</v>
      </c>
      <c r="I59" s="392">
        <v>25</v>
      </c>
      <c r="J59" s="392" t="s">
        <v>1308</v>
      </c>
      <c r="K59" s="623" t="s">
        <v>2062</v>
      </c>
    </row>
    <row r="60" spans="1:11" ht="16.95" customHeight="1" x14ac:dyDescent="0.3">
      <c r="A60" s="1042"/>
      <c r="B60" s="1079"/>
      <c r="C60" s="1081"/>
      <c r="D60" s="370" t="s">
        <v>1094</v>
      </c>
      <c r="E60" s="1083"/>
      <c r="F60" s="622" t="s">
        <v>1095</v>
      </c>
      <c r="G60" s="618" t="s">
        <v>2047</v>
      </c>
      <c r="H60" s="392" t="s">
        <v>1301</v>
      </c>
      <c r="I60" s="392" t="s">
        <v>2048</v>
      </c>
      <c r="J60" s="392" t="s">
        <v>1446</v>
      </c>
      <c r="K60" s="623" t="s">
        <v>2090</v>
      </c>
    </row>
    <row r="61" spans="1:11" ht="16.95" customHeight="1" x14ac:dyDescent="0.3">
      <c r="A61" s="1042"/>
      <c r="B61" s="1079"/>
      <c r="C61" s="1081"/>
      <c r="D61" s="370" t="s">
        <v>1117</v>
      </c>
      <c r="E61" s="1083"/>
      <c r="F61" s="622" t="s">
        <v>2089</v>
      </c>
      <c r="G61" s="392" t="s">
        <v>1118</v>
      </c>
      <c r="H61" s="392" t="s">
        <v>1345</v>
      </c>
      <c r="I61" s="392">
        <v>1</v>
      </c>
      <c r="J61" s="392" t="s">
        <v>1077</v>
      </c>
      <c r="K61" s="623" t="s">
        <v>1078</v>
      </c>
    </row>
    <row r="62" spans="1:11" ht="16.95" customHeight="1" thickBot="1" x14ac:dyDescent="0.35">
      <c r="A62" s="1042"/>
      <c r="B62" s="1079"/>
      <c r="C62" s="1103"/>
      <c r="D62" s="370" t="s">
        <v>1306</v>
      </c>
      <c r="E62" s="1084"/>
      <c r="F62" s="622" t="s">
        <v>1119</v>
      </c>
      <c r="G62" s="618" t="s">
        <v>2047</v>
      </c>
      <c r="H62" s="392" t="s">
        <v>1081</v>
      </c>
      <c r="I62" s="392" t="s">
        <v>2048</v>
      </c>
      <c r="J62" s="392" t="s">
        <v>1446</v>
      </c>
      <c r="K62" s="623" t="s">
        <v>1093</v>
      </c>
    </row>
    <row r="63" spans="1:11" ht="16.95" customHeight="1" x14ac:dyDescent="0.3">
      <c r="A63" s="1042"/>
      <c r="B63" s="1054"/>
      <c r="C63" s="1068" t="s">
        <v>1442</v>
      </c>
      <c r="D63" s="1069"/>
      <c r="E63" s="1104"/>
      <c r="F63" s="622" t="s">
        <v>1506</v>
      </c>
      <c r="G63" s="618" t="s">
        <v>2051</v>
      </c>
      <c r="H63" s="392" t="s">
        <v>2021</v>
      </c>
      <c r="I63" s="392" t="s">
        <v>2048</v>
      </c>
      <c r="J63" s="392" t="s">
        <v>1446</v>
      </c>
      <c r="K63" s="623" t="s">
        <v>1082</v>
      </c>
    </row>
    <row r="64" spans="1:11" ht="16.95" customHeight="1" x14ac:dyDescent="0.3">
      <c r="A64" s="1042"/>
      <c r="B64" s="1054"/>
      <c r="C64" s="1044" t="s">
        <v>1201</v>
      </c>
      <c r="D64" s="1045"/>
      <c r="E64" s="1105"/>
      <c r="F64" s="622" t="s">
        <v>1505</v>
      </c>
      <c r="G64" s="392" t="s">
        <v>2071</v>
      </c>
      <c r="H64" s="392" t="s">
        <v>2073</v>
      </c>
      <c r="I64" s="392">
        <v>50</v>
      </c>
      <c r="J64" s="392" t="s">
        <v>1447</v>
      </c>
      <c r="K64" s="623" t="s">
        <v>1093</v>
      </c>
    </row>
    <row r="65" spans="1:11" ht="16.95" customHeight="1" x14ac:dyDescent="0.3">
      <c r="A65" s="1042"/>
      <c r="B65" s="1054"/>
      <c r="C65" s="1044" t="s">
        <v>1120</v>
      </c>
      <c r="D65" s="1045"/>
      <c r="E65" s="1105"/>
      <c r="F65" s="622" t="s">
        <v>1121</v>
      </c>
      <c r="G65" s="392" t="s">
        <v>1086</v>
      </c>
      <c r="H65" s="392" t="s">
        <v>2591</v>
      </c>
      <c r="I65" s="392">
        <v>100</v>
      </c>
      <c r="J65" s="392" t="s">
        <v>1088</v>
      </c>
      <c r="K65" s="623" t="s">
        <v>2101</v>
      </c>
    </row>
    <row r="66" spans="1:11" ht="16.95" customHeight="1" thickBot="1" x14ac:dyDescent="0.35">
      <c r="A66" s="1042"/>
      <c r="B66" s="1055"/>
      <c r="C66" s="1064" t="s">
        <v>1122</v>
      </c>
      <c r="D66" s="1065"/>
      <c r="E66" s="1105"/>
      <c r="F66" s="622" t="s">
        <v>1123</v>
      </c>
      <c r="G66" s="392" t="s">
        <v>1124</v>
      </c>
      <c r="H66" s="392" t="s">
        <v>2594</v>
      </c>
      <c r="I66" s="392">
        <v>100</v>
      </c>
      <c r="J66" s="392" t="s">
        <v>1098</v>
      </c>
      <c r="K66" s="623" t="s">
        <v>1099</v>
      </c>
    </row>
    <row r="67" spans="1:11" ht="16.95" customHeight="1" x14ac:dyDescent="0.3">
      <c r="A67" s="1042"/>
      <c r="B67" s="1056" t="s">
        <v>1125</v>
      </c>
      <c r="C67" s="1090" t="s">
        <v>1512</v>
      </c>
      <c r="D67" s="1091"/>
      <c r="E67" s="1105"/>
      <c r="F67" s="622" t="s">
        <v>1126</v>
      </c>
      <c r="G67" s="392" t="s">
        <v>2053</v>
      </c>
      <c r="H67" s="392" t="s">
        <v>1127</v>
      </c>
      <c r="I67" s="392">
        <v>1</v>
      </c>
      <c r="J67" s="392" t="s">
        <v>1128</v>
      </c>
      <c r="K67" s="623" t="s">
        <v>1093</v>
      </c>
    </row>
    <row r="68" spans="1:11" ht="16.95" customHeight="1" thickBot="1" x14ac:dyDescent="0.35">
      <c r="A68" s="1042"/>
      <c r="B68" s="1058"/>
      <c r="C68" s="1092" t="s">
        <v>1129</v>
      </c>
      <c r="D68" s="1093"/>
      <c r="E68" s="1106"/>
      <c r="F68" s="622" t="s">
        <v>1130</v>
      </c>
      <c r="G68" s="392" t="s">
        <v>2058</v>
      </c>
      <c r="H68" s="392" t="s">
        <v>1091</v>
      </c>
      <c r="I68" s="392">
        <v>1</v>
      </c>
      <c r="J68" s="392" t="s">
        <v>1227</v>
      </c>
      <c r="K68" s="623" t="s">
        <v>1093</v>
      </c>
    </row>
    <row r="69" spans="1:11" ht="16.95" customHeight="1" x14ac:dyDescent="0.3">
      <c r="A69" s="1042"/>
      <c r="B69" s="1094" t="s">
        <v>168</v>
      </c>
      <c r="C69" s="1097" t="s">
        <v>168</v>
      </c>
      <c r="D69" s="373" t="s">
        <v>1131</v>
      </c>
      <c r="E69" s="1082">
        <v>9</v>
      </c>
      <c r="F69" s="622" t="s">
        <v>1397</v>
      </c>
      <c r="G69" s="392" t="s">
        <v>1124</v>
      </c>
      <c r="H69" s="392" t="s">
        <v>2595</v>
      </c>
      <c r="I69" s="392">
        <v>100</v>
      </c>
      <c r="J69" s="392" t="s">
        <v>1098</v>
      </c>
      <c r="K69" s="623" t="s">
        <v>1099</v>
      </c>
    </row>
    <row r="70" spans="1:11" ht="16.95" customHeight="1" x14ac:dyDescent="0.3">
      <c r="A70" s="1042"/>
      <c r="B70" s="1095"/>
      <c r="C70" s="1098"/>
      <c r="D70" s="370" t="s">
        <v>1132</v>
      </c>
      <c r="E70" s="1083"/>
      <c r="F70" s="622" t="s">
        <v>1403</v>
      </c>
      <c r="G70" s="392" t="s">
        <v>1113</v>
      </c>
      <c r="H70" s="392" t="s">
        <v>2596</v>
      </c>
      <c r="I70" s="392">
        <v>1</v>
      </c>
      <c r="J70" s="392" t="s">
        <v>1088</v>
      </c>
      <c r="K70" s="623" t="s">
        <v>1114</v>
      </c>
    </row>
    <row r="71" spans="1:11" ht="16.95" customHeight="1" x14ac:dyDescent="0.3">
      <c r="A71" s="1042"/>
      <c r="B71" s="1095"/>
      <c r="C71" s="1098"/>
      <c r="D71" s="369" t="s">
        <v>1198</v>
      </c>
      <c r="E71" s="1083"/>
      <c r="F71" s="622" t="s">
        <v>1198</v>
      </c>
      <c r="G71" s="392" t="s">
        <v>1269</v>
      </c>
      <c r="H71" s="392" t="s">
        <v>1081</v>
      </c>
      <c r="I71" s="392">
        <v>1</v>
      </c>
      <c r="J71" s="392" t="s">
        <v>1155</v>
      </c>
      <c r="K71" s="623" t="s">
        <v>2091</v>
      </c>
    </row>
    <row r="72" spans="1:11" ht="16.95" customHeight="1" x14ac:dyDescent="0.3">
      <c r="A72" s="1042"/>
      <c r="B72" s="1095"/>
      <c r="C72" s="1098"/>
      <c r="D72" s="370" t="s">
        <v>1199</v>
      </c>
      <c r="E72" s="1083"/>
      <c r="F72" s="622" t="s">
        <v>1270</v>
      </c>
      <c r="G72" s="392" t="s">
        <v>1286</v>
      </c>
      <c r="H72" s="392" t="s">
        <v>1127</v>
      </c>
      <c r="I72" s="392">
        <v>1</v>
      </c>
      <c r="J72" s="392" t="s">
        <v>1268</v>
      </c>
      <c r="K72" s="623" t="s">
        <v>1093</v>
      </c>
    </row>
    <row r="73" spans="1:11" ht="16.95" customHeight="1" x14ac:dyDescent="0.3">
      <c r="A73" s="1042"/>
      <c r="B73" s="1095"/>
      <c r="C73" s="1098"/>
      <c r="D73" s="370" t="s">
        <v>1200</v>
      </c>
      <c r="E73" s="1083"/>
      <c r="F73" s="622" t="s">
        <v>1267</v>
      </c>
      <c r="G73" s="392" t="s">
        <v>1269</v>
      </c>
      <c r="H73" s="392" t="s">
        <v>1301</v>
      </c>
      <c r="I73" s="392">
        <v>1</v>
      </c>
      <c r="J73" s="392" t="s">
        <v>1155</v>
      </c>
      <c r="K73" s="623" t="s">
        <v>1346</v>
      </c>
    </row>
    <row r="74" spans="1:11" ht="16.95" customHeight="1" x14ac:dyDescent="0.3">
      <c r="A74" s="1042"/>
      <c r="B74" s="1095"/>
      <c r="C74" s="1098"/>
      <c r="D74" s="370" t="s">
        <v>1134</v>
      </c>
      <c r="E74" s="1083"/>
      <c r="F74" s="622" t="s">
        <v>1135</v>
      </c>
      <c r="G74" s="392" t="s">
        <v>1076</v>
      </c>
      <c r="H74" s="392" t="s">
        <v>2088</v>
      </c>
      <c r="I74" s="392">
        <v>1</v>
      </c>
      <c r="J74" s="392" t="s">
        <v>1077</v>
      </c>
      <c r="K74" s="623" t="s">
        <v>1078</v>
      </c>
    </row>
    <row r="75" spans="1:11" ht="16.95" customHeight="1" x14ac:dyDescent="0.3">
      <c r="A75" s="1042"/>
      <c r="B75" s="1095"/>
      <c r="C75" s="1098"/>
      <c r="D75" s="370" t="s">
        <v>1325</v>
      </c>
      <c r="E75" s="1083"/>
      <c r="F75" s="622" t="s">
        <v>1326</v>
      </c>
      <c r="G75" s="392" t="s">
        <v>1076</v>
      </c>
      <c r="H75" s="392" t="s">
        <v>2100</v>
      </c>
      <c r="I75" s="392">
        <v>1</v>
      </c>
      <c r="J75" s="392" t="s">
        <v>1077</v>
      </c>
      <c r="K75" s="623" t="s">
        <v>1078</v>
      </c>
    </row>
    <row r="76" spans="1:11" ht="16.95" customHeight="1" x14ac:dyDescent="0.3">
      <c r="A76" s="1042"/>
      <c r="B76" s="1095"/>
      <c r="C76" s="1098"/>
      <c r="D76" s="371" t="s">
        <v>1079</v>
      </c>
      <c r="E76" s="1083"/>
      <c r="F76" s="622" t="s">
        <v>1080</v>
      </c>
      <c r="G76" s="618" t="s">
        <v>2061</v>
      </c>
      <c r="H76" s="392" t="s">
        <v>1091</v>
      </c>
      <c r="I76" s="392">
        <v>25</v>
      </c>
      <c r="J76" s="392" t="s">
        <v>1308</v>
      </c>
      <c r="K76" s="623" t="s">
        <v>2062</v>
      </c>
    </row>
    <row r="77" spans="1:11" ht="16.95" customHeight="1" thickBot="1" x14ac:dyDescent="0.35">
      <c r="A77" s="1043"/>
      <c r="B77" s="1096"/>
      <c r="C77" s="1099"/>
      <c r="D77" s="370" t="s">
        <v>1094</v>
      </c>
      <c r="E77" s="1084"/>
      <c r="F77" s="622" t="s">
        <v>1095</v>
      </c>
      <c r="G77" s="618" t="s">
        <v>2047</v>
      </c>
      <c r="H77" s="392" t="s">
        <v>1301</v>
      </c>
      <c r="I77" s="392" t="s">
        <v>2048</v>
      </c>
      <c r="J77" s="392" t="s">
        <v>1446</v>
      </c>
      <c r="K77" s="623" t="s">
        <v>2090</v>
      </c>
    </row>
    <row r="78" spans="1:11" ht="16.95" customHeight="1" x14ac:dyDescent="0.3">
      <c r="A78" s="1050" t="s">
        <v>1136</v>
      </c>
      <c r="B78" s="1054" t="s">
        <v>176</v>
      </c>
      <c r="C78" s="1068" t="s">
        <v>1462</v>
      </c>
      <c r="D78" s="1069"/>
      <c r="E78" s="617"/>
      <c r="F78" s="622" t="s">
        <v>1508</v>
      </c>
      <c r="G78" s="618" t="s">
        <v>2047</v>
      </c>
      <c r="H78" s="392" t="s">
        <v>1378</v>
      </c>
      <c r="I78" s="392" t="s">
        <v>2048</v>
      </c>
      <c r="J78" s="392" t="s">
        <v>1446</v>
      </c>
      <c r="K78" s="623" t="s">
        <v>2077</v>
      </c>
    </row>
    <row r="79" spans="1:11" ht="16.95" customHeight="1" thickBot="1" x14ac:dyDescent="0.35">
      <c r="A79" s="1051"/>
      <c r="B79" s="1054"/>
      <c r="C79" s="1085" t="s">
        <v>1201</v>
      </c>
      <c r="D79" s="1086"/>
      <c r="E79" s="304"/>
      <c r="F79" s="622" t="s">
        <v>1505</v>
      </c>
      <c r="G79" s="392" t="s">
        <v>2071</v>
      </c>
      <c r="H79" s="392" t="s">
        <v>2073</v>
      </c>
      <c r="I79" s="392">
        <v>50</v>
      </c>
      <c r="J79" s="392" t="s">
        <v>1447</v>
      </c>
      <c r="K79" s="623" t="s">
        <v>1093</v>
      </c>
    </row>
    <row r="80" spans="1:11" ht="16.95" customHeight="1" x14ac:dyDescent="0.3">
      <c r="A80" s="1051"/>
      <c r="B80" s="1079"/>
      <c r="C80" s="1074" t="s">
        <v>1137</v>
      </c>
      <c r="D80" s="369" t="s">
        <v>1138</v>
      </c>
      <c r="E80" s="304"/>
      <c r="F80" s="622" t="s">
        <v>1139</v>
      </c>
      <c r="G80" s="392" t="s">
        <v>2070</v>
      </c>
      <c r="H80" s="392" t="s">
        <v>1081</v>
      </c>
      <c r="I80" s="392">
        <v>1</v>
      </c>
      <c r="J80" s="392" t="s">
        <v>1140</v>
      </c>
      <c r="K80" s="623" t="s">
        <v>1141</v>
      </c>
    </row>
    <row r="81" spans="1:12" ht="16.95" customHeight="1" x14ac:dyDescent="0.3">
      <c r="A81" s="1051"/>
      <c r="B81" s="1079"/>
      <c r="C81" s="1074"/>
      <c r="D81" s="370" t="s">
        <v>1230</v>
      </c>
      <c r="E81" s="304"/>
      <c r="F81" s="622" t="s">
        <v>1142</v>
      </c>
      <c r="G81" s="392" t="s">
        <v>2063</v>
      </c>
      <c r="H81" s="392" t="s">
        <v>2597</v>
      </c>
      <c r="I81" s="392">
        <v>1</v>
      </c>
      <c r="J81" s="392" t="s">
        <v>1088</v>
      </c>
      <c r="K81" s="623" t="s">
        <v>2096</v>
      </c>
      <c r="L81" s="324"/>
    </row>
    <row r="82" spans="1:12" ht="31.2" customHeight="1" x14ac:dyDescent="0.3">
      <c r="A82" s="1051"/>
      <c r="B82" s="1079"/>
      <c r="C82" s="1074"/>
      <c r="D82" s="370" t="s">
        <v>1377</v>
      </c>
      <c r="E82" s="304"/>
      <c r="F82" s="624" t="s">
        <v>1840</v>
      </c>
      <c r="G82" s="618" t="s">
        <v>2047</v>
      </c>
      <c r="H82" s="392" t="s">
        <v>1378</v>
      </c>
      <c r="I82" s="392" t="s">
        <v>2079</v>
      </c>
      <c r="J82" s="392" t="s">
        <v>1446</v>
      </c>
      <c r="K82" s="623" t="s">
        <v>2090</v>
      </c>
    </row>
    <row r="83" spans="1:12" ht="18" x14ac:dyDescent="0.3">
      <c r="A83" s="1051"/>
      <c r="B83" s="1079"/>
      <c r="C83" s="1074"/>
      <c r="D83" s="371" t="s">
        <v>1201</v>
      </c>
      <c r="E83" s="304"/>
      <c r="F83" s="622" t="s">
        <v>1505</v>
      </c>
      <c r="G83" s="392" t="s">
        <v>2071</v>
      </c>
      <c r="H83" s="392" t="s">
        <v>2073</v>
      </c>
      <c r="I83" s="392">
        <v>50</v>
      </c>
      <c r="J83" s="392" t="s">
        <v>1447</v>
      </c>
      <c r="K83" s="623" t="s">
        <v>1093</v>
      </c>
    </row>
    <row r="84" spans="1:12" ht="16.95" customHeight="1" thickBot="1" x14ac:dyDescent="0.35">
      <c r="A84" s="1051"/>
      <c r="B84" s="1079"/>
      <c r="C84" s="1075"/>
      <c r="D84" s="372" t="s">
        <v>1230</v>
      </c>
      <c r="E84" s="305"/>
      <c r="F84" s="622" t="s">
        <v>1144</v>
      </c>
      <c r="G84" s="392" t="s">
        <v>2063</v>
      </c>
      <c r="H84" s="392" t="s">
        <v>2598</v>
      </c>
      <c r="I84" s="392">
        <v>1</v>
      </c>
      <c r="J84" s="392" t="s">
        <v>1088</v>
      </c>
      <c r="K84" s="623" t="s">
        <v>2096</v>
      </c>
    </row>
    <row r="85" spans="1:12" ht="16.95" customHeight="1" x14ac:dyDescent="0.3">
      <c r="A85" s="1051"/>
      <c r="B85" s="1079"/>
      <c r="C85" s="1087" t="s">
        <v>1145</v>
      </c>
      <c r="D85" s="368" t="s">
        <v>1198</v>
      </c>
      <c r="E85" s="1070">
        <v>10</v>
      </c>
      <c r="F85" s="622" t="s">
        <v>1198</v>
      </c>
      <c r="G85" s="392" t="s">
        <v>1269</v>
      </c>
      <c r="H85" s="392" t="s">
        <v>1081</v>
      </c>
      <c r="I85" s="392">
        <v>1</v>
      </c>
      <c r="J85" s="392" t="s">
        <v>1155</v>
      </c>
      <c r="K85" s="623" t="s">
        <v>2091</v>
      </c>
    </row>
    <row r="86" spans="1:12" ht="16.95" customHeight="1" x14ac:dyDescent="0.3">
      <c r="A86" s="1051"/>
      <c r="B86" s="1079"/>
      <c r="C86" s="1088"/>
      <c r="D86" s="370" t="s">
        <v>1199</v>
      </c>
      <c r="E86" s="1071"/>
      <c r="F86" s="622" t="s">
        <v>1270</v>
      </c>
      <c r="G86" s="392" t="s">
        <v>1286</v>
      </c>
      <c r="H86" s="392" t="s">
        <v>1127</v>
      </c>
      <c r="I86" s="392">
        <v>1</v>
      </c>
      <c r="J86" s="392" t="s">
        <v>1268</v>
      </c>
      <c r="K86" s="623" t="s">
        <v>1093</v>
      </c>
    </row>
    <row r="87" spans="1:12" ht="16.95" customHeight="1" thickBot="1" x14ac:dyDescent="0.35">
      <c r="A87" s="1051"/>
      <c r="B87" s="1079"/>
      <c r="C87" s="1089"/>
      <c r="D87" s="372" t="s">
        <v>1200</v>
      </c>
      <c r="E87" s="1071"/>
      <c r="F87" s="622" t="s">
        <v>1267</v>
      </c>
      <c r="G87" s="392" t="s">
        <v>1269</v>
      </c>
      <c r="H87" s="392" t="s">
        <v>1301</v>
      </c>
      <c r="I87" s="392">
        <v>1</v>
      </c>
      <c r="J87" s="392" t="s">
        <v>1155</v>
      </c>
      <c r="K87" s="623" t="s">
        <v>1346</v>
      </c>
    </row>
    <row r="88" spans="1:12" ht="16.95" customHeight="1" x14ac:dyDescent="0.3">
      <c r="A88" s="1051"/>
      <c r="B88" s="1079"/>
      <c r="C88" s="1073" t="s">
        <v>1146</v>
      </c>
      <c r="D88" s="373" t="s">
        <v>1147</v>
      </c>
      <c r="E88" s="1071"/>
      <c r="F88" s="622" t="s">
        <v>2093</v>
      </c>
      <c r="G88" s="392" t="s">
        <v>1113</v>
      </c>
      <c r="H88" s="392" t="s">
        <v>2599</v>
      </c>
      <c r="I88" s="392">
        <v>1</v>
      </c>
      <c r="J88" s="392" t="s">
        <v>1088</v>
      </c>
      <c r="K88" s="623" t="s">
        <v>1133</v>
      </c>
    </row>
    <row r="89" spans="1:12" ht="16.95" customHeight="1" x14ac:dyDescent="0.3">
      <c r="A89" s="1051"/>
      <c r="B89" s="1079"/>
      <c r="C89" s="1074"/>
      <c r="D89" s="370" t="s">
        <v>1148</v>
      </c>
      <c r="E89" s="1071"/>
      <c r="F89" s="622" t="s">
        <v>1149</v>
      </c>
      <c r="G89" s="392" t="s">
        <v>2053</v>
      </c>
      <c r="H89" s="392" t="s">
        <v>1127</v>
      </c>
      <c r="I89" s="392">
        <v>1</v>
      </c>
      <c r="J89" s="392" t="s">
        <v>1128</v>
      </c>
      <c r="K89" s="623" t="s">
        <v>1093</v>
      </c>
    </row>
    <row r="90" spans="1:12" ht="16.95" customHeight="1" thickBot="1" x14ac:dyDescent="0.35">
      <c r="A90" s="1051"/>
      <c r="B90" s="1079"/>
      <c r="C90" s="1075"/>
      <c r="D90" s="372" t="s">
        <v>1129</v>
      </c>
      <c r="E90" s="1071"/>
      <c r="F90" s="622" t="s">
        <v>1150</v>
      </c>
      <c r="G90" s="392" t="s">
        <v>2058</v>
      </c>
      <c r="H90" s="392" t="s">
        <v>1091</v>
      </c>
      <c r="I90" s="392">
        <v>1</v>
      </c>
      <c r="J90" s="392" t="s">
        <v>1227</v>
      </c>
      <c r="K90" s="623" t="s">
        <v>1093</v>
      </c>
    </row>
    <row r="91" spans="1:12" ht="16.95" customHeight="1" thickBot="1" x14ac:dyDescent="0.35">
      <c r="A91" s="1051"/>
      <c r="B91" s="1079"/>
      <c r="C91" s="374" t="s">
        <v>1151</v>
      </c>
      <c r="D91" s="375" t="s">
        <v>1152</v>
      </c>
      <c r="E91" s="1071"/>
      <c r="F91" s="622" t="s">
        <v>1153</v>
      </c>
      <c r="G91" s="392" t="s">
        <v>1224</v>
      </c>
      <c r="H91" s="392" t="s">
        <v>2600</v>
      </c>
      <c r="I91" s="392">
        <v>1</v>
      </c>
      <c r="J91" s="392" t="s">
        <v>1140</v>
      </c>
      <c r="K91" s="623" t="s">
        <v>1114</v>
      </c>
    </row>
    <row r="92" spans="1:12" ht="26.4" x14ac:dyDescent="0.3">
      <c r="A92" s="1051"/>
      <c r="B92" s="1054"/>
      <c r="C92" s="1076" t="s">
        <v>1304</v>
      </c>
      <c r="D92" s="1077"/>
      <c r="E92" s="1071"/>
      <c r="F92" s="624" t="s">
        <v>1154</v>
      </c>
      <c r="G92" s="618" t="s">
        <v>2047</v>
      </c>
      <c r="H92" s="392" t="s">
        <v>2601</v>
      </c>
      <c r="I92" s="392" t="s">
        <v>2079</v>
      </c>
      <c r="J92" s="392" t="s">
        <v>1446</v>
      </c>
      <c r="K92" s="623" t="s">
        <v>2098</v>
      </c>
    </row>
    <row r="93" spans="1:12" ht="16.95" customHeight="1" thickBot="1" x14ac:dyDescent="0.35">
      <c r="A93" s="1051"/>
      <c r="B93" s="1055"/>
      <c r="C93" s="1064" t="s">
        <v>1230</v>
      </c>
      <c r="D93" s="1065"/>
      <c r="E93" s="1072"/>
      <c r="F93" s="622" t="s">
        <v>1156</v>
      </c>
      <c r="G93" s="392" t="s">
        <v>2063</v>
      </c>
      <c r="H93" s="392" t="s">
        <v>2598</v>
      </c>
      <c r="I93" s="392">
        <v>1</v>
      </c>
      <c r="J93" s="392" t="s">
        <v>1088</v>
      </c>
      <c r="K93" s="623" t="s">
        <v>2096</v>
      </c>
    </row>
    <row r="94" spans="1:12" ht="16.95" customHeight="1" x14ac:dyDescent="0.3">
      <c r="A94" s="1051"/>
      <c r="B94" s="1078" t="s">
        <v>169</v>
      </c>
      <c r="C94" s="1080" t="s">
        <v>175</v>
      </c>
      <c r="D94" s="371" t="s">
        <v>1198</v>
      </c>
      <c r="E94" s="1082">
        <v>11</v>
      </c>
      <c r="F94" s="622" t="s">
        <v>1198</v>
      </c>
      <c r="G94" s="392" t="s">
        <v>1269</v>
      </c>
      <c r="H94" s="392" t="s">
        <v>1081</v>
      </c>
      <c r="I94" s="392">
        <v>1</v>
      </c>
      <c r="J94" s="392" t="s">
        <v>1155</v>
      </c>
      <c r="K94" s="623" t="s">
        <v>2091</v>
      </c>
      <c r="L94" s="6"/>
    </row>
    <row r="95" spans="1:12" ht="16.95" customHeight="1" x14ac:dyDescent="0.3">
      <c r="A95" s="1051"/>
      <c r="B95" s="1079"/>
      <c r="C95" s="1081"/>
      <c r="D95" s="371" t="s">
        <v>1270</v>
      </c>
      <c r="E95" s="1083"/>
      <c r="F95" s="622" t="s">
        <v>1270</v>
      </c>
      <c r="G95" s="392" t="s">
        <v>1286</v>
      </c>
      <c r="H95" s="392" t="s">
        <v>1127</v>
      </c>
      <c r="I95" s="392">
        <v>1</v>
      </c>
      <c r="J95" s="392" t="s">
        <v>1268</v>
      </c>
      <c r="K95" s="623" t="s">
        <v>1093</v>
      </c>
    </row>
    <row r="96" spans="1:12" ht="16.95" customHeight="1" x14ac:dyDescent="0.3">
      <c r="A96" s="1051"/>
      <c r="B96" s="1079"/>
      <c r="C96" s="1081"/>
      <c r="D96" s="371" t="s">
        <v>1200</v>
      </c>
      <c r="E96" s="1083"/>
      <c r="F96" s="622" t="s">
        <v>1267</v>
      </c>
      <c r="G96" s="392" t="s">
        <v>1269</v>
      </c>
      <c r="H96" s="392" t="s">
        <v>1301</v>
      </c>
      <c r="I96" s="392">
        <v>1</v>
      </c>
      <c r="J96" s="392" t="s">
        <v>1155</v>
      </c>
      <c r="K96" s="623" t="s">
        <v>1346</v>
      </c>
    </row>
    <row r="97" spans="1:11" ht="16.95" customHeight="1" thickBot="1" x14ac:dyDescent="0.35">
      <c r="A97" s="1051"/>
      <c r="B97" s="1079"/>
      <c r="C97" s="1081"/>
      <c r="D97" s="372" t="s">
        <v>1157</v>
      </c>
      <c r="E97" s="1084"/>
      <c r="F97" s="622" t="s">
        <v>1158</v>
      </c>
      <c r="G97" s="392" t="s">
        <v>1159</v>
      </c>
      <c r="H97" s="392" t="s">
        <v>2602</v>
      </c>
      <c r="I97" s="392">
        <v>100</v>
      </c>
      <c r="J97" s="392" t="s">
        <v>1143</v>
      </c>
      <c r="K97" s="623" t="s">
        <v>2097</v>
      </c>
    </row>
    <row r="98" spans="1:11" ht="16.95" customHeight="1" x14ac:dyDescent="0.3">
      <c r="A98" s="1051"/>
      <c r="B98" s="1053" t="s">
        <v>171</v>
      </c>
      <c r="C98" s="1066" t="s">
        <v>1160</v>
      </c>
      <c r="D98" s="1067"/>
      <c r="E98" s="1061"/>
      <c r="F98" s="622" t="s">
        <v>1161</v>
      </c>
      <c r="G98" s="392" t="s">
        <v>2052</v>
      </c>
      <c r="H98" s="392" t="s">
        <v>1081</v>
      </c>
      <c r="I98" s="392">
        <v>1</v>
      </c>
      <c r="J98" s="392" t="s">
        <v>1162</v>
      </c>
      <c r="K98" s="623" t="s">
        <v>1093</v>
      </c>
    </row>
    <row r="99" spans="1:11" ht="16.95" customHeight="1" x14ac:dyDescent="0.3">
      <c r="A99" s="1051"/>
      <c r="B99" s="1054"/>
      <c r="C99" s="1044" t="s">
        <v>138</v>
      </c>
      <c r="D99" s="1045"/>
      <c r="E99" s="1062"/>
      <c r="F99" s="622" t="s">
        <v>1163</v>
      </c>
      <c r="G99" s="392" t="s">
        <v>2054</v>
      </c>
      <c r="H99" s="392" t="s">
        <v>2603</v>
      </c>
      <c r="I99" s="392">
        <v>1</v>
      </c>
      <c r="J99" s="392" t="s">
        <v>1155</v>
      </c>
      <c r="K99" s="623" t="s">
        <v>1093</v>
      </c>
    </row>
    <row r="100" spans="1:11" ht="16.95" customHeight="1" x14ac:dyDescent="0.3">
      <c r="A100" s="1051"/>
      <c r="B100" s="1054"/>
      <c r="C100" s="1044" t="s">
        <v>1164</v>
      </c>
      <c r="D100" s="1045"/>
      <c r="E100" s="1062"/>
      <c r="F100" s="624" t="s">
        <v>1165</v>
      </c>
      <c r="G100" s="392" t="s">
        <v>1166</v>
      </c>
      <c r="H100" s="392" t="s">
        <v>2604</v>
      </c>
      <c r="I100" s="392">
        <v>1</v>
      </c>
      <c r="J100" s="392" t="s">
        <v>1167</v>
      </c>
      <c r="K100" s="623" t="s">
        <v>1190</v>
      </c>
    </row>
    <row r="101" spans="1:11" ht="16.95" customHeight="1" x14ac:dyDescent="0.3">
      <c r="A101" s="1051"/>
      <c r="B101" s="1054"/>
      <c r="C101" s="1044" t="s">
        <v>1021</v>
      </c>
      <c r="D101" s="1045"/>
      <c r="E101" s="1062"/>
      <c r="F101" s="622" t="s">
        <v>2074</v>
      </c>
      <c r="G101" s="392" t="s">
        <v>2053</v>
      </c>
      <c r="H101" s="392" t="s">
        <v>1127</v>
      </c>
      <c r="I101" s="392">
        <v>1</v>
      </c>
      <c r="J101" s="392" t="s">
        <v>1128</v>
      </c>
      <c r="K101" s="623" t="s">
        <v>1093</v>
      </c>
    </row>
    <row r="102" spans="1:11" ht="16.95" customHeight="1" thickBot="1" x14ac:dyDescent="0.35">
      <c r="A102" s="1051"/>
      <c r="B102" s="1055"/>
      <c r="C102" s="1064" t="s">
        <v>1129</v>
      </c>
      <c r="D102" s="1065"/>
      <c r="E102" s="1062"/>
      <c r="F102" s="622" t="s">
        <v>1150</v>
      </c>
      <c r="G102" s="392" t="s">
        <v>2058</v>
      </c>
      <c r="H102" s="392" t="s">
        <v>1091</v>
      </c>
      <c r="I102" s="392">
        <v>1</v>
      </c>
      <c r="J102" s="392" t="s">
        <v>1227</v>
      </c>
      <c r="K102" s="623" t="s">
        <v>1093</v>
      </c>
    </row>
    <row r="103" spans="1:11" ht="16.95" customHeight="1" x14ac:dyDescent="0.3">
      <c r="A103" s="1051"/>
      <c r="B103" s="1056" t="s">
        <v>172</v>
      </c>
      <c r="C103" s="1066" t="s">
        <v>181</v>
      </c>
      <c r="D103" s="1067"/>
      <c r="E103" s="1062"/>
      <c r="F103" s="622" t="s">
        <v>2092</v>
      </c>
      <c r="G103" s="392" t="s">
        <v>1113</v>
      </c>
      <c r="H103" s="392" t="s">
        <v>2605</v>
      </c>
      <c r="I103" s="392">
        <v>1</v>
      </c>
      <c r="J103" s="392" t="s">
        <v>1088</v>
      </c>
      <c r="K103" s="623" t="s">
        <v>1114</v>
      </c>
    </row>
    <row r="104" spans="1:11" ht="16.95" customHeight="1" x14ac:dyDescent="0.3">
      <c r="A104" s="1051"/>
      <c r="B104" s="1057"/>
      <c r="C104" s="1044" t="s">
        <v>1168</v>
      </c>
      <c r="D104" s="1045"/>
      <c r="E104" s="1062"/>
      <c r="F104" s="622" t="s">
        <v>1169</v>
      </c>
      <c r="G104" s="392" t="s">
        <v>2050</v>
      </c>
      <c r="H104" s="392" t="s">
        <v>2589</v>
      </c>
      <c r="I104" s="392">
        <v>1</v>
      </c>
      <c r="J104" s="392" t="s">
        <v>1092</v>
      </c>
      <c r="K104" s="623" t="s">
        <v>2043</v>
      </c>
    </row>
    <row r="105" spans="1:11" ht="16.95" customHeight="1" x14ac:dyDescent="0.3">
      <c r="A105" s="1051"/>
      <c r="B105" s="1057"/>
      <c r="C105" s="1044" t="s">
        <v>1170</v>
      </c>
      <c r="D105" s="1045"/>
      <c r="E105" s="1062"/>
      <c r="F105" s="622" t="s">
        <v>1171</v>
      </c>
      <c r="G105" s="392" t="s">
        <v>2050</v>
      </c>
      <c r="H105" s="392" t="s">
        <v>2589</v>
      </c>
      <c r="I105" s="392">
        <v>1</v>
      </c>
      <c r="J105" s="392" t="s">
        <v>1092</v>
      </c>
      <c r="K105" s="623" t="s">
        <v>2043</v>
      </c>
    </row>
    <row r="106" spans="1:11" ht="16.95" customHeight="1" x14ac:dyDescent="0.3">
      <c r="A106" s="1051"/>
      <c r="B106" s="1057"/>
      <c r="C106" s="1059" t="s">
        <v>1172</v>
      </c>
      <c r="D106" s="1060"/>
      <c r="E106" s="1062"/>
      <c r="F106" s="624" t="s">
        <v>2064</v>
      </c>
      <c r="G106" s="392" t="s">
        <v>1173</v>
      </c>
      <c r="H106" s="392" t="s">
        <v>2592</v>
      </c>
      <c r="I106" s="392">
        <v>1</v>
      </c>
      <c r="J106" s="392" t="s">
        <v>1140</v>
      </c>
      <c r="K106" s="623" t="s">
        <v>1174</v>
      </c>
    </row>
    <row r="107" spans="1:11" ht="16.95" customHeight="1" thickBot="1" x14ac:dyDescent="0.35">
      <c r="A107" s="1051"/>
      <c r="B107" s="1058"/>
      <c r="C107" s="1059" t="s">
        <v>1175</v>
      </c>
      <c r="D107" s="1060"/>
      <c r="E107" s="1062"/>
      <c r="F107" s="622" t="s">
        <v>1176</v>
      </c>
      <c r="G107" s="392" t="s">
        <v>1076</v>
      </c>
      <c r="H107" s="392" t="s">
        <v>2088</v>
      </c>
      <c r="I107" s="392">
        <v>1</v>
      </c>
      <c r="J107" s="392" t="s">
        <v>1077</v>
      </c>
      <c r="K107" s="623" t="s">
        <v>1078</v>
      </c>
    </row>
    <row r="108" spans="1:11" ht="16.95" customHeight="1" x14ac:dyDescent="0.3">
      <c r="A108" s="1051"/>
      <c r="B108" s="1056" t="s">
        <v>173</v>
      </c>
      <c r="C108" s="1068" t="s">
        <v>1462</v>
      </c>
      <c r="D108" s="1069"/>
      <c r="E108" s="1062"/>
      <c r="F108" s="622" t="s">
        <v>1507</v>
      </c>
      <c r="G108" s="618" t="s">
        <v>2047</v>
      </c>
      <c r="H108" s="392" t="s">
        <v>1378</v>
      </c>
      <c r="I108" s="392" t="s">
        <v>2079</v>
      </c>
      <c r="J108" s="392" t="s">
        <v>1446</v>
      </c>
      <c r="K108" s="623" t="s">
        <v>2077</v>
      </c>
    </row>
    <row r="109" spans="1:11" ht="16.95" customHeight="1" x14ac:dyDescent="0.3">
      <c r="A109" s="1051"/>
      <c r="B109" s="1057"/>
      <c r="C109" s="1044" t="s">
        <v>1201</v>
      </c>
      <c r="D109" s="1045"/>
      <c r="E109" s="1062"/>
      <c r="F109" s="622" t="s">
        <v>1505</v>
      </c>
      <c r="G109" s="392" t="s">
        <v>2071</v>
      </c>
      <c r="H109" s="392" t="s">
        <v>2073</v>
      </c>
      <c r="I109" s="392">
        <v>50</v>
      </c>
      <c r="J109" s="392" t="s">
        <v>1447</v>
      </c>
      <c r="K109" s="623" t="s">
        <v>1093</v>
      </c>
    </row>
    <row r="110" spans="1:11" ht="16.95" customHeight="1" x14ac:dyDescent="0.3">
      <c r="A110" s="1051"/>
      <c r="B110" s="1057"/>
      <c r="C110" s="1044" t="s">
        <v>1177</v>
      </c>
      <c r="D110" s="1045"/>
      <c r="E110" s="1062"/>
      <c r="F110" s="622" t="s">
        <v>2065</v>
      </c>
      <c r="G110" s="392" t="s">
        <v>2070</v>
      </c>
      <c r="H110" s="392" t="s">
        <v>2593</v>
      </c>
      <c r="I110" s="392">
        <v>1</v>
      </c>
      <c r="J110" s="392" t="s">
        <v>1140</v>
      </c>
      <c r="K110" s="623" t="s">
        <v>1141</v>
      </c>
    </row>
    <row r="111" spans="1:11" ht="16.95" customHeight="1" x14ac:dyDescent="0.3">
      <c r="A111" s="1051"/>
      <c r="B111" s="1057"/>
      <c r="C111" s="1044" t="s">
        <v>1138</v>
      </c>
      <c r="D111" s="1045"/>
      <c r="E111" s="1062"/>
      <c r="F111" s="622" t="s">
        <v>2066</v>
      </c>
      <c r="G111" s="392" t="s">
        <v>2070</v>
      </c>
      <c r="H111" s="392" t="s">
        <v>1081</v>
      </c>
      <c r="I111" s="392">
        <v>1</v>
      </c>
      <c r="J111" s="392" t="s">
        <v>1140</v>
      </c>
      <c r="K111" s="623" t="s">
        <v>1141</v>
      </c>
    </row>
    <row r="112" spans="1:11" ht="16.95" customHeight="1" x14ac:dyDescent="0.3">
      <c r="A112" s="1051"/>
      <c r="B112" s="1057"/>
      <c r="C112" s="1044" t="s">
        <v>1178</v>
      </c>
      <c r="D112" s="1045"/>
      <c r="E112" s="1062"/>
      <c r="F112" s="622" t="s">
        <v>2067</v>
      </c>
      <c r="G112" s="392" t="s">
        <v>2070</v>
      </c>
      <c r="H112" s="392" t="s">
        <v>1091</v>
      </c>
      <c r="I112" s="392">
        <v>1</v>
      </c>
      <c r="J112" s="392" t="s">
        <v>1140</v>
      </c>
      <c r="K112" s="623" t="s">
        <v>1141</v>
      </c>
    </row>
    <row r="113" spans="1:11" ht="16.95" customHeight="1" x14ac:dyDescent="0.3">
      <c r="A113" s="1051"/>
      <c r="B113" s="1057"/>
      <c r="C113" s="1044" t="s">
        <v>1179</v>
      </c>
      <c r="D113" s="1045"/>
      <c r="E113" s="1062"/>
      <c r="F113" s="622" t="s">
        <v>2068</v>
      </c>
      <c r="G113" s="392" t="s">
        <v>2070</v>
      </c>
      <c r="H113" s="392" t="s">
        <v>1081</v>
      </c>
      <c r="I113" s="392">
        <v>1</v>
      </c>
      <c r="J113" s="392" t="s">
        <v>1140</v>
      </c>
      <c r="K113" s="623" t="s">
        <v>1141</v>
      </c>
    </row>
    <row r="114" spans="1:11" ht="16.95" customHeight="1" x14ac:dyDescent="0.3">
      <c r="A114" s="1051"/>
      <c r="B114" s="1057"/>
      <c r="C114" s="1044" t="s">
        <v>1172</v>
      </c>
      <c r="D114" s="1045"/>
      <c r="E114" s="1062"/>
      <c r="F114" s="622" t="s">
        <v>1180</v>
      </c>
      <c r="G114" s="392" t="s">
        <v>1173</v>
      </c>
      <c r="H114" s="392" t="s">
        <v>2592</v>
      </c>
      <c r="I114" s="392">
        <v>1</v>
      </c>
      <c r="J114" s="392" t="s">
        <v>1140</v>
      </c>
      <c r="K114" s="623" t="s">
        <v>1174</v>
      </c>
    </row>
    <row r="115" spans="1:11" ht="16.95" customHeight="1" x14ac:dyDescent="0.3">
      <c r="A115" s="1051"/>
      <c r="B115" s="1057"/>
      <c r="C115" s="1044" t="s">
        <v>1181</v>
      </c>
      <c r="D115" s="1045"/>
      <c r="E115" s="1062"/>
      <c r="F115" s="622" t="s">
        <v>1182</v>
      </c>
      <c r="G115" s="392" t="s">
        <v>1183</v>
      </c>
      <c r="H115" s="392" t="s">
        <v>1081</v>
      </c>
      <c r="I115" s="392">
        <v>1</v>
      </c>
      <c r="J115" s="392" t="s">
        <v>1162</v>
      </c>
      <c r="K115" s="623" t="s">
        <v>1174</v>
      </c>
    </row>
    <row r="116" spans="1:11" ht="16.95" customHeight="1" thickBot="1" x14ac:dyDescent="0.35">
      <c r="A116" s="1052"/>
      <c r="B116" s="1058"/>
      <c r="C116" s="1064" t="s">
        <v>1184</v>
      </c>
      <c r="D116" s="1065"/>
      <c r="E116" s="1062"/>
      <c r="F116" s="622" t="s">
        <v>1185</v>
      </c>
      <c r="G116" s="392" t="s">
        <v>1186</v>
      </c>
      <c r="H116" s="392" t="s">
        <v>1081</v>
      </c>
      <c r="I116" s="392">
        <v>1</v>
      </c>
      <c r="J116" s="392" t="s">
        <v>1187</v>
      </c>
      <c r="K116" s="623" t="s">
        <v>1093</v>
      </c>
    </row>
    <row r="117" spans="1:11" ht="16.95" customHeight="1" thickBot="1" x14ac:dyDescent="0.35">
      <c r="A117" s="1041" t="s">
        <v>178</v>
      </c>
      <c r="B117" s="367" t="s">
        <v>164</v>
      </c>
      <c r="C117" s="1044" t="s">
        <v>1188</v>
      </c>
      <c r="D117" s="1045"/>
      <c r="E117" s="1062"/>
      <c r="F117" s="622" t="s">
        <v>2069</v>
      </c>
      <c r="G117" s="392" t="s">
        <v>174</v>
      </c>
      <c r="H117" s="392" t="s">
        <v>1081</v>
      </c>
      <c r="I117" s="392">
        <v>1</v>
      </c>
      <c r="J117" s="392" t="s">
        <v>1189</v>
      </c>
      <c r="K117" s="623" t="s">
        <v>1190</v>
      </c>
    </row>
    <row r="118" spans="1:11" ht="16.95" customHeight="1" thickBot="1" x14ac:dyDescent="0.35">
      <c r="A118" s="1042"/>
      <c r="B118" s="367" t="s">
        <v>127</v>
      </c>
      <c r="C118" s="1046" t="s">
        <v>258</v>
      </c>
      <c r="D118" s="1047"/>
      <c r="E118" s="1062"/>
      <c r="F118" s="622" t="s">
        <v>1191</v>
      </c>
      <c r="G118" s="392" t="s">
        <v>190</v>
      </c>
      <c r="H118" s="392" t="s">
        <v>2606</v>
      </c>
      <c r="I118" s="392">
        <v>1</v>
      </c>
      <c r="J118" s="392" t="s">
        <v>1189</v>
      </c>
      <c r="K118" s="623" t="s">
        <v>1093</v>
      </c>
    </row>
    <row r="119" spans="1:11" ht="16.95" customHeight="1" thickBot="1" x14ac:dyDescent="0.35">
      <c r="A119" s="1043"/>
      <c r="B119" s="328" t="s">
        <v>1192</v>
      </c>
      <c r="C119" s="1048" t="s">
        <v>1193</v>
      </c>
      <c r="D119" s="1049"/>
      <c r="E119" s="1063"/>
      <c r="F119" s="625" t="s">
        <v>1194</v>
      </c>
      <c r="G119" s="626" t="s">
        <v>1195</v>
      </c>
      <c r="H119" s="626" t="s">
        <v>1196</v>
      </c>
      <c r="I119" s="626">
        <v>1</v>
      </c>
      <c r="J119" s="626" t="s">
        <v>1189</v>
      </c>
      <c r="K119" s="627" t="s">
        <v>1093</v>
      </c>
    </row>
    <row r="158" spans="6:7" x14ac:dyDescent="0.3">
      <c r="F158" s="324"/>
      <c r="G158" s="9"/>
    </row>
    <row r="159" spans="6:7" x14ac:dyDescent="0.3">
      <c r="F159" s="324"/>
      <c r="G159" s="9"/>
    </row>
    <row r="160" spans="6:7" x14ac:dyDescent="0.3">
      <c r="F160" s="324"/>
      <c r="G160" s="9"/>
    </row>
    <row r="161" spans="6:7" x14ac:dyDescent="0.3">
      <c r="F161" s="324"/>
      <c r="G161" s="9"/>
    </row>
    <row r="162" spans="6:7" x14ac:dyDescent="0.3">
      <c r="F162" s="324"/>
      <c r="G162" s="9"/>
    </row>
    <row r="163" spans="6:7" x14ac:dyDescent="0.3">
      <c r="F163" s="324"/>
      <c r="G163" s="9"/>
    </row>
    <row r="164" spans="6:7" x14ac:dyDescent="0.3">
      <c r="F164" s="325"/>
      <c r="G164" s="9"/>
    </row>
    <row r="165" spans="6:7" x14ac:dyDescent="0.3">
      <c r="F165" s="325"/>
      <c r="G165" s="9"/>
    </row>
    <row r="166" spans="6:7" x14ac:dyDescent="0.3">
      <c r="F166" s="325"/>
      <c r="G166" s="9"/>
    </row>
    <row r="167" spans="6:7" x14ac:dyDescent="0.3">
      <c r="F167" s="325"/>
      <c r="G167" s="9"/>
    </row>
    <row r="168" spans="6:7" x14ac:dyDescent="0.3">
      <c r="F168" s="326"/>
      <c r="G168" s="1"/>
    </row>
    <row r="169" spans="6:7" x14ac:dyDescent="0.3">
      <c r="F169" s="325"/>
      <c r="G169" s="9"/>
    </row>
  </sheetData>
  <sheetProtection algorithmName="SHA-512" hashValue="Z75LOqXRx6UxO+amUi7mF7mUhg5OtDDWQzPFTrZorjmsqtLHHuQrffM+59mOxq6KjyfvgjNmrUERCH7hq09Dlg==" saltValue="OhMsRsiySf32viuSQGN2Qg==" spinCount="100000" sheet="1" objects="1" scenarios="1"/>
  <mergeCells count="94">
    <mergeCell ref="E3:E5"/>
    <mergeCell ref="C4:D4"/>
    <mergeCell ref="C5:D5"/>
    <mergeCell ref="B6:B12"/>
    <mergeCell ref="C6:D6"/>
    <mergeCell ref="E6:E12"/>
    <mergeCell ref="C12:D12"/>
    <mergeCell ref="C2:D2"/>
    <mergeCell ref="A3:A12"/>
    <mergeCell ref="B3:B4"/>
    <mergeCell ref="C3:D3"/>
    <mergeCell ref="C7:D7"/>
    <mergeCell ref="C8:D8"/>
    <mergeCell ref="C9:D9"/>
    <mergeCell ref="C10:D10"/>
    <mergeCell ref="C11:D11"/>
    <mergeCell ref="C33:D33"/>
    <mergeCell ref="A13:A33"/>
    <mergeCell ref="B13:B25"/>
    <mergeCell ref="C13:C19"/>
    <mergeCell ref="E13:E19"/>
    <mergeCell ref="C20:C25"/>
    <mergeCell ref="E20:E25"/>
    <mergeCell ref="B26:B33"/>
    <mergeCell ref="C26:D26"/>
    <mergeCell ref="E26:E33"/>
    <mergeCell ref="C27:D27"/>
    <mergeCell ref="C28:D28"/>
    <mergeCell ref="C29:D29"/>
    <mergeCell ref="C30:D30"/>
    <mergeCell ref="C31:D31"/>
    <mergeCell ref="C32:D32"/>
    <mergeCell ref="A34:A77"/>
    <mergeCell ref="B34:B53"/>
    <mergeCell ref="C34:C40"/>
    <mergeCell ref="E34:E40"/>
    <mergeCell ref="C41:C46"/>
    <mergeCell ref="E41:E46"/>
    <mergeCell ref="C47:C53"/>
    <mergeCell ref="E47:E53"/>
    <mergeCell ref="B54:B66"/>
    <mergeCell ref="C54:C62"/>
    <mergeCell ref="E69:E77"/>
    <mergeCell ref="E54:E62"/>
    <mergeCell ref="C63:D63"/>
    <mergeCell ref="E63:E68"/>
    <mergeCell ref="C64:D64"/>
    <mergeCell ref="C65:D65"/>
    <mergeCell ref="C66:D66"/>
    <mergeCell ref="B67:B68"/>
    <mergeCell ref="C67:D67"/>
    <mergeCell ref="C68:D68"/>
    <mergeCell ref="B69:B77"/>
    <mergeCell ref="C69:C77"/>
    <mergeCell ref="E85:E93"/>
    <mergeCell ref="C88:C90"/>
    <mergeCell ref="C92:D92"/>
    <mergeCell ref="C93:D93"/>
    <mergeCell ref="B94:B97"/>
    <mergeCell ref="C94:C97"/>
    <mergeCell ref="E94:E97"/>
    <mergeCell ref="B78:B93"/>
    <mergeCell ref="C78:D78"/>
    <mergeCell ref="C79:D79"/>
    <mergeCell ref="C80:C84"/>
    <mergeCell ref="C85:C87"/>
    <mergeCell ref="E98:E119"/>
    <mergeCell ref="C99:D99"/>
    <mergeCell ref="C100:D100"/>
    <mergeCell ref="C101:D101"/>
    <mergeCell ref="C102:D102"/>
    <mergeCell ref="C98:D98"/>
    <mergeCell ref="C108:D108"/>
    <mergeCell ref="C109:D109"/>
    <mergeCell ref="C110:D110"/>
    <mergeCell ref="C111:D111"/>
    <mergeCell ref="C112:D112"/>
    <mergeCell ref="C114:D114"/>
    <mergeCell ref="C115:D115"/>
    <mergeCell ref="C116:D116"/>
    <mergeCell ref="C103:D103"/>
    <mergeCell ref="C104:D104"/>
    <mergeCell ref="A117:A119"/>
    <mergeCell ref="C117:D117"/>
    <mergeCell ref="C118:D118"/>
    <mergeCell ref="C119:D119"/>
    <mergeCell ref="A78:A116"/>
    <mergeCell ref="B98:B102"/>
    <mergeCell ref="B108:B116"/>
    <mergeCell ref="C113:D113"/>
    <mergeCell ref="B103:B107"/>
    <mergeCell ref="C105:D105"/>
    <mergeCell ref="C106:D106"/>
    <mergeCell ref="C107:D10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36E6B-5B76-4A77-8A24-11D1B97EEC95}">
  <dimension ref="A1:E72"/>
  <sheetViews>
    <sheetView zoomScale="85" zoomScaleNormal="85" workbookViewId="0"/>
  </sheetViews>
  <sheetFormatPr baseColWidth="10" defaultRowHeight="14.4" x14ac:dyDescent="0.3"/>
  <cols>
    <col min="1" max="1" width="68" customWidth="1"/>
    <col min="2" max="2" width="11.88671875" bestFit="1" customWidth="1"/>
    <col min="3" max="3" width="89.5546875" bestFit="1" customWidth="1"/>
    <col min="4" max="4" width="26.21875" bestFit="1" customWidth="1"/>
    <col min="5" max="5" width="64.88671875" customWidth="1"/>
  </cols>
  <sheetData>
    <row r="1" spans="1:5" ht="15" thickBot="1" x14ac:dyDescent="0.35">
      <c r="A1" t="s">
        <v>135</v>
      </c>
    </row>
    <row r="2" spans="1:5" ht="30" customHeight="1" thickBot="1" x14ac:dyDescent="0.35">
      <c r="A2" s="638" t="s">
        <v>840</v>
      </c>
      <c r="B2" s="657" t="s">
        <v>142</v>
      </c>
      <c r="C2" s="654" t="s">
        <v>256</v>
      </c>
      <c r="D2" s="655" t="s">
        <v>236</v>
      </c>
      <c r="E2" s="656" t="s">
        <v>252</v>
      </c>
    </row>
    <row r="3" spans="1:5" x14ac:dyDescent="0.3">
      <c r="A3" s="1134" t="s">
        <v>280</v>
      </c>
      <c r="B3" s="1132" t="s">
        <v>225</v>
      </c>
      <c r="C3" s="19" t="s">
        <v>838</v>
      </c>
      <c r="D3" s="136"/>
      <c r="E3" s="24" t="s">
        <v>262</v>
      </c>
    </row>
    <row r="4" spans="1:5" x14ac:dyDescent="0.3">
      <c r="A4" s="1135"/>
      <c r="B4" s="1133"/>
      <c r="C4" s="103" t="s">
        <v>2102</v>
      </c>
      <c r="D4" s="141" t="s">
        <v>1503</v>
      </c>
      <c r="E4" s="33" t="s">
        <v>2103</v>
      </c>
    </row>
    <row r="5" spans="1:5" x14ac:dyDescent="0.3">
      <c r="A5" s="16" t="s">
        <v>254</v>
      </c>
      <c r="B5" s="18" t="s">
        <v>255</v>
      </c>
      <c r="C5" s="18"/>
      <c r="D5" s="144" t="s">
        <v>263</v>
      </c>
      <c r="E5" s="22" t="s">
        <v>262</v>
      </c>
    </row>
    <row r="6" spans="1:5" x14ac:dyDescent="0.3">
      <c r="A6" s="16" t="s">
        <v>2045</v>
      </c>
      <c r="B6" s="30" t="s">
        <v>225</v>
      </c>
      <c r="C6" s="18" t="s">
        <v>2044</v>
      </c>
      <c r="D6" s="144" t="s">
        <v>2104</v>
      </c>
      <c r="E6" s="22" t="s">
        <v>2109</v>
      </c>
    </row>
    <row r="7" spans="1:5" x14ac:dyDescent="0.3">
      <c r="A7" s="16" t="s">
        <v>1971</v>
      </c>
      <c r="B7" s="30" t="s">
        <v>225</v>
      </c>
      <c r="C7" s="18" t="s">
        <v>1972</v>
      </c>
      <c r="D7" s="144" t="s">
        <v>1973</v>
      </c>
      <c r="E7" s="22" t="s">
        <v>1970</v>
      </c>
    </row>
    <row r="8" spans="1:5" x14ac:dyDescent="0.3">
      <c r="A8" s="16" t="s">
        <v>1974</v>
      </c>
      <c r="B8" s="30" t="s">
        <v>1975</v>
      </c>
      <c r="C8" s="18" t="s">
        <v>1976</v>
      </c>
      <c r="D8" s="27" t="s">
        <v>1977</v>
      </c>
      <c r="E8" s="22" t="s">
        <v>855</v>
      </c>
    </row>
    <row r="9" spans="1:5" x14ac:dyDescent="0.3">
      <c r="A9" s="16" t="s">
        <v>1978</v>
      </c>
      <c r="B9" s="30" t="s">
        <v>225</v>
      </c>
      <c r="C9" s="18" t="s">
        <v>1979</v>
      </c>
      <c r="D9" s="27" t="s">
        <v>1980</v>
      </c>
      <c r="E9" s="22" t="s">
        <v>855</v>
      </c>
    </row>
    <row r="10" spans="1:5" x14ac:dyDescent="0.3">
      <c r="A10" s="132" t="s">
        <v>188</v>
      </c>
      <c r="B10" s="580" t="s">
        <v>309</v>
      </c>
      <c r="C10" s="581"/>
      <c r="D10" s="27">
        <f>'1. USER INPUTS'!$E$12</f>
        <v>200</v>
      </c>
      <c r="E10" s="33" t="s">
        <v>398</v>
      </c>
    </row>
    <row r="11" spans="1:5" x14ac:dyDescent="0.3">
      <c r="A11" s="132" t="s">
        <v>235</v>
      </c>
      <c r="B11" s="580" t="s">
        <v>231</v>
      </c>
      <c r="C11" s="581"/>
      <c r="D11" s="137">
        <f>PI()*(($D$10/1000)/2)^2</f>
        <v>3.1415926535897934E-2</v>
      </c>
      <c r="E11" s="22" t="s">
        <v>232</v>
      </c>
    </row>
    <row r="12" spans="1:5" x14ac:dyDescent="0.3">
      <c r="A12" s="16" t="s">
        <v>240</v>
      </c>
      <c r="B12" s="30" t="s">
        <v>130</v>
      </c>
      <c r="C12" s="18" t="s">
        <v>1981</v>
      </c>
      <c r="D12" s="137">
        <v>7.2499999999999995E-4</v>
      </c>
      <c r="E12" s="22" t="s">
        <v>2110</v>
      </c>
    </row>
    <row r="13" spans="1:5" x14ac:dyDescent="0.3">
      <c r="A13" s="16" t="s">
        <v>1982</v>
      </c>
      <c r="B13" s="30" t="s">
        <v>133</v>
      </c>
      <c r="C13" s="18"/>
      <c r="D13" s="137">
        <f>$D$12*$D$11</f>
        <v>2.2776546738526001E-5</v>
      </c>
      <c r="E13" s="22" t="s">
        <v>232</v>
      </c>
    </row>
    <row r="14" spans="1:5" x14ac:dyDescent="0.3">
      <c r="A14" s="16" t="s">
        <v>1983</v>
      </c>
      <c r="B14" s="30" t="s">
        <v>129</v>
      </c>
      <c r="C14" s="18" t="s">
        <v>234</v>
      </c>
      <c r="D14" s="137">
        <f>'25. CHEM. &amp; MAT.'!$F$3</f>
        <v>2330</v>
      </c>
      <c r="E14" s="22" t="s">
        <v>1581</v>
      </c>
    </row>
    <row r="15" spans="1:5" x14ac:dyDescent="0.3">
      <c r="A15" s="16" t="s">
        <v>241</v>
      </c>
      <c r="B15" s="30" t="s">
        <v>128</v>
      </c>
      <c r="C15" s="18"/>
      <c r="D15" s="137">
        <f>$D$13*$D$14</f>
        <v>5.306935390076558E-2</v>
      </c>
      <c r="E15" s="22" t="s">
        <v>232</v>
      </c>
    </row>
    <row r="16" spans="1:5" x14ac:dyDescent="0.3">
      <c r="A16" s="16" t="s">
        <v>1984</v>
      </c>
      <c r="B16" s="30" t="s">
        <v>1985</v>
      </c>
      <c r="C16" s="18"/>
      <c r="D16" s="138">
        <f>2127</f>
        <v>2127</v>
      </c>
      <c r="E16" s="22" t="s">
        <v>1986</v>
      </c>
    </row>
    <row r="17" spans="1:5" x14ac:dyDescent="0.3">
      <c r="A17" s="16" t="s">
        <v>1987</v>
      </c>
      <c r="B17" s="30" t="s">
        <v>259</v>
      </c>
      <c r="C17" s="18"/>
      <c r="D17" s="138">
        <f>$D$16*$D$15</f>
        <v>112.87851574692839</v>
      </c>
      <c r="E17" s="22" t="s">
        <v>232</v>
      </c>
    </row>
    <row r="18" spans="1:5" x14ac:dyDescent="0.3">
      <c r="A18" s="16" t="s">
        <v>1988</v>
      </c>
      <c r="B18" s="30" t="s">
        <v>130</v>
      </c>
      <c r="C18" s="18"/>
      <c r="D18" s="137">
        <f>'1. USER INPUTS'!$E$5*0.001</f>
        <v>7.0000000000000007E-5</v>
      </c>
      <c r="E18" s="22" t="s">
        <v>2109</v>
      </c>
    </row>
    <row r="19" spans="1:5" x14ac:dyDescent="0.3">
      <c r="A19" s="16" t="s">
        <v>1989</v>
      </c>
      <c r="B19" s="30" t="s">
        <v>133</v>
      </c>
      <c r="C19" s="18"/>
      <c r="D19" s="137">
        <f>$D$18*$D$11</f>
        <v>2.1991148575128554E-6</v>
      </c>
      <c r="E19" s="22" t="s">
        <v>232</v>
      </c>
    </row>
    <row r="20" spans="1:5" x14ac:dyDescent="0.3">
      <c r="A20" s="16" t="s">
        <v>242</v>
      </c>
      <c r="B20" s="30" t="s">
        <v>128</v>
      </c>
      <c r="C20" s="18"/>
      <c r="D20" s="137">
        <f>$D$19*$D$14</f>
        <v>5.1239376180049531E-3</v>
      </c>
      <c r="E20" s="22" t="s">
        <v>232</v>
      </c>
    </row>
    <row r="21" spans="1:5" ht="15" thickBot="1" x14ac:dyDescent="0.35">
      <c r="A21" s="17" t="s">
        <v>1990</v>
      </c>
      <c r="B21" s="31" t="s">
        <v>214</v>
      </c>
      <c r="C21" s="20" t="s">
        <v>1991</v>
      </c>
      <c r="D21" s="628">
        <f>$D$20/$D$15</f>
        <v>9.6551724137931047E-2</v>
      </c>
      <c r="E21" s="28" t="s">
        <v>232</v>
      </c>
    </row>
    <row r="22" spans="1:5" x14ac:dyDescent="0.3">
      <c r="A22" s="1122" t="s">
        <v>315</v>
      </c>
      <c r="B22" s="1123"/>
      <c r="C22" s="1123"/>
      <c r="D22" s="1123"/>
      <c r="E22" s="1124"/>
    </row>
    <row r="23" spans="1:5" x14ac:dyDescent="0.3">
      <c r="A23" s="285" t="s">
        <v>714</v>
      </c>
      <c r="B23" s="15" t="s">
        <v>128</v>
      </c>
      <c r="C23" s="15"/>
      <c r="D23" s="109">
        <v>22</v>
      </c>
      <c r="E23" s="276" t="s">
        <v>253</v>
      </c>
    </row>
    <row r="24" spans="1:5" x14ac:dyDescent="0.3">
      <c r="A24" s="285" t="s">
        <v>716</v>
      </c>
      <c r="B24" s="15" t="s">
        <v>1985</v>
      </c>
      <c r="C24" s="15"/>
      <c r="D24" s="109">
        <v>2127</v>
      </c>
      <c r="E24" s="276" t="s">
        <v>253</v>
      </c>
    </row>
    <row r="25" spans="1:5" x14ac:dyDescent="0.3">
      <c r="A25" s="285" t="s">
        <v>716</v>
      </c>
      <c r="B25" s="15" t="s">
        <v>259</v>
      </c>
      <c r="C25" s="15" t="s">
        <v>763</v>
      </c>
      <c r="D25" s="311">
        <f>$D$24*$D$15</f>
        <v>112.87851574692839</v>
      </c>
      <c r="E25" s="276" t="s">
        <v>232</v>
      </c>
    </row>
    <row r="26" spans="1:5" x14ac:dyDescent="0.3">
      <c r="A26" s="293" t="s">
        <v>738</v>
      </c>
      <c r="B26" s="15" t="s">
        <v>128</v>
      </c>
      <c r="C26" s="15"/>
      <c r="D26" s="109">
        <v>26.9</v>
      </c>
      <c r="E26" s="276" t="s">
        <v>253</v>
      </c>
    </row>
    <row r="27" spans="1:5" x14ac:dyDescent="0.3">
      <c r="A27" s="285" t="s">
        <v>689</v>
      </c>
      <c r="B27" s="15" t="s">
        <v>128</v>
      </c>
      <c r="C27" s="15"/>
      <c r="D27" s="109">
        <v>10.1</v>
      </c>
      <c r="E27" s="276" t="s">
        <v>253</v>
      </c>
    </row>
    <row r="28" spans="1:5" x14ac:dyDescent="0.3">
      <c r="A28" s="285" t="s">
        <v>690</v>
      </c>
      <c r="B28" s="15" t="s">
        <v>128</v>
      </c>
      <c r="C28" s="15"/>
      <c r="D28" s="109">
        <v>3.3</v>
      </c>
      <c r="E28" s="276" t="s">
        <v>253</v>
      </c>
    </row>
    <row r="29" spans="1:5" x14ac:dyDescent="0.3">
      <c r="A29" s="293" t="s">
        <v>691</v>
      </c>
      <c r="B29" s="15" t="s">
        <v>128</v>
      </c>
      <c r="C29" s="15"/>
      <c r="D29" s="109">
        <v>0.9</v>
      </c>
      <c r="E29" s="276" t="s">
        <v>253</v>
      </c>
    </row>
    <row r="30" spans="1:5" x14ac:dyDescent="0.3">
      <c r="A30" s="293" t="s">
        <v>431</v>
      </c>
      <c r="B30" s="15" t="s">
        <v>128</v>
      </c>
      <c r="C30" s="15"/>
      <c r="D30" s="109">
        <v>37.299999999999997</v>
      </c>
      <c r="E30" s="276" t="s">
        <v>253</v>
      </c>
    </row>
    <row r="31" spans="1:5" x14ac:dyDescent="0.3">
      <c r="A31" s="1125" t="s">
        <v>291</v>
      </c>
      <c r="B31" s="1126"/>
      <c r="C31" s="1126"/>
      <c r="D31" s="1126"/>
      <c r="E31" s="1127"/>
    </row>
    <row r="32" spans="1:5" x14ac:dyDescent="0.3">
      <c r="A32" s="285" t="s">
        <v>716</v>
      </c>
      <c r="B32" s="15" t="s">
        <v>132</v>
      </c>
      <c r="C32" s="15"/>
      <c r="D32" s="107">
        <f>($D$25*'1. USER INPUTS'!$E$23)</f>
        <v>0.48496365535673341</v>
      </c>
      <c r="E32" s="276" t="s">
        <v>253</v>
      </c>
    </row>
    <row r="33" spans="1:5" x14ac:dyDescent="0.3">
      <c r="A33" s="285" t="s">
        <v>714</v>
      </c>
      <c r="B33" s="15" t="s">
        <v>128</v>
      </c>
      <c r="C33" s="15"/>
      <c r="D33" s="107">
        <f>($D$23*$D$15*'1. USER INPUTS'!$E$23)</f>
        <v>5.0160791809347139E-3</v>
      </c>
      <c r="E33" s="276" t="s">
        <v>253</v>
      </c>
    </row>
    <row r="34" spans="1:5" x14ac:dyDescent="0.3">
      <c r="A34" s="293" t="s">
        <v>738</v>
      </c>
      <c r="B34" s="15" t="s">
        <v>128</v>
      </c>
      <c r="C34" s="15"/>
      <c r="D34" s="107">
        <f>($D$26*$D$15*'1. USER INPUTS'!$E$23)</f>
        <v>6.1332968166883531E-3</v>
      </c>
      <c r="E34" s="276" t="s">
        <v>253</v>
      </c>
    </row>
    <row r="35" spans="1:5" x14ac:dyDescent="0.3">
      <c r="A35" s="285" t="s">
        <v>689</v>
      </c>
      <c r="B35" s="15" t="s">
        <v>128</v>
      </c>
      <c r="C35" s="15"/>
      <c r="D35" s="107">
        <f>($D$27*$D$15*'1. USER INPUTS'!$E$23)</f>
        <v>2.3028363512473003E-3</v>
      </c>
      <c r="E35" s="276" t="s">
        <v>253</v>
      </c>
    </row>
    <row r="36" spans="1:5" x14ac:dyDescent="0.3">
      <c r="A36" s="285" t="s">
        <v>690</v>
      </c>
      <c r="B36" s="15" t="s">
        <v>128</v>
      </c>
      <c r="C36" s="15"/>
      <c r="D36" s="107">
        <f>($D$28*$D$15*'1. USER INPUTS'!$E$23)</f>
        <v>7.5241187714020696E-4</v>
      </c>
      <c r="E36" s="276" t="s">
        <v>253</v>
      </c>
    </row>
    <row r="37" spans="1:5" x14ac:dyDescent="0.3">
      <c r="A37" s="293" t="s">
        <v>691</v>
      </c>
      <c r="B37" s="15" t="s">
        <v>128</v>
      </c>
      <c r="C37" s="262" t="s">
        <v>449</v>
      </c>
      <c r="D37" s="107">
        <f>($D$29*$D$15*'1. USER INPUTS'!$E$23)</f>
        <v>2.0520323922005644E-4</v>
      </c>
      <c r="E37" s="276" t="s">
        <v>253</v>
      </c>
    </row>
    <row r="38" spans="1:5" x14ac:dyDescent="0.3">
      <c r="A38" s="293" t="s">
        <v>431</v>
      </c>
      <c r="B38" s="15" t="s">
        <v>128</v>
      </c>
      <c r="C38" s="15"/>
      <c r="D38" s="107">
        <f>($D$30*$D$15*'1. USER INPUTS'!$E$23)</f>
        <v>8.5045342476756727E-3</v>
      </c>
      <c r="E38" s="276" t="s">
        <v>253</v>
      </c>
    </row>
    <row r="39" spans="1:5" x14ac:dyDescent="0.3">
      <c r="A39" s="1128" t="s">
        <v>316</v>
      </c>
      <c r="B39" s="1129"/>
      <c r="C39" s="1129"/>
      <c r="D39" s="1129"/>
      <c r="E39" s="1130"/>
    </row>
    <row r="40" spans="1:5" x14ac:dyDescent="0.3">
      <c r="A40" s="16" t="s">
        <v>1846</v>
      </c>
      <c r="B40" s="18" t="s">
        <v>128</v>
      </c>
      <c r="C40" s="18" t="s">
        <v>251</v>
      </c>
      <c r="D40" s="27">
        <v>1</v>
      </c>
      <c r="E40" s="22"/>
    </row>
    <row r="41" spans="1:5" x14ac:dyDescent="0.3">
      <c r="A41" s="515" t="s">
        <v>817</v>
      </c>
      <c r="B41" s="43" t="s">
        <v>128</v>
      </c>
      <c r="C41" s="518" t="s">
        <v>229</v>
      </c>
      <c r="D41" s="525">
        <v>46</v>
      </c>
      <c r="E41" s="526" t="s">
        <v>253</v>
      </c>
    </row>
    <row r="42" spans="1:5" x14ac:dyDescent="0.3">
      <c r="A42" s="515" t="s">
        <v>818</v>
      </c>
      <c r="B42" s="43" t="s">
        <v>128</v>
      </c>
      <c r="C42" s="518" t="s">
        <v>229</v>
      </c>
      <c r="D42" s="525">
        <v>0.92</v>
      </c>
      <c r="E42" s="526" t="s">
        <v>253</v>
      </c>
    </row>
    <row r="43" spans="1:5" x14ac:dyDescent="0.3">
      <c r="A43" s="515" t="s">
        <v>819</v>
      </c>
      <c r="B43" s="43" t="s">
        <v>128</v>
      </c>
      <c r="C43" s="518" t="s">
        <v>229</v>
      </c>
      <c r="D43" s="525">
        <v>7.5999999999999998E-2</v>
      </c>
      <c r="E43" s="526" t="s">
        <v>253</v>
      </c>
    </row>
    <row r="44" spans="1:5" x14ac:dyDescent="0.3">
      <c r="A44" s="515" t="s">
        <v>820</v>
      </c>
      <c r="B44" s="43" t="s">
        <v>128</v>
      </c>
      <c r="C44" s="518" t="s">
        <v>229</v>
      </c>
      <c r="D44" s="525">
        <v>0.47</v>
      </c>
      <c r="E44" s="526" t="s">
        <v>253</v>
      </c>
    </row>
    <row r="45" spans="1:5" x14ac:dyDescent="0.3">
      <c r="A45" s="515" t="s">
        <v>792</v>
      </c>
      <c r="B45" s="43" t="s">
        <v>128</v>
      </c>
      <c r="C45" s="518" t="s">
        <v>229</v>
      </c>
      <c r="D45" s="525">
        <v>0.38</v>
      </c>
      <c r="E45" s="526" t="s">
        <v>253</v>
      </c>
    </row>
    <row r="46" spans="1:5" x14ac:dyDescent="0.3">
      <c r="A46" s="515" t="s">
        <v>821</v>
      </c>
      <c r="B46" s="43" t="s">
        <v>128</v>
      </c>
      <c r="C46" s="518" t="s">
        <v>229</v>
      </c>
      <c r="D46" s="525">
        <v>0.16</v>
      </c>
      <c r="E46" s="526" t="s">
        <v>253</v>
      </c>
    </row>
    <row r="47" spans="1:5" x14ac:dyDescent="0.3">
      <c r="A47" s="515" t="s">
        <v>250</v>
      </c>
      <c r="B47" s="43" t="s">
        <v>128</v>
      </c>
      <c r="C47" s="518" t="s">
        <v>229</v>
      </c>
      <c r="D47" s="525">
        <v>1.1100000000000001</v>
      </c>
      <c r="E47" s="526" t="s">
        <v>253</v>
      </c>
    </row>
    <row r="48" spans="1:5" x14ac:dyDescent="0.3">
      <c r="A48" s="515" t="s">
        <v>822</v>
      </c>
      <c r="B48" s="43" t="s">
        <v>521</v>
      </c>
      <c r="C48" s="518" t="s">
        <v>229</v>
      </c>
      <c r="D48" s="525">
        <f>0.0104</f>
        <v>1.04E-2</v>
      </c>
      <c r="E48" s="526" t="s">
        <v>253</v>
      </c>
    </row>
    <row r="49" spans="1:5" x14ac:dyDescent="0.3">
      <c r="A49" s="515" t="s">
        <v>823</v>
      </c>
      <c r="B49" s="43" t="s">
        <v>128</v>
      </c>
      <c r="C49" s="518" t="s">
        <v>229</v>
      </c>
      <c r="D49" s="525">
        <v>0.19</v>
      </c>
      <c r="E49" s="526" t="s">
        <v>253</v>
      </c>
    </row>
    <row r="50" spans="1:5" x14ac:dyDescent="0.3">
      <c r="A50" s="527" t="s">
        <v>824</v>
      </c>
      <c r="B50" s="43" t="s">
        <v>128</v>
      </c>
      <c r="C50" s="518" t="s">
        <v>229</v>
      </c>
      <c r="D50" s="525">
        <v>0.69</v>
      </c>
      <c r="E50" s="526" t="s">
        <v>253</v>
      </c>
    </row>
    <row r="51" spans="1:5" x14ac:dyDescent="0.3">
      <c r="A51" s="515" t="s">
        <v>825</v>
      </c>
      <c r="B51" s="43" t="s">
        <v>128</v>
      </c>
      <c r="C51" s="518" t="s">
        <v>317</v>
      </c>
      <c r="D51" s="525">
        <v>0.09</v>
      </c>
      <c r="E51" s="526" t="s">
        <v>253</v>
      </c>
    </row>
    <row r="52" spans="1:5" x14ac:dyDescent="0.3">
      <c r="A52" s="527" t="s">
        <v>826</v>
      </c>
      <c r="B52" s="43" t="s">
        <v>128</v>
      </c>
      <c r="C52" s="518" t="s">
        <v>233</v>
      </c>
      <c r="D52" s="525">
        <v>4.3499999999999996</v>
      </c>
      <c r="E52" s="526" t="s">
        <v>253</v>
      </c>
    </row>
    <row r="53" spans="1:5" x14ac:dyDescent="0.3">
      <c r="A53" s="863" t="s">
        <v>340</v>
      </c>
      <c r="B53" s="864" t="s">
        <v>128</v>
      </c>
      <c r="C53" s="865" t="s">
        <v>679</v>
      </c>
      <c r="D53" s="866">
        <v>1.58</v>
      </c>
      <c r="E53" s="867" t="s">
        <v>253</v>
      </c>
    </row>
    <row r="54" spans="1:5" x14ac:dyDescent="0.3">
      <c r="A54" s="868" t="s">
        <v>341</v>
      </c>
      <c r="B54" s="864" t="s">
        <v>128</v>
      </c>
      <c r="C54" s="865" t="s">
        <v>679</v>
      </c>
      <c r="D54" s="866">
        <v>0.36</v>
      </c>
      <c r="E54" s="867" t="s">
        <v>253</v>
      </c>
    </row>
    <row r="55" spans="1:5" x14ac:dyDescent="0.3">
      <c r="A55" s="868" t="s">
        <v>1848</v>
      </c>
      <c r="B55" s="869" t="s">
        <v>128</v>
      </c>
      <c r="C55" s="865" t="s">
        <v>679</v>
      </c>
      <c r="D55" s="870">
        <v>22.9</v>
      </c>
      <c r="E55" s="871" t="s">
        <v>253</v>
      </c>
    </row>
    <row r="56" spans="1:5" x14ac:dyDescent="0.3">
      <c r="A56" s="1131" t="s">
        <v>1847</v>
      </c>
      <c r="B56" s="1129"/>
      <c r="C56" s="1129"/>
      <c r="D56" s="1129"/>
      <c r="E56" s="1130"/>
    </row>
    <row r="57" spans="1:5" x14ac:dyDescent="0.3">
      <c r="A57" s="16" t="s">
        <v>1846</v>
      </c>
      <c r="B57" s="18" t="s">
        <v>293</v>
      </c>
      <c r="C57" s="18" t="s">
        <v>251</v>
      </c>
      <c r="D57" s="27">
        <v>1</v>
      </c>
      <c r="E57" s="22"/>
    </row>
    <row r="58" spans="1:5" x14ac:dyDescent="0.3">
      <c r="A58" s="515" t="s">
        <v>817</v>
      </c>
      <c r="B58" s="43" t="s">
        <v>128</v>
      </c>
      <c r="C58" s="518" t="s">
        <v>229</v>
      </c>
      <c r="D58" s="530">
        <f>(D41*$D$15*'1. USER INPUTS'!$E$23)</f>
        <v>1.0488165560136218E-2</v>
      </c>
      <c r="E58" s="526" t="s">
        <v>253</v>
      </c>
    </row>
    <row r="59" spans="1:5" x14ac:dyDescent="0.3">
      <c r="A59" s="515" t="s">
        <v>818</v>
      </c>
      <c r="B59" s="43" t="s">
        <v>128</v>
      </c>
      <c r="C59" s="518" t="s">
        <v>229</v>
      </c>
      <c r="D59" s="530">
        <f>(D42*$D$15*'1. USER INPUTS'!$E$23)</f>
        <v>2.0976331120272436E-4</v>
      </c>
      <c r="E59" s="526" t="s">
        <v>253</v>
      </c>
    </row>
    <row r="60" spans="1:5" x14ac:dyDescent="0.3">
      <c r="A60" s="515" t="s">
        <v>819</v>
      </c>
      <c r="B60" s="43" t="s">
        <v>128</v>
      </c>
      <c r="C60" s="518" t="s">
        <v>229</v>
      </c>
      <c r="D60" s="530">
        <f>(D43*$D$15*'1. USER INPUTS'!$E$23)</f>
        <v>1.73282735341381E-5</v>
      </c>
      <c r="E60" s="526" t="s">
        <v>253</v>
      </c>
    </row>
    <row r="61" spans="1:5" x14ac:dyDescent="0.3">
      <c r="A61" s="515" t="s">
        <v>820</v>
      </c>
      <c r="B61" s="43" t="s">
        <v>128</v>
      </c>
      <c r="C61" s="518" t="s">
        <v>229</v>
      </c>
      <c r="D61" s="530">
        <f>(D44*$D$15*'1. USER INPUTS'!$E$23)</f>
        <v>1.0716169159269613E-4</v>
      </c>
      <c r="E61" s="526" t="s">
        <v>253</v>
      </c>
    </row>
    <row r="62" spans="1:5" x14ac:dyDescent="0.3">
      <c r="A62" s="515" t="s">
        <v>792</v>
      </c>
      <c r="B62" s="43" t="s">
        <v>128</v>
      </c>
      <c r="C62" s="518" t="s">
        <v>229</v>
      </c>
      <c r="D62" s="530">
        <f>(D45*$D$15*'1. USER INPUTS'!$E$23)</f>
        <v>8.6641367670690496E-5</v>
      </c>
      <c r="E62" s="526" t="s">
        <v>253</v>
      </c>
    </row>
    <row r="63" spans="1:5" x14ac:dyDescent="0.3">
      <c r="A63" s="515" t="s">
        <v>821</v>
      </c>
      <c r="B63" s="43" t="s">
        <v>128</v>
      </c>
      <c r="C63" s="518" t="s">
        <v>229</v>
      </c>
      <c r="D63" s="530">
        <f>(D46*$D$15*'1. USER INPUTS'!$E$23)</f>
        <v>3.6480575861343368E-5</v>
      </c>
      <c r="E63" s="526" t="s">
        <v>253</v>
      </c>
    </row>
    <row r="64" spans="1:5" x14ac:dyDescent="0.3">
      <c r="A64" s="515" t="s">
        <v>250</v>
      </c>
      <c r="B64" s="43" t="s">
        <v>128</v>
      </c>
      <c r="C64" s="518" t="s">
        <v>678</v>
      </c>
      <c r="D64" s="530">
        <f>(D47*$D$15*'1. USER INPUTS'!$E$23)</f>
        <v>2.5308399503806966E-4</v>
      </c>
      <c r="E64" s="526" t="s">
        <v>253</v>
      </c>
    </row>
    <row r="65" spans="1:5" x14ac:dyDescent="0.3">
      <c r="A65" s="515" t="s">
        <v>822</v>
      </c>
      <c r="B65" s="43" t="s">
        <v>521</v>
      </c>
      <c r="C65" s="518" t="s">
        <v>229</v>
      </c>
      <c r="D65" s="530">
        <f>(D48*$D$15*'1. USER INPUTS'!$E$23)</f>
        <v>2.3712374309873189E-6</v>
      </c>
      <c r="E65" s="526" t="s">
        <v>253</v>
      </c>
    </row>
    <row r="66" spans="1:5" x14ac:dyDescent="0.3">
      <c r="A66" s="515" t="s">
        <v>823</v>
      </c>
      <c r="B66" s="43" t="s">
        <v>128</v>
      </c>
      <c r="C66" s="518" t="s">
        <v>229</v>
      </c>
      <c r="D66" s="530">
        <f>(D49*$D$15*'1. USER INPUTS'!$E$23)</f>
        <v>4.3320683835345248E-5</v>
      </c>
      <c r="E66" s="526" t="s">
        <v>253</v>
      </c>
    </row>
    <row r="67" spans="1:5" x14ac:dyDescent="0.3">
      <c r="A67" s="527" t="s">
        <v>824</v>
      </c>
      <c r="B67" s="43" t="s">
        <v>128</v>
      </c>
      <c r="C67" s="518" t="s">
        <v>229</v>
      </c>
      <c r="D67" s="530">
        <f>(D50*$D$15*'1. USER INPUTS'!$E$23)</f>
        <v>1.5732248340204327E-4</v>
      </c>
      <c r="E67" s="526" t="s">
        <v>253</v>
      </c>
    </row>
    <row r="68" spans="1:5" x14ac:dyDescent="0.3">
      <c r="A68" s="515" t="s">
        <v>825</v>
      </c>
      <c r="B68" s="43" t="s">
        <v>128</v>
      </c>
      <c r="C68" s="518" t="s">
        <v>317</v>
      </c>
      <c r="D68" s="530">
        <f>(D51*$D$15*'1. USER INPUTS'!$E$23)</f>
        <v>2.0520323922005643E-5</v>
      </c>
      <c r="E68" s="526" t="s">
        <v>253</v>
      </c>
    </row>
    <row r="69" spans="1:5" x14ac:dyDescent="0.3">
      <c r="A69" s="527" t="s">
        <v>826</v>
      </c>
      <c r="B69" s="43" t="s">
        <v>128</v>
      </c>
      <c r="C69" s="518" t="s">
        <v>233</v>
      </c>
      <c r="D69" s="530">
        <f>(D52*$D$15*'1. USER INPUTS'!$E$23)</f>
        <v>9.9181565623027287E-4</v>
      </c>
      <c r="E69" s="526" t="s">
        <v>253</v>
      </c>
    </row>
    <row r="70" spans="1:5" x14ac:dyDescent="0.3">
      <c r="A70" s="863" t="s">
        <v>340</v>
      </c>
      <c r="B70" s="864" t="s">
        <v>128</v>
      </c>
      <c r="C70" s="865" t="s">
        <v>679</v>
      </c>
      <c r="D70" s="872">
        <f>(D53*$D$15*'1. USER INPUTS'!$E$23)</f>
        <v>3.6024568663076579E-4</v>
      </c>
      <c r="E70" s="867" t="s">
        <v>253</v>
      </c>
    </row>
    <row r="71" spans="1:5" x14ac:dyDescent="0.3">
      <c r="A71" s="868" t="s">
        <v>341</v>
      </c>
      <c r="B71" s="864" t="s">
        <v>128</v>
      </c>
      <c r="C71" s="865" t="s">
        <v>679</v>
      </c>
      <c r="D71" s="872">
        <f>(D54*$D$15*'1. USER INPUTS'!$E$23)</f>
        <v>8.2081295688022572E-5</v>
      </c>
      <c r="E71" s="867" t="s">
        <v>253</v>
      </c>
    </row>
    <row r="72" spans="1:5" ht="15" thickBot="1" x14ac:dyDescent="0.35">
      <c r="A72" s="873" t="s">
        <v>1848</v>
      </c>
      <c r="B72" s="874" t="s">
        <v>128</v>
      </c>
      <c r="C72" s="875" t="s">
        <v>679</v>
      </c>
      <c r="D72" s="876">
        <f>(D55*$D$15*'1. USER INPUTS'!$E$23)</f>
        <v>5.2212824201547693E-3</v>
      </c>
      <c r="E72" s="877" t="s">
        <v>253</v>
      </c>
    </row>
  </sheetData>
  <sheetProtection algorithmName="SHA-512" hashValue="lz6q76vviXStQVIRrmqiGUFiEQxNPgVMGwfr0odx+AUe8cV7dH0CjKxCDNKgjhXDft0P5AZQrk9Ex4mIUaFHUQ==" saltValue="/cx/W7oWj+lQqGueft9g/Q==" spinCount="100000" sheet="1" objects="1" scenarios="1"/>
  <mergeCells count="6">
    <mergeCell ref="A22:E22"/>
    <mergeCell ref="A31:E31"/>
    <mergeCell ref="A39:E39"/>
    <mergeCell ref="A56:E56"/>
    <mergeCell ref="B3:B4"/>
    <mergeCell ref="A3:A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0A20F-EBA6-4606-983C-870AC30EBA5B}">
  <dimension ref="A1:E197"/>
  <sheetViews>
    <sheetView zoomScale="85" zoomScaleNormal="85" workbookViewId="0"/>
  </sheetViews>
  <sheetFormatPr baseColWidth="10" defaultRowHeight="14.4" x14ac:dyDescent="0.3"/>
  <cols>
    <col min="1" max="1" width="62.109375" bestFit="1" customWidth="1"/>
    <col min="2" max="2" width="13.88671875" customWidth="1"/>
    <col min="3" max="3" width="126.109375" bestFit="1" customWidth="1"/>
    <col min="4" max="4" width="8.44140625" bestFit="1" customWidth="1"/>
    <col min="5" max="5" width="76.109375" bestFit="1" customWidth="1"/>
  </cols>
  <sheetData>
    <row r="1" spans="1:5" ht="15" thickBot="1" x14ac:dyDescent="0.35">
      <c r="A1" t="s">
        <v>135</v>
      </c>
    </row>
    <row r="2" spans="1:5" ht="30" customHeight="1" thickBot="1" x14ac:dyDescent="0.35">
      <c r="A2" s="638" t="s">
        <v>350</v>
      </c>
      <c r="B2" s="657" t="s">
        <v>142</v>
      </c>
      <c r="C2" s="654" t="s">
        <v>256</v>
      </c>
      <c r="D2" s="655" t="s">
        <v>236</v>
      </c>
      <c r="E2" s="656" t="s">
        <v>212</v>
      </c>
    </row>
    <row r="3" spans="1:5" x14ac:dyDescent="0.3">
      <c r="A3" s="18" t="s">
        <v>2186</v>
      </c>
      <c r="B3" s="19" t="s">
        <v>225</v>
      </c>
      <c r="C3" s="19"/>
      <c r="D3" s="136">
        <f>SUM($D$61,$D$98,$D$130,$D$159,$D$189)</f>
        <v>11</v>
      </c>
      <c r="E3" s="24" t="s">
        <v>232</v>
      </c>
    </row>
    <row r="4" spans="1:5" x14ac:dyDescent="0.3">
      <c r="A4" s="18" t="s">
        <v>2178</v>
      </c>
      <c r="B4" s="18" t="s">
        <v>226</v>
      </c>
      <c r="C4" s="18"/>
      <c r="D4" s="138">
        <f>SUM($D$58,$D$94,$D$126,$D$155*$D$159,$D$185)</f>
        <v>5886</v>
      </c>
      <c r="E4" s="27" t="s">
        <v>232</v>
      </c>
    </row>
    <row r="5" spans="1:5" x14ac:dyDescent="0.3">
      <c r="A5" s="1125" t="s">
        <v>291</v>
      </c>
      <c r="B5" s="1126"/>
      <c r="C5" s="1126"/>
      <c r="D5" s="1126"/>
      <c r="E5" s="1127"/>
    </row>
    <row r="6" spans="1:5" x14ac:dyDescent="0.3">
      <c r="A6" s="262" t="s">
        <v>716</v>
      </c>
      <c r="B6" s="15" t="s">
        <v>132</v>
      </c>
      <c r="C6" s="15" t="s">
        <v>2229</v>
      </c>
      <c r="D6" s="286">
        <f>SUM($D$63,$D$100,$D$132,$D$161,$D$191)</f>
        <v>1.64931437638483E-3</v>
      </c>
      <c r="E6" s="276" t="s">
        <v>232</v>
      </c>
    </row>
    <row r="7" spans="1:5" x14ac:dyDescent="0.3">
      <c r="A7" s="15" t="s">
        <v>158</v>
      </c>
      <c r="B7" s="15" t="s">
        <v>128</v>
      </c>
      <c r="C7" s="15"/>
      <c r="D7" s="286">
        <f>SUM($D$67,$D$103,$D$134,$D$164,$D$193)</f>
        <v>3.5049841172979321</v>
      </c>
      <c r="E7" s="276" t="s">
        <v>232</v>
      </c>
    </row>
    <row r="8" spans="1:5" x14ac:dyDescent="0.3">
      <c r="A8" s="15" t="s">
        <v>380</v>
      </c>
      <c r="B8" s="15" t="s">
        <v>128</v>
      </c>
      <c r="C8" s="15"/>
      <c r="D8" s="286">
        <f>SUM($D$101)</f>
        <v>1.4464320001290984E-4</v>
      </c>
      <c r="E8" s="276" t="s">
        <v>232</v>
      </c>
    </row>
    <row r="9" spans="1:5" x14ac:dyDescent="0.3">
      <c r="A9" s="15" t="s">
        <v>695</v>
      </c>
      <c r="B9" s="15" t="s">
        <v>128</v>
      </c>
      <c r="C9" s="15"/>
      <c r="D9" s="286">
        <f>SUM($D$64,$D$102)</f>
        <v>1.5183304764631485E-3</v>
      </c>
      <c r="E9" s="276" t="s">
        <v>232</v>
      </c>
    </row>
    <row r="10" spans="1:5" x14ac:dyDescent="0.3">
      <c r="A10" s="15" t="s">
        <v>696</v>
      </c>
      <c r="B10" s="15" t="s">
        <v>128</v>
      </c>
      <c r="C10" s="15"/>
      <c r="D10" s="286">
        <f>SUM($D$65,$D$133)</f>
        <v>1.0248966688943553E-2</v>
      </c>
      <c r="E10" s="276" t="s">
        <v>232</v>
      </c>
    </row>
    <row r="11" spans="1:5" x14ac:dyDescent="0.3">
      <c r="A11" s="262" t="s">
        <v>698</v>
      </c>
      <c r="B11" s="15" t="s">
        <v>128</v>
      </c>
      <c r="C11" s="15"/>
      <c r="D11" s="286">
        <f>$D$66</f>
        <v>3.0429752600375721E-3</v>
      </c>
      <c r="E11" s="276" t="s">
        <v>232</v>
      </c>
    </row>
    <row r="12" spans="1:5" x14ac:dyDescent="0.3">
      <c r="A12" s="293" t="s">
        <v>798</v>
      </c>
      <c r="B12" s="15" t="s">
        <v>128</v>
      </c>
      <c r="C12" s="15"/>
      <c r="D12" s="107">
        <f>$D$162</f>
        <v>1.3759005387366649E-2</v>
      </c>
      <c r="E12" s="276" t="s">
        <v>232</v>
      </c>
    </row>
    <row r="13" spans="1:5" x14ac:dyDescent="0.3">
      <c r="A13" s="285" t="s">
        <v>430</v>
      </c>
      <c r="B13" s="15" t="s">
        <v>128</v>
      </c>
      <c r="C13" s="15"/>
      <c r="D13" s="286">
        <f>$D$163</f>
        <v>1.0901944159388873E-3</v>
      </c>
      <c r="E13" s="276" t="s">
        <v>232</v>
      </c>
    </row>
    <row r="14" spans="1:5" x14ac:dyDescent="0.3">
      <c r="A14" s="293" t="s">
        <v>1812</v>
      </c>
      <c r="B14" s="15" t="s">
        <v>128</v>
      </c>
      <c r="C14" s="15"/>
      <c r="D14" s="107">
        <f>$D$192</f>
        <v>3.1792861785015828E-3</v>
      </c>
      <c r="E14" s="276" t="s">
        <v>232</v>
      </c>
    </row>
    <row r="15" spans="1:5" x14ac:dyDescent="0.3">
      <c r="A15" s="293" t="s">
        <v>962</v>
      </c>
      <c r="B15" s="15" t="s">
        <v>128</v>
      </c>
      <c r="C15" s="15"/>
      <c r="D15" s="286">
        <f>$D$68</f>
        <v>7.6045088323618945E-4</v>
      </c>
      <c r="E15" s="276" t="s">
        <v>232</v>
      </c>
    </row>
    <row r="16" spans="1:5" x14ac:dyDescent="0.3">
      <c r="A16" s="1128" t="s">
        <v>292</v>
      </c>
      <c r="B16" s="1129"/>
      <c r="C16" s="1129"/>
      <c r="D16" s="1129"/>
      <c r="E16" s="1130"/>
    </row>
    <row r="17" spans="1:5" x14ac:dyDescent="0.3">
      <c r="A17" s="16" t="s">
        <v>706</v>
      </c>
      <c r="B17" s="18" t="s">
        <v>293</v>
      </c>
      <c r="C17" s="18"/>
      <c r="D17" s="27">
        <v>1</v>
      </c>
      <c r="E17" s="22"/>
    </row>
    <row r="18" spans="1:5" x14ac:dyDescent="0.3">
      <c r="A18" s="112" t="s">
        <v>159</v>
      </c>
      <c r="B18" s="113" t="s">
        <v>128</v>
      </c>
      <c r="C18" s="113" t="s">
        <v>2270</v>
      </c>
      <c r="D18" s="124">
        <f>$D$7</f>
        <v>3.5049841172979321</v>
      </c>
      <c r="E18" s="291" t="s">
        <v>237</v>
      </c>
    </row>
    <row r="19" spans="1:5" x14ac:dyDescent="0.3">
      <c r="A19" s="112" t="s">
        <v>155</v>
      </c>
      <c r="B19" s="113" t="s">
        <v>128</v>
      </c>
      <c r="C19" s="113" t="s">
        <v>2270</v>
      </c>
      <c r="D19" s="124">
        <f>$D$8</f>
        <v>1.4464320001290984E-4</v>
      </c>
      <c r="E19" s="291" t="s">
        <v>237</v>
      </c>
    </row>
    <row r="20" spans="1:5" x14ac:dyDescent="0.3">
      <c r="A20" s="112" t="s">
        <v>157</v>
      </c>
      <c r="B20" s="113" t="s">
        <v>128</v>
      </c>
      <c r="C20" s="113" t="s">
        <v>2270</v>
      </c>
      <c r="D20" s="124">
        <f>$D$9</f>
        <v>1.5183304764631485E-3</v>
      </c>
      <c r="E20" s="291" t="s">
        <v>237</v>
      </c>
    </row>
    <row r="21" spans="1:5" x14ac:dyDescent="0.3">
      <c r="A21" s="112" t="s">
        <v>160</v>
      </c>
      <c r="B21" s="113" t="s">
        <v>128</v>
      </c>
      <c r="C21" s="113" t="s">
        <v>2270</v>
      </c>
      <c r="D21" s="124">
        <f>$D$10</f>
        <v>1.0248966688943553E-2</v>
      </c>
      <c r="E21" s="291" t="s">
        <v>237</v>
      </c>
    </row>
    <row r="22" spans="1:5" x14ac:dyDescent="0.3">
      <c r="A22" s="127" t="s">
        <v>396</v>
      </c>
      <c r="B22" s="113" t="s">
        <v>128</v>
      </c>
      <c r="C22" s="113" t="s">
        <v>2270</v>
      </c>
      <c r="D22" s="124">
        <f>$D$11</f>
        <v>3.0429752600375721E-3</v>
      </c>
      <c r="E22" s="291" t="s">
        <v>237</v>
      </c>
    </row>
    <row r="23" spans="1:5" x14ac:dyDescent="0.3">
      <c r="A23" s="116" t="s">
        <v>1650</v>
      </c>
      <c r="B23" s="113" t="s">
        <v>128</v>
      </c>
      <c r="C23" s="113" t="s">
        <v>2270</v>
      </c>
      <c r="D23" s="124">
        <f>$D$12</f>
        <v>1.3759005387366649E-2</v>
      </c>
      <c r="E23" s="291" t="s">
        <v>237</v>
      </c>
    </row>
    <row r="24" spans="1:5" x14ac:dyDescent="0.3">
      <c r="A24" s="312" t="s">
        <v>161</v>
      </c>
      <c r="B24" s="113" t="s">
        <v>128</v>
      </c>
      <c r="C24" s="113" t="s">
        <v>2270</v>
      </c>
      <c r="D24" s="124">
        <f>$D$13</f>
        <v>1.0901944159388873E-3</v>
      </c>
      <c r="E24" s="291" t="s">
        <v>237</v>
      </c>
    </row>
    <row r="25" spans="1:5" x14ac:dyDescent="0.3">
      <c r="A25" s="116" t="s">
        <v>1814</v>
      </c>
      <c r="B25" s="113" t="s">
        <v>128</v>
      </c>
      <c r="C25" s="113" t="s">
        <v>2270</v>
      </c>
      <c r="D25" s="124">
        <f>$D$14</f>
        <v>3.1792861785015828E-3</v>
      </c>
      <c r="E25" s="291" t="s">
        <v>237</v>
      </c>
    </row>
    <row r="26" spans="1:5" ht="15" thickBot="1" x14ac:dyDescent="0.35">
      <c r="A26" s="116" t="s">
        <v>816</v>
      </c>
      <c r="B26" s="113" t="s">
        <v>128</v>
      </c>
      <c r="C26" s="113" t="s">
        <v>2271</v>
      </c>
      <c r="D26" s="124">
        <f>$D$15</f>
        <v>7.6045088323618945E-4</v>
      </c>
      <c r="E26" s="291" t="s">
        <v>237</v>
      </c>
    </row>
    <row r="27" spans="1:5" x14ac:dyDescent="0.3">
      <c r="A27" s="1140"/>
      <c r="B27" s="1141"/>
      <c r="C27" s="1141"/>
      <c r="D27" s="1141"/>
      <c r="E27" s="1142"/>
    </row>
    <row r="28" spans="1:5" ht="15" thickBot="1" x14ac:dyDescent="0.35">
      <c r="A28" s="1143"/>
      <c r="B28" s="1144"/>
      <c r="C28" s="1144"/>
      <c r="D28" s="1144"/>
      <c r="E28" s="1145"/>
    </row>
    <row r="29" spans="1:5" ht="30" customHeight="1" thickBot="1" x14ac:dyDescent="0.35">
      <c r="A29" s="638" t="s">
        <v>1444</v>
      </c>
      <c r="B29" s="657" t="s">
        <v>142</v>
      </c>
      <c r="C29" s="654" t="s">
        <v>256</v>
      </c>
      <c r="D29" s="655" t="s">
        <v>236</v>
      </c>
      <c r="E29" s="656" t="s">
        <v>212</v>
      </c>
    </row>
    <row r="30" spans="1:5" x14ac:dyDescent="0.3">
      <c r="A30" s="1134" t="s">
        <v>266</v>
      </c>
      <c r="B30" s="1132" t="s">
        <v>225</v>
      </c>
      <c r="C30" s="19" t="s">
        <v>2038</v>
      </c>
      <c r="D30" s="136" t="s">
        <v>210</v>
      </c>
      <c r="E30" s="1136" t="s">
        <v>2106</v>
      </c>
    </row>
    <row r="31" spans="1:5" x14ac:dyDescent="0.3">
      <c r="A31" s="1146"/>
      <c r="B31" s="1139"/>
      <c r="C31" s="103" t="s">
        <v>850</v>
      </c>
      <c r="D31" s="141" t="s">
        <v>210</v>
      </c>
      <c r="E31" s="1137"/>
    </row>
    <row r="32" spans="1:5" x14ac:dyDescent="0.3">
      <c r="A32" s="1146"/>
      <c r="B32" s="1139"/>
      <c r="C32" s="103" t="s">
        <v>1806</v>
      </c>
      <c r="D32" s="141" t="s">
        <v>210</v>
      </c>
      <c r="E32" s="1137"/>
    </row>
    <row r="33" spans="1:5" x14ac:dyDescent="0.3">
      <c r="A33" s="1146"/>
      <c r="B33" s="1139"/>
      <c r="C33" s="103" t="s">
        <v>857</v>
      </c>
      <c r="D33" s="141" t="s">
        <v>210</v>
      </c>
      <c r="E33" s="1137"/>
    </row>
    <row r="34" spans="1:5" x14ac:dyDescent="0.3">
      <c r="A34" s="1135"/>
      <c r="B34" s="1133"/>
      <c r="C34" s="103" t="s">
        <v>297</v>
      </c>
      <c r="D34" s="141" t="s">
        <v>210</v>
      </c>
      <c r="E34" s="1137"/>
    </row>
    <row r="35" spans="1:5" x14ac:dyDescent="0.3">
      <c r="A35" s="279" t="s">
        <v>2028</v>
      </c>
      <c r="B35" s="18" t="s">
        <v>225</v>
      </c>
      <c r="C35" s="103" t="s">
        <v>2037</v>
      </c>
      <c r="D35" s="141"/>
      <c r="E35" s="1138"/>
    </row>
    <row r="36" spans="1:5" x14ac:dyDescent="0.3">
      <c r="A36" s="119" t="s">
        <v>1707</v>
      </c>
      <c r="B36" s="18" t="s">
        <v>129</v>
      </c>
      <c r="C36" s="103"/>
      <c r="D36" s="141">
        <f>'26. CHEM. SOL._MODEL'!D132</f>
        <v>1015</v>
      </c>
      <c r="E36" s="22" t="s">
        <v>1682</v>
      </c>
    </row>
    <row r="37" spans="1:5" x14ac:dyDescent="0.3">
      <c r="A37" s="119" t="s">
        <v>1712</v>
      </c>
      <c r="B37" s="18" t="s">
        <v>214</v>
      </c>
      <c r="C37" s="103" t="s">
        <v>1719</v>
      </c>
      <c r="D37" s="429">
        <f>'26. CHEM. SOL._MODEL'!D140</f>
        <v>5.6650246305418719E-2</v>
      </c>
      <c r="E37" s="22" t="s">
        <v>1682</v>
      </c>
    </row>
    <row r="38" spans="1:5" x14ac:dyDescent="0.3">
      <c r="A38" s="119" t="s">
        <v>1548</v>
      </c>
      <c r="B38" s="18" t="s">
        <v>214</v>
      </c>
      <c r="C38" s="103" t="s">
        <v>1719</v>
      </c>
      <c r="D38" s="429">
        <f>'26. CHEM. SOL._MODEL'!D141</f>
        <v>0.94334975369458129</v>
      </c>
      <c r="E38" s="22" t="s">
        <v>1682</v>
      </c>
    </row>
    <row r="39" spans="1:5" x14ac:dyDescent="0.3">
      <c r="A39" s="119" t="s">
        <v>1714</v>
      </c>
      <c r="B39" s="18" t="s">
        <v>446</v>
      </c>
      <c r="C39" s="103"/>
      <c r="D39" s="444">
        <v>5</v>
      </c>
      <c r="E39" s="22" t="s">
        <v>748</v>
      </c>
    </row>
    <row r="40" spans="1:5" x14ac:dyDescent="0.3">
      <c r="A40" s="16" t="s">
        <v>1717</v>
      </c>
      <c r="B40" s="18" t="s">
        <v>226</v>
      </c>
      <c r="C40" s="103"/>
      <c r="D40" s="444">
        <v>30</v>
      </c>
      <c r="E40" s="22" t="s">
        <v>748</v>
      </c>
    </row>
    <row r="41" spans="1:5" x14ac:dyDescent="0.3">
      <c r="A41" s="119" t="s">
        <v>1708</v>
      </c>
      <c r="B41" s="18" t="s">
        <v>129</v>
      </c>
      <c r="C41" s="103"/>
      <c r="D41" s="158">
        <f>'26. CHEM. SOL._MODEL'!$D$249</f>
        <v>1313.6363636363637</v>
      </c>
      <c r="E41" s="22" t="s">
        <v>1682</v>
      </c>
    </row>
    <row r="42" spans="1:5" x14ac:dyDescent="0.3">
      <c r="A42" s="119" t="s">
        <v>1709</v>
      </c>
      <c r="B42" s="18" t="s">
        <v>214</v>
      </c>
      <c r="C42" s="103" t="s">
        <v>1718</v>
      </c>
      <c r="D42" s="429">
        <f>'26. CHEM. SOL._MODEL'!$D$262</f>
        <v>3.9792387543252594E-2</v>
      </c>
      <c r="E42" s="22" t="s">
        <v>1682</v>
      </c>
    </row>
    <row r="43" spans="1:5" x14ac:dyDescent="0.3">
      <c r="A43" s="119" t="s">
        <v>1710</v>
      </c>
      <c r="B43" s="18" t="s">
        <v>214</v>
      </c>
      <c r="C43" s="103" t="s">
        <v>1718</v>
      </c>
      <c r="D43" s="429">
        <f>'26. CHEM. SOL._MODEL'!$D$263</f>
        <v>0.51591695501730095</v>
      </c>
      <c r="E43" s="22" t="s">
        <v>1682</v>
      </c>
    </row>
    <row r="44" spans="1:5" x14ac:dyDescent="0.3">
      <c r="A44" s="119" t="s">
        <v>1711</v>
      </c>
      <c r="B44" s="18" t="s">
        <v>214</v>
      </c>
      <c r="C44" s="103" t="s">
        <v>1718</v>
      </c>
      <c r="D44" s="429">
        <f>'26. CHEM. SOL._MODEL'!$D$264</f>
        <v>0.17972318339100346</v>
      </c>
      <c r="E44" s="22" t="s">
        <v>1682</v>
      </c>
    </row>
    <row r="45" spans="1:5" x14ac:dyDescent="0.3">
      <c r="A45" s="119" t="s">
        <v>1713</v>
      </c>
      <c r="B45" s="18" t="s">
        <v>214</v>
      </c>
      <c r="C45" s="103" t="s">
        <v>1718</v>
      </c>
      <c r="D45" s="429">
        <f>'26. CHEM. SOL._MODEL'!$D$265</f>
        <v>0.26456747404844289</v>
      </c>
      <c r="E45" s="22" t="s">
        <v>1682</v>
      </c>
    </row>
    <row r="46" spans="1:5" x14ac:dyDescent="0.3">
      <c r="A46" s="119" t="s">
        <v>1715</v>
      </c>
      <c r="B46" s="18" t="s">
        <v>446</v>
      </c>
      <c r="C46" s="103"/>
      <c r="D46" s="27">
        <v>5</v>
      </c>
      <c r="E46" s="22" t="s">
        <v>748</v>
      </c>
    </row>
    <row r="47" spans="1:5" x14ac:dyDescent="0.3">
      <c r="A47" s="16" t="s">
        <v>369</v>
      </c>
      <c r="B47" s="18" t="s">
        <v>261</v>
      </c>
      <c r="C47" s="18" t="s">
        <v>1656</v>
      </c>
      <c r="D47" s="27">
        <v>3</v>
      </c>
      <c r="E47" s="22" t="s">
        <v>748</v>
      </c>
    </row>
    <row r="48" spans="1:5" x14ac:dyDescent="0.3">
      <c r="A48" s="16" t="s">
        <v>772</v>
      </c>
      <c r="B48" s="18" t="s">
        <v>296</v>
      </c>
      <c r="C48" s="18" t="s">
        <v>286</v>
      </c>
      <c r="D48" s="27">
        <v>5</v>
      </c>
      <c r="E48" s="22" t="s">
        <v>2026</v>
      </c>
    </row>
    <row r="49" spans="1:5" x14ac:dyDescent="0.3">
      <c r="A49" s="16" t="s">
        <v>845</v>
      </c>
      <c r="B49" s="18" t="s">
        <v>270</v>
      </c>
      <c r="C49" s="18" t="s">
        <v>856</v>
      </c>
      <c r="D49" s="27">
        <v>85</v>
      </c>
      <c r="E49" s="22" t="s">
        <v>452</v>
      </c>
    </row>
    <row r="50" spans="1:5" x14ac:dyDescent="0.3">
      <c r="A50" s="16" t="s">
        <v>1716</v>
      </c>
      <c r="B50" s="18" t="s">
        <v>226</v>
      </c>
      <c r="C50" s="18"/>
      <c r="D50" s="27">
        <f>(D47/D48)*60</f>
        <v>36</v>
      </c>
      <c r="E50" s="22" t="s">
        <v>232</v>
      </c>
    </row>
    <row r="51" spans="1:5" x14ac:dyDescent="0.3">
      <c r="A51" s="16" t="s">
        <v>851</v>
      </c>
      <c r="B51" s="18" t="s">
        <v>129</v>
      </c>
      <c r="C51" s="18"/>
      <c r="D51" s="27">
        <v>1000</v>
      </c>
      <c r="E51" s="22" t="s">
        <v>1581</v>
      </c>
    </row>
    <row r="52" spans="1:5" x14ac:dyDescent="0.3">
      <c r="A52" s="16" t="s">
        <v>403</v>
      </c>
      <c r="B52" s="18" t="s">
        <v>446</v>
      </c>
      <c r="C52" s="18"/>
      <c r="D52" s="27">
        <v>5</v>
      </c>
      <c r="E52" s="22" t="s">
        <v>748</v>
      </c>
    </row>
    <row r="53" spans="1:5" x14ac:dyDescent="0.3">
      <c r="A53" s="119" t="s">
        <v>1300</v>
      </c>
      <c r="B53" s="18" t="s">
        <v>226</v>
      </c>
      <c r="C53" s="103"/>
      <c r="D53" s="141">
        <v>60</v>
      </c>
      <c r="E53" s="22" t="s">
        <v>748</v>
      </c>
    </row>
    <row r="54" spans="1:5" x14ac:dyDescent="0.3">
      <c r="A54" s="16" t="s">
        <v>854</v>
      </c>
      <c r="B54" s="18" t="s">
        <v>129</v>
      </c>
      <c r="C54" s="18"/>
      <c r="D54" s="134">
        <f>'25. CHEM. &amp; MAT.'!$F$14</f>
        <v>1.25</v>
      </c>
      <c r="E54" s="22" t="s">
        <v>1581</v>
      </c>
    </row>
    <row r="55" spans="1:5" x14ac:dyDescent="0.3">
      <c r="A55" s="16" t="s">
        <v>853</v>
      </c>
      <c r="B55" s="18" t="s">
        <v>446</v>
      </c>
      <c r="C55" s="18"/>
      <c r="D55" s="27">
        <v>141.6</v>
      </c>
      <c r="E55" s="22" t="s">
        <v>748</v>
      </c>
    </row>
    <row r="56" spans="1:5" x14ac:dyDescent="0.3">
      <c r="A56" s="16" t="s">
        <v>1295</v>
      </c>
      <c r="B56" s="18" t="s">
        <v>226</v>
      </c>
      <c r="C56" s="18"/>
      <c r="D56" s="27">
        <v>60</v>
      </c>
      <c r="E56" s="22" t="s">
        <v>232</v>
      </c>
    </row>
    <row r="57" spans="1:5" x14ac:dyDescent="0.3">
      <c r="A57" s="16" t="s">
        <v>846</v>
      </c>
      <c r="B57" s="18" t="s">
        <v>847</v>
      </c>
      <c r="C57" s="18"/>
      <c r="D57" s="27">
        <v>3000</v>
      </c>
      <c r="E57" s="41" t="s">
        <v>2107</v>
      </c>
    </row>
    <row r="58" spans="1:5" x14ac:dyDescent="0.3">
      <c r="A58" s="16" t="s">
        <v>352</v>
      </c>
      <c r="B58" s="18" t="s">
        <v>226</v>
      </c>
      <c r="C58" s="18"/>
      <c r="D58" s="235">
        <f>SUM($D$40,$D$50,$D$53,$D$56)</f>
        <v>186</v>
      </c>
      <c r="E58" s="22" t="s">
        <v>232</v>
      </c>
    </row>
    <row r="59" spans="1:5" x14ac:dyDescent="0.3">
      <c r="A59" s="16" t="s">
        <v>247</v>
      </c>
      <c r="B59" s="18" t="s">
        <v>225</v>
      </c>
      <c r="C59" s="18" t="s">
        <v>339</v>
      </c>
      <c r="D59" s="18">
        <f>'2. PROCESS RECAP '!$F$15</f>
        <v>1</v>
      </c>
      <c r="E59" s="41" t="s">
        <v>2107</v>
      </c>
    </row>
    <row r="60" spans="1:5" x14ac:dyDescent="0.3">
      <c r="A60" s="578" t="s">
        <v>351</v>
      </c>
      <c r="B60" s="543" t="s">
        <v>131</v>
      </c>
      <c r="C60" s="543"/>
      <c r="D60" s="543">
        <f>'2. PROCESS RECAP '!$E$15</f>
        <v>1.65</v>
      </c>
      <c r="E60" s="579" t="s">
        <v>2208</v>
      </c>
    </row>
    <row r="61" spans="1:5" ht="15" thickBot="1" x14ac:dyDescent="0.35">
      <c r="A61" s="634" t="s">
        <v>246</v>
      </c>
      <c r="B61" s="635" t="s">
        <v>225</v>
      </c>
      <c r="C61" s="635"/>
      <c r="D61" s="636">
        <f>'2. PROCESS RECAP '!$H$15</f>
        <v>1</v>
      </c>
      <c r="E61" s="637" t="s">
        <v>2209</v>
      </c>
    </row>
    <row r="62" spans="1:5" x14ac:dyDescent="0.3">
      <c r="A62" s="1122" t="s">
        <v>291</v>
      </c>
      <c r="B62" s="1123"/>
      <c r="C62" s="1123"/>
      <c r="D62" s="1123"/>
      <c r="E62" s="1124"/>
    </row>
    <row r="63" spans="1:5" x14ac:dyDescent="0.3">
      <c r="A63" s="285" t="s">
        <v>716</v>
      </c>
      <c r="B63" s="15" t="s">
        <v>132</v>
      </c>
      <c r="C63" s="15" t="s">
        <v>1038</v>
      </c>
      <c r="D63" s="107">
        <f>($D$60*(($D$58+$D$58/3)/3600)*$D$61*'1. USER INPUTS'!$E$23)/$D$59</f>
        <v>4.8834981390497283E-4</v>
      </c>
      <c r="E63" s="363" t="s">
        <v>232</v>
      </c>
    </row>
    <row r="64" spans="1:5" x14ac:dyDescent="0.3">
      <c r="A64" s="293" t="s">
        <v>695</v>
      </c>
      <c r="B64" s="15" t="s">
        <v>128</v>
      </c>
      <c r="C64" s="15" t="s">
        <v>1720</v>
      </c>
      <c r="D64" s="107">
        <f>((($D$37*$D$36)*($D$39/1000)*($D$40/60))+(($D$41*$D$42)*($D$46/1000)*($D$50/60)))*'1. USER INPUTS'!$E$23*$D$61</f>
        <v>1.2913409002052651E-3</v>
      </c>
      <c r="E64" s="363" t="s">
        <v>232</v>
      </c>
    </row>
    <row r="65" spans="1:5" x14ac:dyDescent="0.3">
      <c r="A65" s="293" t="s">
        <v>696</v>
      </c>
      <c r="B65" s="15" t="s">
        <v>128</v>
      </c>
      <c r="C65" s="15" t="s">
        <v>1721</v>
      </c>
      <c r="D65" s="107">
        <f>(($D$43*$D$41)*($D$46/1000)*($D$50/60))*'1. USER INPUTS'!$E$23*$D$61</f>
        <v>8.7352254769272591E-3</v>
      </c>
      <c r="E65" s="363" t="s">
        <v>232</v>
      </c>
    </row>
    <row r="66" spans="1:5" x14ac:dyDescent="0.3">
      <c r="A66" s="285" t="s">
        <v>698</v>
      </c>
      <c r="B66" s="15" t="s">
        <v>128</v>
      </c>
      <c r="C66" s="15" t="s">
        <v>1722</v>
      </c>
      <c r="D66" s="286">
        <f>(($D$44*$D$41)*($D$46/1000)*($D$50/60))*'1. USER INPUTS'!$E$23*$D$61</f>
        <v>3.0429752600375721E-3</v>
      </c>
      <c r="E66" s="363" t="s">
        <v>232</v>
      </c>
    </row>
    <row r="67" spans="1:5" x14ac:dyDescent="0.3">
      <c r="A67" s="293" t="s">
        <v>158</v>
      </c>
      <c r="B67" s="15" t="s">
        <v>128</v>
      </c>
      <c r="C67" s="15" t="s">
        <v>1729</v>
      </c>
      <c r="D67" s="107">
        <f>(($D$38*$D$36)*($D$39/1000)*($D$40/60))+(($D$41*$D$45)*($D$46/1000)*($D$50/60))+(($D$51*($D$52/1000)*($D$53/60)))*'1. USER INPUTS'!$E$23*$D$61</f>
        <v>3.4578680270046176</v>
      </c>
      <c r="E67" s="363" t="s">
        <v>232</v>
      </c>
    </row>
    <row r="68" spans="1:5" x14ac:dyDescent="0.3">
      <c r="A68" s="293" t="s">
        <v>962</v>
      </c>
      <c r="B68" s="15" t="s">
        <v>128</v>
      </c>
      <c r="C68" s="15" t="s">
        <v>1298</v>
      </c>
      <c r="D68" s="107">
        <f>($D$54*($D$55/1000)*($D$56/60))*'1. USER INPUTS'!$E$23*$D$61</f>
        <v>7.6045088323618945E-4</v>
      </c>
      <c r="E68" s="363" t="s">
        <v>232</v>
      </c>
    </row>
    <row r="69" spans="1:5" x14ac:dyDescent="0.3">
      <c r="A69" s="1128" t="s">
        <v>292</v>
      </c>
      <c r="B69" s="1129"/>
      <c r="C69" s="1129"/>
      <c r="D69" s="1129"/>
      <c r="E69" s="1130"/>
    </row>
    <row r="70" spans="1:5" x14ac:dyDescent="0.3">
      <c r="A70" s="16" t="s">
        <v>322</v>
      </c>
      <c r="B70" s="18" t="s">
        <v>293</v>
      </c>
      <c r="C70" s="18"/>
      <c r="D70" s="27">
        <v>1</v>
      </c>
      <c r="E70" s="22"/>
    </row>
    <row r="71" spans="1:5" x14ac:dyDescent="0.3">
      <c r="A71" s="284" t="s">
        <v>816</v>
      </c>
      <c r="B71" s="113" t="s">
        <v>128</v>
      </c>
      <c r="C71" s="113" t="s">
        <v>795</v>
      </c>
      <c r="D71" s="124">
        <f>$D$68</f>
        <v>7.6045088323618945E-4</v>
      </c>
      <c r="E71" s="291" t="s">
        <v>232</v>
      </c>
    </row>
    <row r="72" spans="1:5" x14ac:dyDescent="0.3">
      <c r="A72" s="284" t="s">
        <v>157</v>
      </c>
      <c r="B72" s="113" t="s">
        <v>128</v>
      </c>
      <c r="C72" s="113" t="s">
        <v>1870</v>
      </c>
      <c r="D72" s="124">
        <f>$D$64</f>
        <v>1.2913409002052651E-3</v>
      </c>
      <c r="E72" s="291" t="s">
        <v>232</v>
      </c>
    </row>
    <row r="73" spans="1:5" x14ac:dyDescent="0.3">
      <c r="A73" s="284" t="s">
        <v>160</v>
      </c>
      <c r="B73" s="113" t="s">
        <v>128</v>
      </c>
      <c r="C73" s="113" t="s">
        <v>1870</v>
      </c>
      <c r="D73" s="124">
        <f>$D$65</f>
        <v>8.7352254769272591E-3</v>
      </c>
      <c r="E73" s="291" t="s">
        <v>232</v>
      </c>
    </row>
    <row r="74" spans="1:5" x14ac:dyDescent="0.3">
      <c r="A74" s="284" t="s">
        <v>396</v>
      </c>
      <c r="B74" s="113" t="s">
        <v>128</v>
      </c>
      <c r="C74" s="113" t="s">
        <v>1870</v>
      </c>
      <c r="D74" s="124">
        <f>$D$66</f>
        <v>3.0429752600375721E-3</v>
      </c>
      <c r="E74" s="291" t="s">
        <v>232</v>
      </c>
    </row>
    <row r="75" spans="1:5" ht="15" thickBot="1" x14ac:dyDescent="0.35">
      <c r="A75" s="284" t="s">
        <v>159</v>
      </c>
      <c r="B75" s="113" t="s">
        <v>128</v>
      </c>
      <c r="C75" s="113" t="s">
        <v>1870</v>
      </c>
      <c r="D75" s="124">
        <f>$D$67</f>
        <v>3.4578680270046176</v>
      </c>
      <c r="E75" s="291" t="s">
        <v>232</v>
      </c>
    </row>
    <row r="76" spans="1:5" x14ac:dyDescent="0.3">
      <c r="A76" s="1140"/>
      <c r="B76" s="1141"/>
      <c r="C76" s="1141"/>
      <c r="D76" s="1141"/>
      <c r="E76" s="1142"/>
    </row>
    <row r="77" spans="1:5" ht="15" thickBot="1" x14ac:dyDescent="0.35">
      <c r="A77" s="1143"/>
      <c r="B77" s="1144"/>
      <c r="C77" s="1144"/>
      <c r="D77" s="1144"/>
      <c r="E77" s="1145"/>
    </row>
    <row r="78" spans="1:5" ht="30" customHeight="1" thickBot="1" x14ac:dyDescent="0.35">
      <c r="A78" s="638" t="s">
        <v>1580</v>
      </c>
      <c r="B78" s="657" t="s">
        <v>142</v>
      </c>
      <c r="C78" s="654" t="s">
        <v>256</v>
      </c>
      <c r="D78" s="655" t="s">
        <v>236</v>
      </c>
      <c r="E78" s="660" t="s">
        <v>212</v>
      </c>
    </row>
    <row r="79" spans="1:5" x14ac:dyDescent="0.3">
      <c r="A79" s="1134" t="s">
        <v>266</v>
      </c>
      <c r="B79" s="1132" t="s">
        <v>225</v>
      </c>
      <c r="C79" s="19" t="s">
        <v>783</v>
      </c>
      <c r="D79" s="136" t="s">
        <v>210</v>
      </c>
      <c r="E79" s="1136" t="s">
        <v>2106</v>
      </c>
    </row>
    <row r="80" spans="1:5" x14ac:dyDescent="0.3">
      <c r="A80" s="1135"/>
      <c r="B80" s="1133"/>
      <c r="C80" s="103" t="s">
        <v>2036</v>
      </c>
      <c r="D80" s="141" t="s">
        <v>210</v>
      </c>
      <c r="E80" s="1137"/>
    </row>
    <row r="81" spans="1:5" x14ac:dyDescent="0.3">
      <c r="A81" s="279" t="s">
        <v>2028</v>
      </c>
      <c r="B81" s="18" t="s">
        <v>225</v>
      </c>
      <c r="C81" s="103" t="s">
        <v>2039</v>
      </c>
      <c r="D81" s="141" t="s">
        <v>210</v>
      </c>
      <c r="E81" s="1138"/>
    </row>
    <row r="82" spans="1:5" x14ac:dyDescent="0.3">
      <c r="A82" s="119" t="s">
        <v>779</v>
      </c>
      <c r="B82" s="18" t="s">
        <v>129</v>
      </c>
      <c r="C82" s="103" t="s">
        <v>780</v>
      </c>
      <c r="D82" s="141">
        <f>'26. CHEM. SOL._MODEL'!D105</f>
        <v>1020</v>
      </c>
      <c r="E82" s="22" t="s">
        <v>1682</v>
      </c>
    </row>
    <row r="83" spans="1:5" x14ac:dyDescent="0.3">
      <c r="A83" s="16" t="s">
        <v>766</v>
      </c>
      <c r="B83" s="18" t="s">
        <v>133</v>
      </c>
      <c r="C83" s="18" t="s">
        <v>2056</v>
      </c>
      <c r="D83" s="137">
        <v>0.05</v>
      </c>
      <c r="E83" s="22" t="s">
        <v>748</v>
      </c>
    </row>
    <row r="84" spans="1:5" x14ac:dyDescent="0.3">
      <c r="A84" s="16" t="s">
        <v>778</v>
      </c>
      <c r="B84" s="18" t="s">
        <v>128</v>
      </c>
      <c r="C84" s="18"/>
      <c r="D84" s="154">
        <f>$D$82*$D$83</f>
        <v>51</v>
      </c>
      <c r="E84" s="33" t="s">
        <v>232</v>
      </c>
    </row>
    <row r="85" spans="1:5" x14ac:dyDescent="0.3">
      <c r="A85" s="119" t="s">
        <v>1726</v>
      </c>
      <c r="B85" s="18" t="s">
        <v>214</v>
      </c>
      <c r="C85" s="18"/>
      <c r="D85" s="429">
        <f>'26. CHEM. SOL._MODEL'!$D$118</f>
        <v>0.1553921568627451</v>
      </c>
      <c r="E85" s="22" t="s">
        <v>1682</v>
      </c>
    </row>
    <row r="86" spans="1:5" x14ac:dyDescent="0.3">
      <c r="A86" s="119" t="s">
        <v>1728</v>
      </c>
      <c r="B86" s="18" t="s">
        <v>214</v>
      </c>
      <c r="C86" s="18"/>
      <c r="D86" s="429">
        <f>'26. CHEM. SOL._MODEL'!$D$117</f>
        <v>9.901960784313725E-2</v>
      </c>
      <c r="E86" s="22" t="s">
        <v>1682</v>
      </c>
    </row>
    <row r="87" spans="1:5" x14ac:dyDescent="0.3">
      <c r="A87" s="119" t="s">
        <v>1727</v>
      </c>
      <c r="B87" s="18" t="s">
        <v>214</v>
      </c>
      <c r="C87" s="18"/>
      <c r="D87" s="429">
        <f>'26. CHEM. SOL._MODEL'!$D$119</f>
        <v>0.74558823529411766</v>
      </c>
      <c r="E87" s="22" t="s">
        <v>1682</v>
      </c>
    </row>
    <row r="88" spans="1:5" x14ac:dyDescent="0.3">
      <c r="A88" s="16" t="s">
        <v>369</v>
      </c>
      <c r="B88" s="18" t="s">
        <v>281</v>
      </c>
      <c r="C88" s="18"/>
      <c r="D88" s="27">
        <v>500</v>
      </c>
      <c r="E88" s="41" t="s">
        <v>2107</v>
      </c>
    </row>
    <row r="89" spans="1:5" x14ac:dyDescent="0.3">
      <c r="A89" s="16" t="s">
        <v>772</v>
      </c>
      <c r="B89" s="18" t="s">
        <v>271</v>
      </c>
      <c r="C89" s="18" t="s">
        <v>286</v>
      </c>
      <c r="D89" s="27">
        <v>500</v>
      </c>
      <c r="E89" s="33" t="s">
        <v>855</v>
      </c>
    </row>
    <row r="90" spans="1:5" x14ac:dyDescent="0.3">
      <c r="A90" s="16" t="s">
        <v>845</v>
      </c>
      <c r="B90" s="18" t="s">
        <v>270</v>
      </c>
      <c r="C90" s="18"/>
      <c r="D90" s="27" t="s">
        <v>1093</v>
      </c>
      <c r="E90" s="41" t="s">
        <v>2107</v>
      </c>
    </row>
    <row r="91" spans="1:5" x14ac:dyDescent="0.3">
      <c r="A91" s="16" t="s">
        <v>848</v>
      </c>
      <c r="B91" s="18" t="s">
        <v>226</v>
      </c>
      <c r="C91" s="18"/>
      <c r="D91" s="235">
        <f>($D$88/$D$89)*60</f>
        <v>60</v>
      </c>
      <c r="E91" s="33" t="s">
        <v>232</v>
      </c>
    </row>
    <row r="92" spans="1:5" x14ac:dyDescent="0.3">
      <c r="A92" s="16" t="s">
        <v>851</v>
      </c>
      <c r="B92" s="18" t="s">
        <v>129</v>
      </c>
      <c r="C92" s="18"/>
      <c r="D92" s="27">
        <v>1000</v>
      </c>
      <c r="E92" s="22" t="s">
        <v>1581</v>
      </c>
    </row>
    <row r="93" spans="1:5" x14ac:dyDescent="0.3">
      <c r="A93" s="348" t="s">
        <v>849</v>
      </c>
      <c r="B93" s="18" t="s">
        <v>226</v>
      </c>
      <c r="C93" s="18"/>
      <c r="D93" s="27">
        <v>60</v>
      </c>
      <c r="E93" s="41" t="s">
        <v>2107</v>
      </c>
    </row>
    <row r="94" spans="1:5" x14ac:dyDescent="0.3">
      <c r="A94" s="16" t="s">
        <v>352</v>
      </c>
      <c r="B94" s="18" t="s">
        <v>226</v>
      </c>
      <c r="C94" s="18"/>
      <c r="D94" s="138">
        <f>SUM($D$91,$D$93)</f>
        <v>120</v>
      </c>
      <c r="E94" s="33" t="s">
        <v>232</v>
      </c>
    </row>
    <row r="95" spans="1:5" x14ac:dyDescent="0.3">
      <c r="A95" s="348" t="s">
        <v>1570</v>
      </c>
      <c r="B95" s="30" t="s">
        <v>225</v>
      </c>
      <c r="C95" s="44"/>
      <c r="D95" s="144">
        <v>150</v>
      </c>
      <c r="E95" s="41" t="s">
        <v>2107</v>
      </c>
    </row>
    <row r="96" spans="1:5" x14ac:dyDescent="0.3">
      <c r="A96" s="16" t="s">
        <v>1725</v>
      </c>
      <c r="B96" s="18" t="s">
        <v>225</v>
      </c>
      <c r="C96" s="18" t="s">
        <v>1551</v>
      </c>
      <c r="D96" s="27">
        <f>IF('1. USER INPUTS'!$E$12=150,50,IF('1. USER INPUTS'!$E$12=200,50,IF('1. USER INPUTS'!$E$12=300,25)))</f>
        <v>50</v>
      </c>
      <c r="E96" s="41" t="s">
        <v>2107</v>
      </c>
    </row>
    <row r="97" spans="1:5" x14ac:dyDescent="0.3">
      <c r="A97" s="578" t="s">
        <v>351</v>
      </c>
      <c r="B97" s="543" t="s">
        <v>131</v>
      </c>
      <c r="C97" s="543"/>
      <c r="D97" s="543">
        <f>'2. PROCESS RECAP '!$E$16</f>
        <v>6.4</v>
      </c>
      <c r="E97" s="579" t="s">
        <v>2208</v>
      </c>
    </row>
    <row r="98" spans="1:5" ht="15" thickBot="1" x14ac:dyDescent="0.35">
      <c r="A98" s="634" t="s">
        <v>246</v>
      </c>
      <c r="B98" s="635" t="s">
        <v>225</v>
      </c>
      <c r="C98" s="635"/>
      <c r="D98" s="636">
        <f>'2. PROCESS RECAP '!$H$16</f>
        <v>1</v>
      </c>
      <c r="E98" s="637" t="s">
        <v>2209</v>
      </c>
    </row>
    <row r="99" spans="1:5" x14ac:dyDescent="0.3">
      <c r="A99" s="1122" t="s">
        <v>291</v>
      </c>
      <c r="B99" s="1123"/>
      <c r="C99" s="1123"/>
      <c r="D99" s="1123"/>
      <c r="E99" s="1124"/>
    </row>
    <row r="100" spans="1:5" x14ac:dyDescent="0.3">
      <c r="A100" s="262" t="s">
        <v>716</v>
      </c>
      <c r="B100" s="15" t="s">
        <v>132</v>
      </c>
      <c r="C100" s="15" t="s">
        <v>1038</v>
      </c>
      <c r="D100" s="107">
        <f>((($D$97*($D$94+$D$94/3)/3600)*$D$98)/$D$96)*'1. USER INPUTS'!$E$23</f>
        <v>2.4441359210102261E-5</v>
      </c>
      <c r="E100" s="276" t="s">
        <v>232</v>
      </c>
    </row>
    <row r="101" spans="1:5" x14ac:dyDescent="0.3">
      <c r="A101" s="15" t="s">
        <v>380</v>
      </c>
      <c r="B101" s="15" t="s">
        <v>128</v>
      </c>
      <c r="C101" s="15"/>
      <c r="D101" s="286">
        <f>(($D$84*$D$86)/$D$95)*'1. USER INPUTS'!$E$23*$D$98</f>
        <v>1.4464320001290984E-4</v>
      </c>
      <c r="E101" s="276" t="s">
        <v>232</v>
      </c>
    </row>
    <row r="102" spans="1:5" x14ac:dyDescent="0.3">
      <c r="A102" s="15" t="s">
        <v>695</v>
      </c>
      <c r="B102" s="15" t="s">
        <v>128</v>
      </c>
      <c r="C102" s="15"/>
      <c r="D102" s="286">
        <f>(($D$84*$D$85)/$D$95)*'1. USER INPUTS'!$E$23*$D$98</f>
        <v>2.2698957625788327E-4</v>
      </c>
      <c r="E102" s="276" t="s">
        <v>232</v>
      </c>
    </row>
    <row r="103" spans="1:5" x14ac:dyDescent="0.3">
      <c r="A103" s="15" t="s">
        <v>158</v>
      </c>
      <c r="B103" s="15" t="s">
        <v>128</v>
      </c>
      <c r="C103" s="15"/>
      <c r="D103" s="286">
        <f>((($D$84*$D$87)/$D$95)+(($D$83*$D$92)/$D$96))*'1. USER INPUTS'!$E$23*$D$98</f>
        <v>5.3854530064212629E-3</v>
      </c>
      <c r="E103" s="276" t="s">
        <v>232</v>
      </c>
    </row>
    <row r="104" spans="1:5" x14ac:dyDescent="0.3">
      <c r="A104" s="1128" t="s">
        <v>292</v>
      </c>
      <c r="B104" s="1129"/>
      <c r="C104" s="1129"/>
      <c r="D104" s="1129"/>
      <c r="E104" s="1130"/>
    </row>
    <row r="105" spans="1:5" x14ac:dyDescent="0.3">
      <c r="A105" s="16" t="s">
        <v>322</v>
      </c>
      <c r="B105" s="18" t="s">
        <v>293</v>
      </c>
      <c r="C105" s="18"/>
      <c r="D105" s="27">
        <v>1</v>
      </c>
      <c r="E105" s="22"/>
    </row>
    <row r="106" spans="1:5" x14ac:dyDescent="0.3">
      <c r="A106" s="112" t="s">
        <v>155</v>
      </c>
      <c r="B106" s="113" t="s">
        <v>128</v>
      </c>
      <c r="C106" s="113" t="s">
        <v>1870</v>
      </c>
      <c r="D106" s="124">
        <f>$D$101</f>
        <v>1.4464320001290984E-4</v>
      </c>
      <c r="E106" s="291" t="s">
        <v>237</v>
      </c>
    </row>
    <row r="107" spans="1:5" x14ac:dyDescent="0.3">
      <c r="A107" s="112" t="s">
        <v>157</v>
      </c>
      <c r="B107" s="113" t="s">
        <v>128</v>
      </c>
      <c r="C107" s="113" t="s">
        <v>1870</v>
      </c>
      <c r="D107" s="124">
        <f>$D$102</f>
        <v>2.2698957625788327E-4</v>
      </c>
      <c r="E107" s="291" t="s">
        <v>237</v>
      </c>
    </row>
    <row r="108" spans="1:5" ht="15" thickBot="1" x14ac:dyDescent="0.35">
      <c r="A108" s="112" t="s">
        <v>159</v>
      </c>
      <c r="B108" s="111" t="s">
        <v>128</v>
      </c>
      <c r="C108" s="111" t="s">
        <v>1870</v>
      </c>
      <c r="D108" s="117">
        <f>$D$103</f>
        <v>5.3854530064212629E-3</v>
      </c>
      <c r="E108" s="283" t="s">
        <v>237</v>
      </c>
    </row>
    <row r="109" spans="1:5" x14ac:dyDescent="0.3">
      <c r="A109" s="1140"/>
      <c r="B109" s="1141"/>
      <c r="C109" s="1141"/>
      <c r="D109" s="1141"/>
      <c r="E109" s="1142"/>
    </row>
    <row r="110" spans="1:5" ht="15" thickBot="1" x14ac:dyDescent="0.35">
      <c r="A110" s="1143"/>
      <c r="B110" s="1144"/>
      <c r="C110" s="1144"/>
      <c r="D110" s="1144"/>
      <c r="E110" s="1145"/>
    </row>
    <row r="111" spans="1:5" ht="30" customHeight="1" thickBot="1" x14ac:dyDescent="0.35">
      <c r="A111" s="638" t="s">
        <v>1730</v>
      </c>
      <c r="B111" s="657" t="s">
        <v>142</v>
      </c>
      <c r="C111" s="654" t="s">
        <v>256</v>
      </c>
      <c r="D111" s="655" t="s">
        <v>236</v>
      </c>
      <c r="E111" s="656" t="s">
        <v>212</v>
      </c>
    </row>
    <row r="112" spans="1:5" x14ac:dyDescent="0.3">
      <c r="A112" s="1134" t="s">
        <v>266</v>
      </c>
      <c r="B112" s="151" t="s">
        <v>225</v>
      </c>
      <c r="C112" s="19" t="s">
        <v>1732</v>
      </c>
      <c r="D112" s="136" t="s">
        <v>210</v>
      </c>
      <c r="E112" s="1136" t="s">
        <v>2106</v>
      </c>
    </row>
    <row r="113" spans="1:5" x14ac:dyDescent="0.3">
      <c r="A113" s="1135"/>
      <c r="B113" s="18" t="s">
        <v>225</v>
      </c>
      <c r="C113" s="103" t="s">
        <v>1731</v>
      </c>
      <c r="D113" s="141" t="s">
        <v>210</v>
      </c>
      <c r="E113" s="1137"/>
    </row>
    <row r="114" spans="1:5" x14ac:dyDescent="0.3">
      <c r="A114" s="279" t="s">
        <v>2028</v>
      </c>
      <c r="B114" s="18" t="s">
        <v>225</v>
      </c>
      <c r="C114" s="103" t="s">
        <v>2039</v>
      </c>
      <c r="D114" s="141" t="s">
        <v>210</v>
      </c>
      <c r="E114" s="1138"/>
    </row>
    <row r="115" spans="1:5" x14ac:dyDescent="0.3">
      <c r="A115" s="119" t="s">
        <v>779</v>
      </c>
      <c r="B115" s="18" t="s">
        <v>129</v>
      </c>
      <c r="C115" s="103" t="s">
        <v>1797</v>
      </c>
      <c r="D115" s="158">
        <f>'26. CHEM. SOL._MODEL'!$D$247</f>
        <v>1420</v>
      </c>
      <c r="E115" s="22" t="s">
        <v>1682</v>
      </c>
    </row>
    <row r="116" spans="1:5" x14ac:dyDescent="0.3">
      <c r="A116" s="16" t="s">
        <v>766</v>
      </c>
      <c r="B116" s="18" t="s">
        <v>133</v>
      </c>
      <c r="C116" s="18" t="s">
        <v>2056</v>
      </c>
      <c r="D116" s="137">
        <v>0.05</v>
      </c>
      <c r="E116" s="22" t="s">
        <v>748</v>
      </c>
    </row>
    <row r="117" spans="1:5" x14ac:dyDescent="0.3">
      <c r="A117" s="16" t="s">
        <v>778</v>
      </c>
      <c r="B117" s="18" t="s">
        <v>128</v>
      </c>
      <c r="C117" s="18"/>
      <c r="D117" s="154">
        <f>$D$115*$D$116</f>
        <v>71</v>
      </c>
      <c r="E117" s="33" t="s">
        <v>232</v>
      </c>
    </row>
    <row r="118" spans="1:5" x14ac:dyDescent="0.3">
      <c r="A118" s="119" t="s">
        <v>1733</v>
      </c>
      <c r="B118" s="18" t="s">
        <v>214</v>
      </c>
      <c r="C118" s="18"/>
      <c r="D118" s="429">
        <f>(0.7*'25. CHEM. &amp; MAT.'!$F$50)/'25. CHEM. &amp; MAT.'!$F$51</f>
        <v>0.7443661971830986</v>
      </c>
      <c r="E118" s="22" t="s">
        <v>1581</v>
      </c>
    </row>
    <row r="119" spans="1:5" x14ac:dyDescent="0.3">
      <c r="A119" s="119" t="s">
        <v>1734</v>
      </c>
      <c r="B119" s="18" t="s">
        <v>214</v>
      </c>
      <c r="C119" s="18"/>
      <c r="D119" s="429">
        <f>1-D118</f>
        <v>0.2556338028169014</v>
      </c>
      <c r="E119" s="22" t="s">
        <v>1581</v>
      </c>
    </row>
    <row r="120" spans="1:5" x14ac:dyDescent="0.3">
      <c r="A120" s="16" t="s">
        <v>369</v>
      </c>
      <c r="B120" s="18" t="s">
        <v>281</v>
      </c>
      <c r="C120" s="18"/>
      <c r="D120" s="27">
        <v>200</v>
      </c>
      <c r="E120" s="41" t="s">
        <v>2107</v>
      </c>
    </row>
    <row r="121" spans="1:5" x14ac:dyDescent="0.3">
      <c r="A121" s="16" t="s">
        <v>772</v>
      </c>
      <c r="B121" s="18" t="s">
        <v>271</v>
      </c>
      <c r="C121" s="18" t="s">
        <v>286</v>
      </c>
      <c r="D121" s="27">
        <v>10</v>
      </c>
      <c r="E121" s="33" t="s">
        <v>855</v>
      </c>
    </row>
    <row r="122" spans="1:5" x14ac:dyDescent="0.3">
      <c r="A122" s="16" t="s">
        <v>845</v>
      </c>
      <c r="B122" s="18" t="s">
        <v>270</v>
      </c>
      <c r="C122" s="18"/>
      <c r="D122" s="27">
        <v>85</v>
      </c>
      <c r="E122" s="41" t="s">
        <v>2107</v>
      </c>
    </row>
    <row r="123" spans="1:5" x14ac:dyDescent="0.3">
      <c r="A123" s="16" t="s">
        <v>848</v>
      </c>
      <c r="B123" s="18" t="s">
        <v>226</v>
      </c>
      <c r="C123" s="18"/>
      <c r="D123" s="235">
        <f>($D$120/$D$121)*60</f>
        <v>1200</v>
      </c>
      <c r="E123" s="33" t="s">
        <v>232</v>
      </c>
    </row>
    <row r="124" spans="1:5" x14ac:dyDescent="0.3">
      <c r="A124" s="16" t="s">
        <v>851</v>
      </c>
      <c r="B124" s="18" t="s">
        <v>129</v>
      </c>
      <c r="C124" s="18"/>
      <c r="D124" s="27">
        <v>1000</v>
      </c>
      <c r="E124" s="22" t="s">
        <v>1581</v>
      </c>
    </row>
    <row r="125" spans="1:5" x14ac:dyDescent="0.3">
      <c r="A125" s="348" t="s">
        <v>849</v>
      </c>
      <c r="B125" s="18" t="s">
        <v>226</v>
      </c>
      <c r="C125" s="18"/>
      <c r="D125" s="27">
        <v>60</v>
      </c>
      <c r="E125" s="41" t="s">
        <v>2107</v>
      </c>
    </row>
    <row r="126" spans="1:5" x14ac:dyDescent="0.3">
      <c r="A126" s="16" t="s">
        <v>352</v>
      </c>
      <c r="B126" s="18" t="s">
        <v>226</v>
      </c>
      <c r="C126" s="18"/>
      <c r="D126" s="138">
        <f>SUM($D$123,$D$125)</f>
        <v>1260</v>
      </c>
      <c r="E126" s="33" t="s">
        <v>232</v>
      </c>
    </row>
    <row r="127" spans="1:5" x14ac:dyDescent="0.3">
      <c r="A127" s="348" t="s">
        <v>1570</v>
      </c>
      <c r="B127" s="30" t="s">
        <v>225</v>
      </c>
      <c r="C127" s="44"/>
      <c r="D127" s="144">
        <v>150</v>
      </c>
      <c r="E127" s="41" t="s">
        <v>2107</v>
      </c>
    </row>
    <row r="128" spans="1:5" x14ac:dyDescent="0.3">
      <c r="A128" s="16" t="s">
        <v>1725</v>
      </c>
      <c r="B128" s="18" t="s">
        <v>225</v>
      </c>
      <c r="C128" s="18" t="s">
        <v>1551</v>
      </c>
      <c r="D128" s="27">
        <f>IF('1. USER INPUTS'!$E$12=150,50,IF('1. USER INPUTS'!$E$12=200,50,IF('1. USER INPUTS'!$E$12=300,25)))</f>
        <v>50</v>
      </c>
      <c r="E128" s="41" t="s">
        <v>2107</v>
      </c>
    </row>
    <row r="129" spans="1:5" x14ac:dyDescent="0.3">
      <c r="A129" s="578" t="s">
        <v>351</v>
      </c>
      <c r="B129" s="543" t="s">
        <v>131</v>
      </c>
      <c r="C129" s="543"/>
      <c r="D129" s="543">
        <f>'2. PROCESS RECAP '!$E$17</f>
        <v>6.4</v>
      </c>
      <c r="E129" s="579" t="s">
        <v>2208</v>
      </c>
    </row>
    <row r="130" spans="1:5" ht="15" thickBot="1" x14ac:dyDescent="0.35">
      <c r="A130" s="634" t="s">
        <v>246</v>
      </c>
      <c r="B130" s="635" t="s">
        <v>225</v>
      </c>
      <c r="C130" s="635"/>
      <c r="D130" s="636">
        <f>'2. PROCESS RECAP '!$H$17</f>
        <v>1</v>
      </c>
      <c r="E130" s="637" t="s">
        <v>2209</v>
      </c>
    </row>
    <row r="131" spans="1:5" x14ac:dyDescent="0.3">
      <c r="A131" s="1122" t="s">
        <v>291</v>
      </c>
      <c r="B131" s="1123"/>
      <c r="C131" s="1123"/>
      <c r="D131" s="1123"/>
      <c r="E131" s="1124"/>
    </row>
    <row r="132" spans="1:5" x14ac:dyDescent="0.3">
      <c r="A132" s="262" t="s">
        <v>716</v>
      </c>
      <c r="B132" s="15" t="s">
        <v>132</v>
      </c>
      <c r="C132" s="15" t="s">
        <v>1038</v>
      </c>
      <c r="D132" s="107">
        <f>((($D$129*($D$126+$D$126/3)/3600)*$D$130/$D$128))*'1. USER INPUTS'!$E$23</f>
        <v>2.5663427170607371E-4</v>
      </c>
      <c r="E132" s="276" t="s">
        <v>232</v>
      </c>
    </row>
    <row r="133" spans="1:5" x14ac:dyDescent="0.3">
      <c r="A133" s="293" t="s">
        <v>696</v>
      </c>
      <c r="B133" s="15" t="s">
        <v>128</v>
      </c>
      <c r="C133" s="15"/>
      <c r="D133" s="286">
        <f>(($D$117*$D$118)/$D$127)*'1. USER INPUTS'!$E$23*$D$130</f>
        <v>1.5137412120162941E-3</v>
      </c>
      <c r="E133" s="276" t="s">
        <v>232</v>
      </c>
    </row>
    <row r="134" spans="1:5" x14ac:dyDescent="0.3">
      <c r="A134" s="15" t="s">
        <v>158</v>
      </c>
      <c r="B134" s="15" t="s">
        <v>128</v>
      </c>
      <c r="C134" s="15"/>
      <c r="D134" s="286">
        <f>((($D$117*$D$119)/$D$127)+(($D$116*$D$124)/$D$128))*'1. USER INPUTS'!$E$23*$D$130</f>
        <v>4.8161889271625333E-3</v>
      </c>
      <c r="E134" s="276" t="s">
        <v>232</v>
      </c>
    </row>
    <row r="135" spans="1:5" x14ac:dyDescent="0.3">
      <c r="A135" s="1128" t="s">
        <v>292</v>
      </c>
      <c r="B135" s="1129"/>
      <c r="C135" s="1129"/>
      <c r="D135" s="1129"/>
      <c r="E135" s="1130"/>
    </row>
    <row r="136" spans="1:5" x14ac:dyDescent="0.3">
      <c r="A136" s="16" t="s">
        <v>322</v>
      </c>
      <c r="B136" s="18" t="s">
        <v>293</v>
      </c>
      <c r="C136" s="18"/>
      <c r="D136" s="27">
        <v>1</v>
      </c>
      <c r="E136" s="22"/>
    </row>
    <row r="137" spans="1:5" x14ac:dyDescent="0.3">
      <c r="A137" s="284" t="s">
        <v>160</v>
      </c>
      <c r="B137" s="113" t="s">
        <v>128</v>
      </c>
      <c r="C137" s="113" t="s">
        <v>1870</v>
      </c>
      <c r="D137" s="124">
        <f>$D$133</f>
        <v>1.5137412120162941E-3</v>
      </c>
      <c r="E137" s="291" t="s">
        <v>237</v>
      </c>
    </row>
    <row r="138" spans="1:5" ht="15" thickBot="1" x14ac:dyDescent="0.35">
      <c r="A138" s="112" t="s">
        <v>159</v>
      </c>
      <c r="B138" s="111" t="s">
        <v>128</v>
      </c>
      <c r="C138" s="113" t="s">
        <v>1870</v>
      </c>
      <c r="D138" s="117">
        <f>$D$134</f>
        <v>4.8161889271625333E-3</v>
      </c>
      <c r="E138" s="283" t="s">
        <v>237</v>
      </c>
    </row>
    <row r="139" spans="1:5" x14ac:dyDescent="0.3">
      <c r="A139" s="1140"/>
      <c r="B139" s="1141"/>
      <c r="C139" s="1141"/>
      <c r="D139" s="1141"/>
      <c r="E139" s="1142"/>
    </row>
    <row r="140" spans="1:5" ht="15" thickBot="1" x14ac:dyDescent="0.35">
      <c r="A140" s="1143"/>
      <c r="B140" s="1144"/>
      <c r="C140" s="1144"/>
      <c r="D140" s="1144"/>
      <c r="E140" s="1145"/>
    </row>
    <row r="141" spans="1:5" ht="30" customHeight="1" thickBot="1" x14ac:dyDescent="0.35">
      <c r="A141" s="638" t="s">
        <v>1813</v>
      </c>
      <c r="B141" s="657" t="s">
        <v>142</v>
      </c>
      <c r="C141" s="654" t="s">
        <v>256</v>
      </c>
      <c r="D141" s="655" t="s">
        <v>236</v>
      </c>
      <c r="E141" s="656" t="s">
        <v>212</v>
      </c>
    </row>
    <row r="142" spans="1:5" x14ac:dyDescent="0.3">
      <c r="A142" s="1134" t="s">
        <v>266</v>
      </c>
      <c r="B142" s="1132" t="s">
        <v>225</v>
      </c>
      <c r="C142" s="19" t="s">
        <v>2057</v>
      </c>
      <c r="D142" s="136" t="s">
        <v>210</v>
      </c>
      <c r="E142" s="1136" t="s">
        <v>2106</v>
      </c>
    </row>
    <row r="143" spans="1:5" x14ac:dyDescent="0.3">
      <c r="A143" s="1135"/>
      <c r="B143" s="1133"/>
      <c r="C143" s="103" t="s">
        <v>1798</v>
      </c>
      <c r="D143" s="141" t="s">
        <v>210</v>
      </c>
      <c r="E143" s="1137"/>
    </row>
    <row r="144" spans="1:5" x14ac:dyDescent="0.3">
      <c r="A144" s="279" t="s">
        <v>2028</v>
      </c>
      <c r="B144" s="18" t="s">
        <v>225</v>
      </c>
      <c r="C144" s="103" t="s">
        <v>2039</v>
      </c>
      <c r="D144" s="141" t="s">
        <v>210</v>
      </c>
      <c r="E144" s="1138"/>
    </row>
    <row r="145" spans="1:5" x14ac:dyDescent="0.3">
      <c r="A145" s="119" t="s">
        <v>779</v>
      </c>
      <c r="B145" s="18" t="s">
        <v>129</v>
      </c>
      <c r="C145" s="103" t="s">
        <v>1799</v>
      </c>
      <c r="D145" s="158">
        <f>'26. CHEM. SOL._MODEL'!$D$154</f>
        <v>1735</v>
      </c>
      <c r="E145" s="22" t="s">
        <v>1682</v>
      </c>
    </row>
    <row r="146" spans="1:5" x14ac:dyDescent="0.3">
      <c r="A146" s="16" t="s">
        <v>766</v>
      </c>
      <c r="B146" s="18" t="s">
        <v>133</v>
      </c>
      <c r="C146" s="18" t="s">
        <v>2056</v>
      </c>
      <c r="D146" s="137">
        <v>0.05</v>
      </c>
      <c r="E146" s="22" t="s">
        <v>748</v>
      </c>
    </row>
    <row r="147" spans="1:5" x14ac:dyDescent="0.3">
      <c r="A147" s="16" t="s">
        <v>778</v>
      </c>
      <c r="B147" s="18" t="s">
        <v>128</v>
      </c>
      <c r="C147" s="18"/>
      <c r="D147" s="154">
        <f>$D$145*$D$146</f>
        <v>86.75</v>
      </c>
      <c r="E147" s="33" t="s">
        <v>232</v>
      </c>
    </row>
    <row r="148" spans="1:5" x14ac:dyDescent="0.3">
      <c r="A148" s="119" t="s">
        <v>1800</v>
      </c>
      <c r="B148" s="18" t="s">
        <v>214</v>
      </c>
      <c r="C148" s="18"/>
      <c r="D148" s="429">
        <f>'26. CHEM. SOL._MODEL'!$D$162</f>
        <v>0.79106628242074928</v>
      </c>
      <c r="E148" s="22" t="s">
        <v>1581</v>
      </c>
    </row>
    <row r="149" spans="1:5" x14ac:dyDescent="0.3">
      <c r="A149" s="119" t="s">
        <v>1966</v>
      </c>
      <c r="B149" s="18" t="s">
        <v>214</v>
      </c>
      <c r="C149" s="18"/>
      <c r="D149" s="429">
        <f>'26. CHEM. SOL._MODEL'!$D$163</f>
        <v>6.2680115273775219E-2</v>
      </c>
      <c r="E149" s="22" t="s">
        <v>1581</v>
      </c>
    </row>
    <row r="150" spans="1:5" x14ac:dyDescent="0.3">
      <c r="A150" s="119" t="s">
        <v>1967</v>
      </c>
      <c r="B150" s="18" t="s">
        <v>214</v>
      </c>
      <c r="C150" s="18"/>
      <c r="D150" s="429">
        <f>'26. CHEM. SOL._MODEL'!$D$164</f>
        <v>0.14625360230547549</v>
      </c>
      <c r="E150" s="22" t="s">
        <v>1581</v>
      </c>
    </row>
    <row r="151" spans="1:5" x14ac:dyDescent="0.3">
      <c r="A151" s="16" t="s">
        <v>845</v>
      </c>
      <c r="B151" s="18" t="s">
        <v>270</v>
      </c>
      <c r="C151" s="18"/>
      <c r="D151" s="27" t="s">
        <v>2090</v>
      </c>
      <c r="E151" s="41" t="s">
        <v>2107</v>
      </c>
    </row>
    <row r="152" spans="1:5" x14ac:dyDescent="0.3">
      <c r="A152" s="16" t="s">
        <v>848</v>
      </c>
      <c r="B152" s="18" t="s">
        <v>226</v>
      </c>
      <c r="C152" s="18" t="s">
        <v>1818</v>
      </c>
      <c r="D152" s="235">
        <v>300</v>
      </c>
      <c r="E152" s="41" t="s">
        <v>2107</v>
      </c>
    </row>
    <row r="153" spans="1:5" x14ac:dyDescent="0.3">
      <c r="A153" s="16" t="s">
        <v>851</v>
      </c>
      <c r="B153" s="18" t="s">
        <v>129</v>
      </c>
      <c r="C153" s="18"/>
      <c r="D153" s="27">
        <v>1000</v>
      </c>
      <c r="E153" s="22" t="s">
        <v>1581</v>
      </c>
    </row>
    <row r="154" spans="1:5" x14ac:dyDescent="0.3">
      <c r="A154" s="348" t="s">
        <v>849</v>
      </c>
      <c r="B154" s="18" t="s">
        <v>226</v>
      </c>
      <c r="C154" s="18"/>
      <c r="D154" s="27">
        <v>60</v>
      </c>
      <c r="E154" s="41" t="s">
        <v>2107</v>
      </c>
    </row>
    <row r="155" spans="1:5" x14ac:dyDescent="0.3">
      <c r="A155" s="16" t="s">
        <v>352</v>
      </c>
      <c r="B155" s="18" t="s">
        <v>226</v>
      </c>
      <c r="C155" s="18"/>
      <c r="D155" s="138">
        <f>SUM($D$152,$D$154)</f>
        <v>360</v>
      </c>
      <c r="E155" s="33" t="s">
        <v>232</v>
      </c>
    </row>
    <row r="156" spans="1:5" x14ac:dyDescent="0.3">
      <c r="A156" s="348" t="s">
        <v>1570</v>
      </c>
      <c r="B156" s="30" t="s">
        <v>225</v>
      </c>
      <c r="C156" s="44"/>
      <c r="D156" s="144">
        <v>150</v>
      </c>
      <c r="E156" s="41" t="s">
        <v>2107</v>
      </c>
    </row>
    <row r="157" spans="1:5" x14ac:dyDescent="0.3">
      <c r="A157" s="16" t="s">
        <v>1725</v>
      </c>
      <c r="B157" s="18" t="s">
        <v>225</v>
      </c>
      <c r="C157" s="18" t="s">
        <v>1551</v>
      </c>
      <c r="D157" s="27">
        <f>IF('1. USER INPUTS'!$E$12=150,50,IF('1. USER INPUTS'!$E$12=200,50,IF('1. USER INPUTS'!$E$12=300,25)))</f>
        <v>50</v>
      </c>
      <c r="E157" s="41" t="s">
        <v>2107</v>
      </c>
    </row>
    <row r="158" spans="1:5" x14ac:dyDescent="0.3">
      <c r="A158" s="578" t="s">
        <v>351</v>
      </c>
      <c r="B158" s="543" t="s">
        <v>131</v>
      </c>
      <c r="C158" s="543"/>
      <c r="D158" s="543">
        <f>'2. PROCESS RECAP '!$E$13</f>
        <v>6.4</v>
      </c>
      <c r="E158" s="579" t="s">
        <v>2208</v>
      </c>
    </row>
    <row r="159" spans="1:5" ht="15" thickBot="1" x14ac:dyDescent="0.35">
      <c r="A159" s="634" t="s">
        <v>246</v>
      </c>
      <c r="B159" s="635" t="s">
        <v>225</v>
      </c>
      <c r="C159" s="635"/>
      <c r="D159" s="636">
        <f>'2. PROCESS RECAP '!$H$13</f>
        <v>7</v>
      </c>
      <c r="E159" s="637" t="s">
        <v>2209</v>
      </c>
    </row>
    <row r="160" spans="1:5" x14ac:dyDescent="0.3">
      <c r="A160" s="1122" t="s">
        <v>291</v>
      </c>
      <c r="B160" s="1123"/>
      <c r="C160" s="1123"/>
      <c r="D160" s="1123"/>
      <c r="E160" s="1124"/>
    </row>
    <row r="161" spans="1:5" x14ac:dyDescent="0.3">
      <c r="A161" s="262" t="s">
        <v>716</v>
      </c>
      <c r="B161" s="15" t="s">
        <v>132</v>
      </c>
      <c r="C161" s="15" t="s">
        <v>1038</v>
      </c>
      <c r="D161" s="107">
        <f>((($D$158*($D$155+$D$155/3)/3600)*$D$159/$D$157))*'1. USER INPUTS'!$E$23</f>
        <v>5.1326854341214741E-4</v>
      </c>
      <c r="E161" s="276" t="s">
        <v>232</v>
      </c>
    </row>
    <row r="162" spans="1:5" x14ac:dyDescent="0.3">
      <c r="A162" s="293" t="s">
        <v>798</v>
      </c>
      <c r="B162" s="15" t="s">
        <v>128</v>
      </c>
      <c r="C162" s="15"/>
      <c r="D162" s="107">
        <f>(($D$148*$D$147)/$D$156)*'1. USER INPUTS'!$E$23*$D$159</f>
        <v>1.3759005387366649E-2</v>
      </c>
      <c r="E162" s="276" t="s">
        <v>232</v>
      </c>
    </row>
    <row r="163" spans="1:5" x14ac:dyDescent="0.3">
      <c r="A163" s="285" t="s">
        <v>430</v>
      </c>
      <c r="B163" s="15" t="s">
        <v>128</v>
      </c>
      <c r="C163" s="15"/>
      <c r="D163" s="286">
        <f>(($D$149*$D$147)/$D$156)*'1. USER INPUTS'!$E$23*$D$159</f>
        <v>1.0901944159388873E-3</v>
      </c>
      <c r="E163" s="276" t="s">
        <v>232</v>
      </c>
    </row>
    <row r="164" spans="1:5" x14ac:dyDescent="0.3">
      <c r="A164" s="285" t="s">
        <v>158</v>
      </c>
      <c r="B164" s="15" t="s">
        <v>128</v>
      </c>
      <c r="C164" s="15"/>
      <c r="D164" s="286">
        <f>((($D$147*$D$150)/$D$156)+(($D$146*$D$153)/$D$157))*'1. USER INPUTS'!$E$23*$D$159</f>
        <v>3.2618115686079578E-2</v>
      </c>
      <c r="E164" s="276" t="s">
        <v>232</v>
      </c>
    </row>
    <row r="165" spans="1:5" x14ac:dyDescent="0.3">
      <c r="A165" s="1128" t="s">
        <v>292</v>
      </c>
      <c r="B165" s="1129"/>
      <c r="C165" s="1129"/>
      <c r="D165" s="1129"/>
      <c r="E165" s="1130"/>
    </row>
    <row r="166" spans="1:5" x14ac:dyDescent="0.3">
      <c r="A166" s="16" t="s">
        <v>322</v>
      </c>
      <c r="B166" s="18" t="s">
        <v>293</v>
      </c>
      <c r="C166" s="18"/>
      <c r="D166" s="27">
        <v>1</v>
      </c>
      <c r="E166" s="22"/>
    </row>
    <row r="167" spans="1:5" x14ac:dyDescent="0.3">
      <c r="A167" s="284" t="s">
        <v>1650</v>
      </c>
      <c r="B167" s="113" t="s">
        <v>128</v>
      </c>
      <c r="C167" s="113" t="s">
        <v>1870</v>
      </c>
      <c r="D167" s="124">
        <f>$D$162</f>
        <v>1.3759005387366649E-2</v>
      </c>
      <c r="E167" s="291" t="s">
        <v>237</v>
      </c>
    </row>
    <row r="168" spans="1:5" x14ac:dyDescent="0.3">
      <c r="A168" s="284" t="s">
        <v>161</v>
      </c>
      <c r="B168" s="113" t="s">
        <v>128</v>
      </c>
      <c r="C168" s="113" t="s">
        <v>1870</v>
      </c>
      <c r="D168" s="124">
        <f>$D$163</f>
        <v>1.0901944159388873E-3</v>
      </c>
      <c r="E168" s="291" t="s">
        <v>237</v>
      </c>
    </row>
    <row r="169" spans="1:5" ht="15" thickBot="1" x14ac:dyDescent="0.35">
      <c r="A169" s="112" t="s">
        <v>159</v>
      </c>
      <c r="B169" s="111" t="s">
        <v>128</v>
      </c>
      <c r="C169" s="113" t="s">
        <v>1870</v>
      </c>
      <c r="D169" s="117">
        <f>SUM($D$162:$D$164)</f>
        <v>4.7467315489385112E-2</v>
      </c>
      <c r="E169" s="283" t="s">
        <v>237</v>
      </c>
    </row>
    <row r="170" spans="1:5" x14ac:dyDescent="0.3">
      <c r="A170" s="1140"/>
      <c r="B170" s="1141"/>
      <c r="C170" s="1141"/>
      <c r="D170" s="1141"/>
      <c r="E170" s="1142"/>
    </row>
    <row r="171" spans="1:5" ht="15" thickBot="1" x14ac:dyDescent="0.35">
      <c r="A171" s="1143"/>
      <c r="B171" s="1144"/>
      <c r="C171" s="1144"/>
      <c r="D171" s="1144"/>
      <c r="E171" s="1145"/>
    </row>
    <row r="172" spans="1:5" ht="30" customHeight="1" thickBot="1" x14ac:dyDescent="0.35">
      <c r="A172" s="638" t="s">
        <v>2078</v>
      </c>
      <c r="B172" s="657" t="s">
        <v>142</v>
      </c>
      <c r="C172" s="654" t="s">
        <v>256</v>
      </c>
      <c r="D172" s="655" t="s">
        <v>236</v>
      </c>
      <c r="E172" s="656" t="s">
        <v>212</v>
      </c>
    </row>
    <row r="173" spans="1:5" x14ac:dyDescent="0.3">
      <c r="A173" s="1134" t="s">
        <v>266</v>
      </c>
      <c r="B173" s="151" t="s">
        <v>225</v>
      </c>
      <c r="C173" s="19" t="s">
        <v>1802</v>
      </c>
      <c r="D173" s="136" t="s">
        <v>210</v>
      </c>
      <c r="E173" s="1136" t="s">
        <v>2106</v>
      </c>
    </row>
    <row r="174" spans="1:5" x14ac:dyDescent="0.3">
      <c r="A174" s="1146"/>
      <c r="B174" s="18" t="s">
        <v>225</v>
      </c>
      <c r="C174" s="103" t="s">
        <v>1801</v>
      </c>
      <c r="D174" s="141"/>
      <c r="E174" s="1137"/>
    </row>
    <row r="175" spans="1:5" x14ac:dyDescent="0.3">
      <c r="A175" s="1135"/>
      <c r="B175" s="18" t="s">
        <v>225</v>
      </c>
      <c r="C175" s="103" t="s">
        <v>1807</v>
      </c>
      <c r="D175" s="141" t="s">
        <v>210</v>
      </c>
      <c r="E175" s="1137"/>
    </row>
    <row r="176" spans="1:5" x14ac:dyDescent="0.3">
      <c r="A176" s="279" t="s">
        <v>2028</v>
      </c>
      <c r="B176" s="18" t="s">
        <v>225</v>
      </c>
      <c r="C176" s="103" t="s">
        <v>2039</v>
      </c>
      <c r="D176" s="141" t="s">
        <v>210</v>
      </c>
      <c r="E176" s="1138"/>
    </row>
    <row r="177" spans="1:5" x14ac:dyDescent="0.3">
      <c r="A177" s="119" t="s">
        <v>779</v>
      </c>
      <c r="B177" s="18" t="s">
        <v>129</v>
      </c>
      <c r="C177" s="103" t="s">
        <v>1804</v>
      </c>
      <c r="D177" s="158">
        <f>'25. CHEM. &amp; MAT.'!$F$76</f>
        <v>1110</v>
      </c>
      <c r="E177" s="22" t="s">
        <v>1682</v>
      </c>
    </row>
    <row r="178" spans="1:5" x14ac:dyDescent="0.3">
      <c r="A178" s="16" t="s">
        <v>766</v>
      </c>
      <c r="B178" s="18" t="s">
        <v>133</v>
      </c>
      <c r="C178" s="18" t="s">
        <v>773</v>
      </c>
      <c r="D178" s="137">
        <v>0.05</v>
      </c>
      <c r="E178" s="22" t="s">
        <v>748</v>
      </c>
    </row>
    <row r="179" spans="1:5" x14ac:dyDescent="0.3">
      <c r="A179" s="16" t="s">
        <v>778</v>
      </c>
      <c r="B179" s="18" t="s">
        <v>128</v>
      </c>
      <c r="C179" s="18"/>
      <c r="D179" s="154">
        <f>$D$177*$D$178</f>
        <v>55.5</v>
      </c>
      <c r="E179" s="33" t="s">
        <v>232</v>
      </c>
    </row>
    <row r="180" spans="1:5" x14ac:dyDescent="0.3">
      <c r="A180" s="16" t="s">
        <v>845</v>
      </c>
      <c r="B180" s="18" t="s">
        <v>270</v>
      </c>
      <c r="C180" s="18"/>
      <c r="D180" s="27" t="s">
        <v>1805</v>
      </c>
      <c r="E180" s="41" t="s">
        <v>2107</v>
      </c>
    </row>
    <row r="181" spans="1:5" x14ac:dyDescent="0.3">
      <c r="A181" s="119" t="s">
        <v>1808</v>
      </c>
      <c r="B181" s="18" t="s">
        <v>226</v>
      </c>
      <c r="C181" s="18" t="s">
        <v>1810</v>
      </c>
      <c r="D181" s="154">
        <v>600</v>
      </c>
      <c r="E181" s="41" t="s">
        <v>2107</v>
      </c>
    </row>
    <row r="182" spans="1:5" x14ac:dyDescent="0.3">
      <c r="A182" s="119" t="s">
        <v>1809</v>
      </c>
      <c r="B182" s="18" t="s">
        <v>226</v>
      </c>
      <c r="C182" s="18" t="s">
        <v>1810</v>
      </c>
      <c r="D182" s="154">
        <v>600</v>
      </c>
      <c r="E182" s="41" t="s">
        <v>2107</v>
      </c>
    </row>
    <row r="183" spans="1:5" x14ac:dyDescent="0.3">
      <c r="A183" s="16" t="s">
        <v>851</v>
      </c>
      <c r="B183" s="18" t="s">
        <v>129</v>
      </c>
      <c r="C183" s="18"/>
      <c r="D183" s="134">
        <f>'25. CHEM. &amp; MAT.'!$F$62</f>
        <v>1000</v>
      </c>
      <c r="E183" s="22" t="s">
        <v>1581</v>
      </c>
    </row>
    <row r="184" spans="1:5" x14ac:dyDescent="0.3">
      <c r="A184" s="348" t="s">
        <v>849</v>
      </c>
      <c r="B184" s="18" t="s">
        <v>226</v>
      </c>
      <c r="C184" s="18" t="s">
        <v>1811</v>
      </c>
      <c r="D184" s="27">
        <v>600</v>
      </c>
      <c r="E184" s="41" t="s">
        <v>2107</v>
      </c>
    </row>
    <row r="185" spans="1:5" x14ac:dyDescent="0.3">
      <c r="A185" s="16" t="s">
        <v>352</v>
      </c>
      <c r="B185" s="18" t="s">
        <v>226</v>
      </c>
      <c r="C185" s="18"/>
      <c r="D185" s="138">
        <f>SUM($D$181:$D$182,$D$184)</f>
        <v>1800</v>
      </c>
      <c r="E185" s="33" t="s">
        <v>232</v>
      </c>
    </row>
    <row r="186" spans="1:5" x14ac:dyDescent="0.3">
      <c r="A186" s="348" t="s">
        <v>1570</v>
      </c>
      <c r="B186" s="30" t="s">
        <v>225</v>
      </c>
      <c r="C186" s="44"/>
      <c r="D186" s="144">
        <v>150</v>
      </c>
      <c r="E186" s="41" t="s">
        <v>2107</v>
      </c>
    </row>
    <row r="187" spans="1:5" x14ac:dyDescent="0.3">
      <c r="A187" s="16" t="s">
        <v>1725</v>
      </c>
      <c r="B187" s="18" t="s">
        <v>225</v>
      </c>
      <c r="C187" s="18" t="s">
        <v>1551</v>
      </c>
      <c r="D187" s="27">
        <f>IF('1. USER INPUTS'!$E$12=150,50,IF('1. USER INPUTS'!$E$12=200,50,IF('1. USER INPUTS'!$E$12=300,25)))</f>
        <v>50</v>
      </c>
      <c r="E187" s="41" t="s">
        <v>2107</v>
      </c>
    </row>
    <row r="188" spans="1:5" x14ac:dyDescent="0.3">
      <c r="A188" s="578" t="s">
        <v>351</v>
      </c>
      <c r="B188" s="543" t="s">
        <v>131</v>
      </c>
      <c r="C188" s="543"/>
      <c r="D188" s="543">
        <f>'2. PROCESS RECAP '!$E$14</f>
        <v>6.4</v>
      </c>
      <c r="E188" s="579" t="s">
        <v>2208</v>
      </c>
    </row>
    <row r="189" spans="1:5" ht="15" thickBot="1" x14ac:dyDescent="0.35">
      <c r="A189" s="634" t="s">
        <v>246</v>
      </c>
      <c r="B189" s="635" t="s">
        <v>225</v>
      </c>
      <c r="C189" s="635"/>
      <c r="D189" s="636">
        <f>'2. PROCESS RECAP '!$H$14</f>
        <v>1</v>
      </c>
      <c r="E189" s="637" t="s">
        <v>2209</v>
      </c>
    </row>
    <row r="190" spans="1:5" x14ac:dyDescent="0.3">
      <c r="A190" s="1147" t="s">
        <v>291</v>
      </c>
      <c r="B190" s="1148"/>
      <c r="C190" s="1148"/>
      <c r="D190" s="1148"/>
      <c r="E190" s="1149"/>
    </row>
    <row r="191" spans="1:5" x14ac:dyDescent="0.3">
      <c r="A191" s="285" t="s">
        <v>716</v>
      </c>
      <c r="B191" s="15" t="s">
        <v>132</v>
      </c>
      <c r="C191" s="15" t="s">
        <v>1038</v>
      </c>
      <c r="D191" s="107">
        <f>((($D$188*($D$185+$D$185/3)/3600)*$D$189/$D$187))*'1. USER INPUTS'!$E$23</f>
        <v>3.6662038815153387E-4</v>
      </c>
      <c r="E191" s="276" t="s">
        <v>232</v>
      </c>
    </row>
    <row r="192" spans="1:5" x14ac:dyDescent="0.3">
      <c r="A192" s="293" t="s">
        <v>1812</v>
      </c>
      <c r="B192" s="15" t="s">
        <v>128</v>
      </c>
      <c r="C192" s="15"/>
      <c r="D192" s="107">
        <f>(($D$179*2)/$D$186)*'1. USER INPUTS'!$E$23</f>
        <v>3.1792861785015828E-3</v>
      </c>
      <c r="E192" s="276" t="s">
        <v>232</v>
      </c>
    </row>
    <row r="193" spans="1:5" x14ac:dyDescent="0.3">
      <c r="A193" s="285" t="s">
        <v>158</v>
      </c>
      <c r="B193" s="15" t="s">
        <v>128</v>
      </c>
      <c r="C193" s="15"/>
      <c r="D193" s="286">
        <f>(($D$178*$D$183)/$D$187)*'1. USER INPUTS'!$E$23*$D$189</f>
        <v>4.2963326736507879E-3</v>
      </c>
      <c r="E193" s="276" t="s">
        <v>232</v>
      </c>
    </row>
    <row r="194" spans="1:5" x14ac:dyDescent="0.3">
      <c r="A194" s="1128" t="s">
        <v>292</v>
      </c>
      <c r="B194" s="1129"/>
      <c r="C194" s="1129"/>
      <c r="D194" s="1129"/>
      <c r="E194" s="1130"/>
    </row>
    <row r="195" spans="1:5" x14ac:dyDescent="0.3">
      <c r="A195" s="16" t="s">
        <v>322</v>
      </c>
      <c r="B195" s="18" t="s">
        <v>293</v>
      </c>
      <c r="C195" s="18"/>
      <c r="D195" s="27">
        <v>1</v>
      </c>
      <c r="E195" s="22"/>
    </row>
    <row r="196" spans="1:5" x14ac:dyDescent="0.3">
      <c r="A196" s="284" t="s">
        <v>1814</v>
      </c>
      <c r="B196" s="113" t="s">
        <v>128</v>
      </c>
      <c r="C196" s="113" t="s">
        <v>1870</v>
      </c>
      <c r="D196" s="124">
        <f>$D$192</f>
        <v>3.1792861785015828E-3</v>
      </c>
      <c r="E196" s="291" t="s">
        <v>237</v>
      </c>
    </row>
    <row r="197" spans="1:5" ht="15" thickBot="1" x14ac:dyDescent="0.35">
      <c r="A197" s="110" t="s">
        <v>159</v>
      </c>
      <c r="B197" s="111" t="s">
        <v>128</v>
      </c>
      <c r="C197" s="111" t="s">
        <v>1870</v>
      </c>
      <c r="D197" s="117">
        <f>$D$193</f>
        <v>4.2963326736507879E-3</v>
      </c>
      <c r="E197" s="283" t="s">
        <v>237</v>
      </c>
    </row>
  </sheetData>
  <sheetProtection algorithmName="SHA-512" hashValue="CKEBpWmD2524A1Iq+gxB/Qmwk8TwTARQnyYJm7LJ6sSJdq6BzGQljg3wnpjy0r1nHGvfI4tjGS1opuvfRQFBgg==" saltValue="R7LCZ8ZSfMixHOb4wnofpg==" spinCount="100000" sheet="1" objects="1" scenarios="1"/>
  <mergeCells count="30">
    <mergeCell ref="A190:E190"/>
    <mergeCell ref="A194:E194"/>
    <mergeCell ref="A5:E5"/>
    <mergeCell ref="A16:E16"/>
    <mergeCell ref="A62:E62"/>
    <mergeCell ref="A69:E69"/>
    <mergeCell ref="A99:E99"/>
    <mergeCell ref="A27:E28"/>
    <mergeCell ref="A76:E77"/>
    <mergeCell ref="A30:A34"/>
    <mergeCell ref="A79:A80"/>
    <mergeCell ref="A135:E135"/>
    <mergeCell ref="A109:E110"/>
    <mergeCell ref="A104:E104"/>
    <mergeCell ref="A165:E165"/>
    <mergeCell ref="A112:A113"/>
    <mergeCell ref="E173:E176"/>
    <mergeCell ref="B79:B80"/>
    <mergeCell ref="B30:B34"/>
    <mergeCell ref="E30:E35"/>
    <mergeCell ref="E79:E81"/>
    <mergeCell ref="A170:E171"/>
    <mergeCell ref="A173:A175"/>
    <mergeCell ref="A131:E131"/>
    <mergeCell ref="A139:E140"/>
    <mergeCell ref="A142:A143"/>
    <mergeCell ref="A160:E160"/>
    <mergeCell ref="B142:B143"/>
    <mergeCell ref="E142:E144"/>
    <mergeCell ref="E112:E114"/>
  </mergeCells>
  <phoneticPr fontId="15" type="noConversion"/>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C2BE6-C77E-4989-B48C-7A373FB64B64}">
  <dimension ref="A1:G156"/>
  <sheetViews>
    <sheetView zoomScale="85" zoomScaleNormal="85" workbookViewId="0"/>
  </sheetViews>
  <sheetFormatPr baseColWidth="10" defaultRowHeight="14.4" x14ac:dyDescent="0.3"/>
  <cols>
    <col min="1" max="1" width="77.109375" customWidth="1"/>
    <col min="2" max="2" width="6.5546875" bestFit="1" customWidth="1"/>
    <col min="3" max="3" width="130.77734375" bestFit="1" customWidth="1"/>
    <col min="4" max="4" width="11.33203125" customWidth="1"/>
    <col min="5" max="5" width="59.109375" bestFit="1" customWidth="1"/>
  </cols>
  <sheetData>
    <row r="1" spans="1:7" ht="15" thickBot="1" x14ac:dyDescent="0.35">
      <c r="A1" t="s">
        <v>135</v>
      </c>
    </row>
    <row r="2" spans="1:7" ht="30" customHeight="1" thickBot="1" x14ac:dyDescent="0.35">
      <c r="A2" s="638" t="s">
        <v>306</v>
      </c>
      <c r="B2" s="657" t="s">
        <v>142</v>
      </c>
      <c r="C2" s="654" t="s">
        <v>256</v>
      </c>
      <c r="D2" s="655" t="s">
        <v>236</v>
      </c>
      <c r="E2" s="656" t="s">
        <v>212</v>
      </c>
    </row>
    <row r="3" spans="1:7" x14ac:dyDescent="0.3">
      <c r="A3" s="18" t="s">
        <v>2186</v>
      </c>
      <c r="B3" s="19" t="s">
        <v>225</v>
      </c>
      <c r="C3" s="19"/>
      <c r="D3" s="136">
        <f>SUM($D$55,$D$87,$D$116,$D$146)</f>
        <v>10</v>
      </c>
      <c r="E3" s="24" t="s">
        <v>232</v>
      </c>
    </row>
    <row r="4" spans="1:7" x14ac:dyDescent="0.3">
      <c r="A4" s="18" t="s">
        <v>2178</v>
      </c>
      <c r="B4" s="18" t="s">
        <v>226</v>
      </c>
      <c r="C4" s="18"/>
      <c r="D4" s="138">
        <f>SUM($D$51*$D$55,$D$84*$D$87,$D$112*$D$116,$D$142*$D$146)</f>
        <v>11670</v>
      </c>
      <c r="E4" s="22" t="s">
        <v>232</v>
      </c>
    </row>
    <row r="5" spans="1:7" x14ac:dyDescent="0.3">
      <c r="A5" s="1125" t="s">
        <v>291</v>
      </c>
      <c r="B5" s="1126"/>
      <c r="C5" s="1126"/>
      <c r="D5" s="1126"/>
      <c r="E5" s="1127"/>
    </row>
    <row r="6" spans="1:7" x14ac:dyDescent="0.3">
      <c r="A6" s="285" t="s">
        <v>716</v>
      </c>
      <c r="B6" s="15" t="s">
        <v>132</v>
      </c>
      <c r="C6" s="15" t="s">
        <v>2229</v>
      </c>
      <c r="D6" s="286">
        <f>SUM($D$57,$D$89,$D$118,$D$148)</f>
        <v>2.2475548326758485E-3</v>
      </c>
      <c r="E6" s="276" t="s">
        <v>232</v>
      </c>
      <c r="G6" s="2"/>
    </row>
    <row r="7" spans="1:7" x14ac:dyDescent="0.3">
      <c r="A7" s="293" t="s">
        <v>695</v>
      </c>
      <c r="B7" s="15" t="s">
        <v>128</v>
      </c>
      <c r="C7" s="15"/>
      <c r="D7" s="286">
        <f>$D$121</f>
        <v>3.2938550497989369E-4</v>
      </c>
      <c r="E7" s="276" t="s">
        <v>232</v>
      </c>
    </row>
    <row r="8" spans="1:7" x14ac:dyDescent="0.3">
      <c r="A8" s="293" t="s">
        <v>380</v>
      </c>
      <c r="B8" s="15" t="s">
        <v>128</v>
      </c>
      <c r="C8" s="15"/>
      <c r="D8" s="286">
        <f>'13. WET CLEAN'!$D$59</f>
        <v>3.7234883171640169E-4</v>
      </c>
      <c r="E8" s="276" t="s">
        <v>232</v>
      </c>
    </row>
    <row r="9" spans="1:7" x14ac:dyDescent="0.3">
      <c r="A9" s="343" t="s">
        <v>430</v>
      </c>
      <c r="B9" s="15" t="s">
        <v>128</v>
      </c>
      <c r="C9" s="15"/>
      <c r="D9" s="286">
        <f>SUM($D$60,$D$63,$D$150)</f>
        <v>1.70574636507445E-3</v>
      </c>
      <c r="E9" s="276" t="s">
        <v>232</v>
      </c>
    </row>
    <row r="10" spans="1:7" x14ac:dyDescent="0.3">
      <c r="A10" s="285" t="s">
        <v>431</v>
      </c>
      <c r="B10" s="15" t="s">
        <v>128</v>
      </c>
      <c r="C10" s="15"/>
      <c r="D10" s="286">
        <f>'13. WET CLEAN'!$D$62</f>
        <v>4.8691770301375606E-4</v>
      </c>
      <c r="E10" s="276" t="s">
        <v>232</v>
      </c>
    </row>
    <row r="11" spans="1:7" x14ac:dyDescent="0.3">
      <c r="A11" s="293" t="s">
        <v>962</v>
      </c>
      <c r="B11" s="15" t="s">
        <v>128</v>
      </c>
      <c r="C11" s="15"/>
      <c r="D11" s="286">
        <f>'13. WET CLEAN'!$D$91</f>
        <v>1.9011272080904736E-4</v>
      </c>
      <c r="E11" s="276" t="s">
        <v>232</v>
      </c>
    </row>
    <row r="12" spans="1:7" x14ac:dyDescent="0.3">
      <c r="A12" s="285" t="s">
        <v>158</v>
      </c>
      <c r="B12" s="15" t="s">
        <v>128</v>
      </c>
      <c r="C12" s="299"/>
      <c r="D12" s="286">
        <f>SUM($D$58,$D$61,$D$64,$D$90,$D$119:$D$120,$D$149)</f>
        <v>4.0116494872038798E-2</v>
      </c>
      <c r="E12" s="276" t="s">
        <v>232</v>
      </c>
    </row>
    <row r="13" spans="1:7" x14ac:dyDescent="0.3">
      <c r="A13" s="395" t="s">
        <v>1494</v>
      </c>
      <c r="B13" s="15" t="s">
        <v>128</v>
      </c>
      <c r="C13" s="299"/>
      <c r="D13" s="286">
        <f>D65</f>
        <v>4.4971146205994008E-3</v>
      </c>
      <c r="E13" s="276" t="s">
        <v>232</v>
      </c>
    </row>
    <row r="14" spans="1:7" x14ac:dyDescent="0.3">
      <c r="A14" s="1128" t="s">
        <v>292</v>
      </c>
      <c r="B14" s="1129"/>
      <c r="C14" s="1129"/>
      <c r="D14" s="1129"/>
      <c r="E14" s="1130"/>
    </row>
    <row r="15" spans="1:7" x14ac:dyDescent="0.3">
      <c r="A15" s="16" t="s">
        <v>706</v>
      </c>
      <c r="B15" s="18" t="s">
        <v>293</v>
      </c>
      <c r="C15" s="18"/>
      <c r="D15" s="138">
        <v>1</v>
      </c>
      <c r="E15" s="22"/>
    </row>
    <row r="16" spans="1:7" x14ac:dyDescent="0.3">
      <c r="A16" s="127" t="s">
        <v>159</v>
      </c>
      <c r="B16" s="113" t="s">
        <v>128</v>
      </c>
      <c r="C16" s="113" t="s">
        <v>2268</v>
      </c>
      <c r="D16" s="124">
        <f>$D$95</f>
        <v>1.6261619169768232E-2</v>
      </c>
      <c r="E16" s="291" t="s">
        <v>232</v>
      </c>
    </row>
    <row r="17" spans="1:5" x14ac:dyDescent="0.3">
      <c r="A17" s="127" t="s">
        <v>159</v>
      </c>
      <c r="B17" s="113" t="s">
        <v>128</v>
      </c>
      <c r="C17" s="113" t="s">
        <v>2268</v>
      </c>
      <c r="D17" s="124">
        <f>SUM($D$68,$D$124,$D$154)</f>
        <v>2.3854875702270562E-2</v>
      </c>
      <c r="E17" s="291" t="s">
        <v>232</v>
      </c>
    </row>
    <row r="18" spans="1:5" x14ac:dyDescent="0.3">
      <c r="A18" s="112" t="s">
        <v>155</v>
      </c>
      <c r="B18" s="113" t="s">
        <v>128</v>
      </c>
      <c r="C18" s="113" t="s">
        <v>2268</v>
      </c>
      <c r="D18" s="124">
        <f>$D$69</f>
        <v>3.7234883171640169E-4</v>
      </c>
      <c r="E18" s="291" t="s">
        <v>232</v>
      </c>
    </row>
    <row r="19" spans="1:5" x14ac:dyDescent="0.3">
      <c r="A19" s="536" t="s">
        <v>161</v>
      </c>
      <c r="B19" s="113" t="s">
        <v>128</v>
      </c>
      <c r="C19" s="113" t="s">
        <v>2268</v>
      </c>
      <c r="D19" s="124">
        <f>SUM($D$70,$D$155)</f>
        <v>1.70574636507445E-3</v>
      </c>
      <c r="E19" s="291" t="s">
        <v>232</v>
      </c>
    </row>
    <row r="20" spans="1:5" x14ac:dyDescent="0.3">
      <c r="A20" s="127" t="s">
        <v>162</v>
      </c>
      <c r="B20" s="113" t="s">
        <v>128</v>
      </c>
      <c r="C20" s="113" t="s">
        <v>2268</v>
      </c>
      <c r="D20" s="124">
        <f>$D$71</f>
        <v>4.8691770301375606E-4</v>
      </c>
      <c r="E20" s="291" t="s">
        <v>232</v>
      </c>
    </row>
    <row r="21" spans="1:5" x14ac:dyDescent="0.3">
      <c r="A21" s="537" t="s">
        <v>1578</v>
      </c>
      <c r="B21" s="113" t="s">
        <v>128</v>
      </c>
      <c r="C21" s="113" t="s">
        <v>2268</v>
      </c>
      <c r="D21" s="124">
        <f>$D$72</f>
        <v>2.0458727017384709E-3</v>
      </c>
      <c r="E21" s="291" t="s">
        <v>232</v>
      </c>
    </row>
    <row r="22" spans="1:5" x14ac:dyDescent="0.3">
      <c r="A22" s="284" t="s">
        <v>157</v>
      </c>
      <c r="B22" s="113" t="s">
        <v>128</v>
      </c>
      <c r="C22" s="113" t="s">
        <v>2268</v>
      </c>
      <c r="D22" s="124">
        <f>$D$125</f>
        <v>3.2938550497989369E-4</v>
      </c>
      <c r="E22" s="291" t="s">
        <v>232</v>
      </c>
    </row>
    <row r="23" spans="1:5" x14ac:dyDescent="0.3">
      <c r="A23" s="112" t="s">
        <v>1650</v>
      </c>
      <c r="B23" s="113" t="s">
        <v>128</v>
      </c>
      <c r="C23" s="113" t="s">
        <v>2268</v>
      </c>
      <c r="D23" s="124">
        <f>$D$156</f>
        <v>1.9655721981952355E-3</v>
      </c>
      <c r="E23" s="291" t="s">
        <v>232</v>
      </c>
    </row>
    <row r="24" spans="1:5" ht="15" thickBot="1" x14ac:dyDescent="0.35">
      <c r="A24" s="116" t="s">
        <v>816</v>
      </c>
      <c r="B24" s="113" t="s">
        <v>128</v>
      </c>
      <c r="C24" s="113" t="s">
        <v>2269</v>
      </c>
      <c r="D24" s="124">
        <f>$D$94</f>
        <v>1.9011272080904736E-4</v>
      </c>
      <c r="E24" s="291" t="s">
        <v>232</v>
      </c>
    </row>
    <row r="25" spans="1:5" x14ac:dyDescent="0.3">
      <c r="A25" s="1140"/>
      <c r="B25" s="1141"/>
      <c r="C25" s="1141"/>
      <c r="D25" s="1141"/>
      <c r="E25" s="1142"/>
    </row>
    <row r="26" spans="1:5" ht="15" thickBot="1" x14ac:dyDescent="0.35">
      <c r="A26" s="1143"/>
      <c r="B26" s="1144"/>
      <c r="C26" s="1144"/>
      <c r="D26" s="1144"/>
      <c r="E26" s="1145"/>
    </row>
    <row r="27" spans="1:5" ht="30" customHeight="1" thickBot="1" x14ac:dyDescent="0.35">
      <c r="A27" s="638" t="s">
        <v>1445</v>
      </c>
      <c r="B27" s="657" t="s">
        <v>142</v>
      </c>
      <c r="C27" s="654" t="s">
        <v>256</v>
      </c>
      <c r="D27" s="655" t="s">
        <v>236</v>
      </c>
      <c r="E27" s="656" t="s">
        <v>212</v>
      </c>
    </row>
    <row r="28" spans="1:5" x14ac:dyDescent="0.3">
      <c r="A28" s="1134" t="s">
        <v>266</v>
      </c>
      <c r="B28" s="1132" t="s">
        <v>225</v>
      </c>
      <c r="C28" s="19" t="s">
        <v>1565</v>
      </c>
      <c r="D28" s="136" t="s">
        <v>210</v>
      </c>
      <c r="E28" s="1136" t="s">
        <v>2106</v>
      </c>
    </row>
    <row r="29" spans="1:5" x14ac:dyDescent="0.3">
      <c r="A29" s="1146"/>
      <c r="B29" s="1139"/>
      <c r="C29" s="18" t="s">
        <v>1589</v>
      </c>
      <c r="D29" s="27" t="s">
        <v>210</v>
      </c>
      <c r="E29" s="1137"/>
    </row>
    <row r="30" spans="1:5" x14ac:dyDescent="0.3">
      <c r="A30" s="16" t="s">
        <v>2028</v>
      </c>
      <c r="B30" s="18" t="s">
        <v>225</v>
      </c>
      <c r="C30" s="103" t="s">
        <v>2039</v>
      </c>
      <c r="D30" s="141" t="s">
        <v>210</v>
      </c>
      <c r="E30" s="1138"/>
    </row>
    <row r="31" spans="1:5" x14ac:dyDescent="0.3">
      <c r="A31" s="46" t="s">
        <v>1464</v>
      </c>
      <c r="B31" s="47" t="s">
        <v>133</v>
      </c>
      <c r="C31" s="47" t="s">
        <v>1461</v>
      </c>
      <c r="D31" s="261">
        <f>0.05</f>
        <v>0.05</v>
      </c>
      <c r="E31" s="34" t="s">
        <v>2106</v>
      </c>
    </row>
    <row r="32" spans="1:5" x14ac:dyDescent="0.3">
      <c r="A32" s="16" t="s">
        <v>1481</v>
      </c>
      <c r="B32" s="18" t="s">
        <v>225</v>
      </c>
      <c r="C32" s="18"/>
      <c r="D32" s="27">
        <v>3</v>
      </c>
      <c r="E32" s="22" t="s">
        <v>2106</v>
      </c>
    </row>
    <row r="33" spans="1:5" x14ac:dyDescent="0.3">
      <c r="A33" s="16" t="s">
        <v>1484</v>
      </c>
      <c r="B33" s="18" t="s">
        <v>226</v>
      </c>
      <c r="C33" s="18" t="s">
        <v>1573</v>
      </c>
      <c r="D33" s="27">
        <f>5*60</f>
        <v>300</v>
      </c>
      <c r="E33" s="22" t="s">
        <v>2106</v>
      </c>
    </row>
    <row r="34" spans="1:5" x14ac:dyDescent="0.3">
      <c r="A34" s="16" t="s">
        <v>775</v>
      </c>
      <c r="B34" s="18" t="s">
        <v>129</v>
      </c>
      <c r="C34" s="18"/>
      <c r="D34" s="138">
        <v>1000</v>
      </c>
      <c r="E34" s="22" t="s">
        <v>1581</v>
      </c>
    </row>
    <row r="35" spans="1:5" x14ac:dyDescent="0.3">
      <c r="A35" s="16" t="s">
        <v>1482</v>
      </c>
      <c r="B35" s="18" t="s">
        <v>225</v>
      </c>
      <c r="C35" s="18"/>
      <c r="D35" s="138">
        <v>1</v>
      </c>
      <c r="E35" s="22" t="s">
        <v>2106</v>
      </c>
    </row>
    <row r="36" spans="1:5" x14ac:dyDescent="0.3">
      <c r="A36" s="16" t="s">
        <v>1477</v>
      </c>
      <c r="B36" s="18" t="s">
        <v>226</v>
      </c>
      <c r="C36" s="18" t="s">
        <v>1478</v>
      </c>
      <c r="D36" s="138">
        <f>15*60</f>
        <v>900</v>
      </c>
      <c r="E36" s="22" t="s">
        <v>2106</v>
      </c>
    </row>
    <row r="37" spans="1:5" x14ac:dyDescent="0.3">
      <c r="A37" s="16" t="s">
        <v>776</v>
      </c>
      <c r="B37" s="18" t="s">
        <v>129</v>
      </c>
      <c r="C37" s="18" t="s">
        <v>767</v>
      </c>
      <c r="D37" s="138">
        <f>'26. CHEM. SOL._MODEL'!$D$14</f>
        <v>1051.4285714285716</v>
      </c>
      <c r="E37" s="22" t="s">
        <v>1437</v>
      </c>
    </row>
    <row r="38" spans="1:5" x14ac:dyDescent="0.3">
      <c r="A38" s="76" t="s">
        <v>1465</v>
      </c>
      <c r="B38" s="18" t="s">
        <v>214</v>
      </c>
      <c r="C38" s="4"/>
      <c r="D38" s="264">
        <f>'26. CHEM. SOL._MODEL'!$D$15</f>
        <v>0.12364130434782607</v>
      </c>
      <c r="E38" s="22" t="s">
        <v>1437</v>
      </c>
    </row>
    <row r="39" spans="1:5" x14ac:dyDescent="0.3">
      <c r="A39" s="76" t="s">
        <v>1466</v>
      </c>
      <c r="B39" s="18" t="s">
        <v>214</v>
      </c>
      <c r="C39" s="4"/>
      <c r="D39" s="264">
        <f>'26. CHEM. SOL._MODEL'!$D$18</f>
        <v>0.19701086956521735</v>
      </c>
      <c r="E39" s="22" t="s">
        <v>1437</v>
      </c>
    </row>
    <row r="40" spans="1:5" x14ac:dyDescent="0.3">
      <c r="A40" s="76" t="s">
        <v>1467</v>
      </c>
      <c r="B40" s="18" t="s">
        <v>214</v>
      </c>
      <c r="C40" s="4"/>
      <c r="D40" s="264">
        <f>'26. CHEM. SOL._MODEL'!$D$21</f>
        <v>0.67934782608695643</v>
      </c>
      <c r="E40" s="22" t="s">
        <v>1437</v>
      </c>
    </row>
    <row r="41" spans="1:5" x14ac:dyDescent="0.3">
      <c r="A41" s="16" t="s">
        <v>1483</v>
      </c>
      <c r="B41" s="18" t="s">
        <v>225</v>
      </c>
      <c r="C41" s="18"/>
      <c r="D41" s="138">
        <v>1</v>
      </c>
      <c r="E41" s="22" t="s">
        <v>2106</v>
      </c>
    </row>
    <row r="42" spans="1:5" x14ac:dyDescent="0.3">
      <c r="A42" s="16" t="s">
        <v>1479</v>
      </c>
      <c r="B42" s="18" t="s">
        <v>226</v>
      </c>
      <c r="C42" s="18" t="s">
        <v>1566</v>
      </c>
      <c r="D42" s="138">
        <v>600</v>
      </c>
      <c r="E42" s="22" t="s">
        <v>2106</v>
      </c>
    </row>
    <row r="43" spans="1:5" x14ac:dyDescent="0.3">
      <c r="A43" s="16" t="s">
        <v>777</v>
      </c>
      <c r="B43" s="18" t="s">
        <v>129</v>
      </c>
      <c r="C43" s="18" t="s">
        <v>768</v>
      </c>
      <c r="D43" s="138">
        <f>'26. CHEM. SOL._MODEL'!$D$74</f>
        <v>1091.4285714285716</v>
      </c>
      <c r="E43" s="22" t="s">
        <v>1437</v>
      </c>
    </row>
    <row r="44" spans="1:5" x14ac:dyDescent="0.3">
      <c r="A44" s="76" t="s">
        <v>1473</v>
      </c>
      <c r="B44" s="18" t="s">
        <v>214</v>
      </c>
      <c r="C44" s="18"/>
      <c r="D44" s="134">
        <f>'26. CHEM. SOL._MODEL'!$D$75</f>
        <v>0.15575916230366491</v>
      </c>
      <c r="E44" s="22" t="s">
        <v>1437</v>
      </c>
    </row>
    <row r="45" spans="1:5" x14ac:dyDescent="0.3">
      <c r="A45" s="76" t="s">
        <v>1466</v>
      </c>
      <c r="B45" s="18" t="s">
        <v>214</v>
      </c>
      <c r="C45" s="18"/>
      <c r="D45" s="134">
        <f>'26. CHEM. SOL._MODEL'!$D$78</f>
        <v>0.18979057591623033</v>
      </c>
      <c r="E45" s="22" t="s">
        <v>1437</v>
      </c>
    </row>
    <row r="46" spans="1:5" x14ac:dyDescent="0.3">
      <c r="A46" s="76" t="s">
        <v>1467</v>
      </c>
      <c r="B46" s="18" t="s">
        <v>214</v>
      </c>
      <c r="C46" s="18"/>
      <c r="D46" s="134">
        <f>'26. CHEM. SOL._MODEL'!$D$81</f>
        <v>0.65445026178010468</v>
      </c>
      <c r="E46" s="22" t="s">
        <v>1437</v>
      </c>
    </row>
    <row r="47" spans="1:5" x14ac:dyDescent="0.3">
      <c r="A47" s="76" t="s">
        <v>1487</v>
      </c>
      <c r="B47" s="18" t="s">
        <v>225</v>
      </c>
      <c r="C47" s="18"/>
      <c r="D47" s="27">
        <v>1</v>
      </c>
      <c r="E47" s="22" t="s">
        <v>2106</v>
      </c>
    </row>
    <row r="48" spans="1:5" x14ac:dyDescent="0.3">
      <c r="A48" s="76" t="s">
        <v>1486</v>
      </c>
      <c r="B48" s="18" t="s">
        <v>226</v>
      </c>
      <c r="C48" s="18"/>
      <c r="D48" s="27">
        <v>60</v>
      </c>
      <c r="E48" s="22" t="s">
        <v>2106</v>
      </c>
    </row>
    <row r="49" spans="1:5" x14ac:dyDescent="0.3">
      <c r="A49" s="76" t="s">
        <v>1485</v>
      </c>
      <c r="B49" s="18" t="s">
        <v>129</v>
      </c>
      <c r="C49" s="18"/>
      <c r="D49" s="134">
        <f>'25. CHEM. &amp; MAT.'!$F$65</f>
        <v>785.05</v>
      </c>
      <c r="E49" s="22" t="s">
        <v>1347</v>
      </c>
    </row>
    <row r="50" spans="1:5" x14ac:dyDescent="0.3">
      <c r="A50" s="119" t="s">
        <v>353</v>
      </c>
      <c r="B50" s="103" t="s">
        <v>270</v>
      </c>
      <c r="C50" s="103" t="s">
        <v>1480</v>
      </c>
      <c r="D50" s="141">
        <v>75</v>
      </c>
      <c r="E50" s="22" t="s">
        <v>2106</v>
      </c>
    </row>
    <row r="51" spans="1:5" x14ac:dyDescent="0.3">
      <c r="A51" s="16" t="s">
        <v>2117</v>
      </c>
      <c r="B51" s="18" t="s">
        <v>226</v>
      </c>
      <c r="C51" s="18" t="s">
        <v>765</v>
      </c>
      <c r="D51" s="27">
        <f>SUM(($D$32*$D$33)+($D$35*$D$36)+($D$41*$D$42)+($D$47*$D$48))</f>
        <v>2460</v>
      </c>
      <c r="E51" s="22" t="s">
        <v>232</v>
      </c>
    </row>
    <row r="52" spans="1:5" x14ac:dyDescent="0.3">
      <c r="A52" s="348" t="s">
        <v>2111</v>
      </c>
      <c r="B52" s="30" t="s">
        <v>225</v>
      </c>
      <c r="C52" s="44"/>
      <c r="D52" s="144">
        <v>150</v>
      </c>
      <c r="E52" s="22" t="s">
        <v>2106</v>
      </c>
    </row>
    <row r="53" spans="1:5" x14ac:dyDescent="0.3">
      <c r="A53" s="16" t="s">
        <v>1725</v>
      </c>
      <c r="B53" s="18" t="s">
        <v>225</v>
      </c>
      <c r="C53" s="18" t="s">
        <v>1551</v>
      </c>
      <c r="D53" s="27">
        <f>IF('1. USER INPUTS'!$E$12=150,50,IF('1. USER INPUTS'!$E$12=200,50,IF('1. USER INPUTS'!$E$12=300,25)))</f>
        <v>50</v>
      </c>
      <c r="E53" s="22" t="s">
        <v>2106</v>
      </c>
    </row>
    <row r="54" spans="1:5" x14ac:dyDescent="0.3">
      <c r="A54" s="578" t="s">
        <v>351</v>
      </c>
      <c r="B54" s="543" t="s">
        <v>131</v>
      </c>
      <c r="C54" s="543"/>
      <c r="D54" s="639">
        <f>'2. PROCESS RECAP '!$E$8</f>
        <v>6.9</v>
      </c>
      <c r="E54" s="579" t="s">
        <v>2208</v>
      </c>
    </row>
    <row r="55" spans="1:5" ht="15" thickBot="1" x14ac:dyDescent="0.35">
      <c r="A55" s="634" t="s">
        <v>246</v>
      </c>
      <c r="B55" s="635" t="s">
        <v>225</v>
      </c>
      <c r="C55" s="640"/>
      <c r="D55" s="641">
        <f>'2. PROCESS RECAP '!$H$8</f>
        <v>2</v>
      </c>
      <c r="E55" s="637" t="s">
        <v>2209</v>
      </c>
    </row>
    <row r="56" spans="1:5" x14ac:dyDescent="0.3">
      <c r="A56" s="1122" t="s">
        <v>291</v>
      </c>
      <c r="B56" s="1123"/>
      <c r="C56" s="1123"/>
      <c r="D56" s="1123"/>
      <c r="E56" s="1124"/>
    </row>
    <row r="57" spans="1:5" x14ac:dyDescent="0.3">
      <c r="A57" s="262" t="s">
        <v>716</v>
      </c>
      <c r="B57" s="15" t="s">
        <v>132</v>
      </c>
      <c r="C57" s="15" t="s">
        <v>1038</v>
      </c>
      <c r="D57" s="107">
        <f>(($D$54*(($D$51+$D$51/3)/3600))/$D$53)*$D$55*'1. USER INPUTS'!$E$23</f>
        <v>1.0803844563340515E-3</v>
      </c>
      <c r="E57" s="363" t="s">
        <v>232</v>
      </c>
    </row>
    <row r="58" spans="1:5" x14ac:dyDescent="0.3">
      <c r="A58" s="262" t="s">
        <v>158</v>
      </c>
      <c r="B58" s="15" t="s">
        <v>128</v>
      </c>
      <c r="C58" s="262" t="s">
        <v>1488</v>
      </c>
      <c r="D58" s="107">
        <f>(($D$31*$D$34*$D$32)/$D$52)*$D$55*'1. USER INPUTS'!$E$23</f>
        <v>8.5926653473015757E-3</v>
      </c>
      <c r="E58" s="363" t="s">
        <v>232</v>
      </c>
    </row>
    <row r="59" spans="1:5" x14ac:dyDescent="0.3">
      <c r="A59" s="15" t="s">
        <v>380</v>
      </c>
      <c r="B59" s="15" t="s">
        <v>128</v>
      </c>
      <c r="C59" s="15" t="s">
        <v>1495</v>
      </c>
      <c r="D59" s="107">
        <f>(($D$31*$D$37*$D$35*$D$38)/$D$52)*$D$55*'1. USER INPUTS'!$E$23</f>
        <v>3.7234883171640169E-4</v>
      </c>
      <c r="E59" s="363" t="s">
        <v>232</v>
      </c>
    </row>
    <row r="60" spans="1:5" x14ac:dyDescent="0.3">
      <c r="A60" s="344" t="s">
        <v>430</v>
      </c>
      <c r="B60" s="15" t="s">
        <v>128</v>
      </c>
      <c r="C60" s="15" t="s">
        <v>1490</v>
      </c>
      <c r="D60" s="107">
        <f>(($D$31*$D$37*$D$35*$D$39)/$D$52)*$D$55*'1. USER INPUTS'!$E$23</f>
        <v>5.9330308350415649E-4</v>
      </c>
      <c r="E60" s="363" t="s">
        <v>232</v>
      </c>
    </row>
    <row r="61" spans="1:5" x14ac:dyDescent="0.3">
      <c r="A61" s="262" t="s">
        <v>158</v>
      </c>
      <c r="B61" s="15" t="s">
        <v>128</v>
      </c>
      <c r="C61" s="15" t="s">
        <v>1489</v>
      </c>
      <c r="D61" s="107">
        <f>(($D$31*$D$37*$D$35*$D$40)/$D$52)*$D$55*'1. USER INPUTS'!$E$23</f>
        <v>2.0458727017384705E-3</v>
      </c>
      <c r="E61" s="363" t="s">
        <v>232</v>
      </c>
    </row>
    <row r="62" spans="1:5" x14ac:dyDescent="0.3">
      <c r="A62" s="262" t="s">
        <v>431</v>
      </c>
      <c r="B62" s="15" t="s">
        <v>128</v>
      </c>
      <c r="C62" s="15" t="s">
        <v>1491</v>
      </c>
      <c r="D62" s="107">
        <f>(($D$31*$D$43*$D$41*$D$44)/$D$52)*$D$55*'1. USER INPUTS'!$E$23</f>
        <v>4.8691770301375606E-4</v>
      </c>
      <c r="E62" s="363" t="s">
        <v>232</v>
      </c>
    </row>
    <row r="63" spans="1:5" x14ac:dyDescent="0.3">
      <c r="A63" s="344" t="s">
        <v>430</v>
      </c>
      <c r="B63" s="15" t="s">
        <v>128</v>
      </c>
      <c r="C63" s="15" t="s">
        <v>1492</v>
      </c>
      <c r="D63" s="107">
        <f>(($D$31*$D$43*$D$41*$D$45)/$D$52)*$D$55*'1. USER INPUTS'!$E$23</f>
        <v>5.9330308350415649E-4</v>
      </c>
      <c r="E63" s="363" t="s">
        <v>232</v>
      </c>
    </row>
    <row r="64" spans="1:5" x14ac:dyDescent="0.3">
      <c r="A64" s="262" t="s">
        <v>158</v>
      </c>
      <c r="B64" s="15" t="s">
        <v>128</v>
      </c>
      <c r="C64" s="15" t="s">
        <v>1493</v>
      </c>
      <c r="D64" s="107">
        <f>(($D$31*$D$43*$D$41*$D$46)/$D$52)*$D$55*'1. USER INPUTS'!$E$23</f>
        <v>2.0458727017384709E-3</v>
      </c>
      <c r="E64" s="363" t="s">
        <v>232</v>
      </c>
    </row>
    <row r="65" spans="1:5" x14ac:dyDescent="0.3">
      <c r="A65" s="366" t="s">
        <v>1494</v>
      </c>
      <c r="B65" s="15" t="s">
        <v>128</v>
      </c>
      <c r="C65" s="15" t="s">
        <v>1577</v>
      </c>
      <c r="D65" s="107">
        <f>(($D$31*$D$49*$D$47)/$D$52)*$D$55*'1. USER INPUTS'!$E$23*$D$55</f>
        <v>4.4971146205994008E-3</v>
      </c>
      <c r="E65" s="363" t="s">
        <v>232</v>
      </c>
    </row>
    <row r="66" spans="1:5" x14ac:dyDescent="0.3">
      <c r="A66" s="1128" t="s">
        <v>292</v>
      </c>
      <c r="B66" s="1129"/>
      <c r="C66" s="1129"/>
      <c r="D66" s="1129"/>
      <c r="E66" s="1130"/>
    </row>
    <row r="67" spans="1:5" x14ac:dyDescent="0.3">
      <c r="A67" s="16" t="s">
        <v>706</v>
      </c>
      <c r="B67" s="18" t="s">
        <v>293</v>
      </c>
      <c r="C67" s="157"/>
      <c r="D67" s="138">
        <v>1</v>
      </c>
      <c r="E67" s="22"/>
    </row>
    <row r="68" spans="1:5" x14ac:dyDescent="0.3">
      <c r="A68" s="127" t="s">
        <v>159</v>
      </c>
      <c r="B68" s="112" t="s">
        <v>128</v>
      </c>
      <c r="C68" s="113" t="s">
        <v>1870</v>
      </c>
      <c r="D68" s="124">
        <f>SUM($D$58,$D$64,$D$61)</f>
        <v>1.2684410750778516E-2</v>
      </c>
      <c r="E68" s="291" t="s">
        <v>237</v>
      </c>
    </row>
    <row r="69" spans="1:5" x14ac:dyDescent="0.3">
      <c r="A69" s="112" t="s">
        <v>155</v>
      </c>
      <c r="B69" s="112" t="s">
        <v>128</v>
      </c>
      <c r="C69" s="113" t="s">
        <v>1870</v>
      </c>
      <c r="D69" s="124">
        <f>$D$59</f>
        <v>3.7234883171640169E-4</v>
      </c>
      <c r="E69" s="291" t="s">
        <v>237</v>
      </c>
    </row>
    <row r="70" spans="1:5" x14ac:dyDescent="0.3">
      <c r="A70" s="536" t="s">
        <v>161</v>
      </c>
      <c r="B70" s="112" t="s">
        <v>128</v>
      </c>
      <c r="C70" s="113" t="s">
        <v>1870</v>
      </c>
      <c r="D70" s="124">
        <f>SUM($D$60,$D$63)</f>
        <v>1.186606167008313E-3</v>
      </c>
      <c r="E70" s="291" t="s">
        <v>237</v>
      </c>
    </row>
    <row r="71" spans="1:5" x14ac:dyDescent="0.3">
      <c r="A71" s="127" t="s">
        <v>162</v>
      </c>
      <c r="B71" s="112" t="s">
        <v>128</v>
      </c>
      <c r="C71" s="113" t="s">
        <v>1870</v>
      </c>
      <c r="D71" s="124">
        <f>$D$62</f>
        <v>4.8691770301375606E-4</v>
      </c>
      <c r="E71" s="291" t="s">
        <v>237</v>
      </c>
    </row>
    <row r="72" spans="1:5" ht="15" thickBot="1" x14ac:dyDescent="0.35">
      <c r="A72" s="537" t="s">
        <v>1578</v>
      </c>
      <c r="B72" s="112" t="s">
        <v>128</v>
      </c>
      <c r="C72" s="113" t="s">
        <v>1870</v>
      </c>
      <c r="D72" s="124">
        <f>$D$64</f>
        <v>2.0458727017384709E-3</v>
      </c>
      <c r="E72" s="291" t="s">
        <v>237</v>
      </c>
    </row>
    <row r="73" spans="1:5" x14ac:dyDescent="0.3">
      <c r="A73" s="1140"/>
      <c r="B73" s="1141"/>
      <c r="C73" s="1141"/>
      <c r="D73" s="1141"/>
      <c r="E73" s="1142"/>
    </row>
    <row r="74" spans="1:5" ht="15" thickBot="1" x14ac:dyDescent="0.35">
      <c r="A74" s="1143"/>
      <c r="B74" s="1144"/>
      <c r="C74" s="1144"/>
      <c r="D74" s="1144"/>
      <c r="E74" s="1145"/>
    </row>
    <row r="75" spans="1:5" ht="30" customHeight="1" thickBot="1" x14ac:dyDescent="0.35">
      <c r="A75" s="638" t="s">
        <v>1451</v>
      </c>
      <c r="B75" s="657" t="s">
        <v>142</v>
      </c>
      <c r="C75" s="654" t="s">
        <v>256</v>
      </c>
      <c r="D75" s="655" t="s">
        <v>236</v>
      </c>
      <c r="E75" s="656" t="s">
        <v>212</v>
      </c>
    </row>
    <row r="76" spans="1:5" x14ac:dyDescent="0.3">
      <c r="A76" s="29" t="s">
        <v>266</v>
      </c>
      <c r="B76" s="151" t="s">
        <v>225</v>
      </c>
      <c r="C76" s="19" t="s">
        <v>1449</v>
      </c>
      <c r="D76" s="136"/>
      <c r="E76" s="1136" t="s">
        <v>2106</v>
      </c>
    </row>
    <row r="77" spans="1:5" x14ac:dyDescent="0.3">
      <c r="A77" s="119" t="s">
        <v>2028</v>
      </c>
      <c r="B77" s="18" t="s">
        <v>225</v>
      </c>
      <c r="C77" s="103" t="s">
        <v>2072</v>
      </c>
      <c r="D77" s="141"/>
      <c r="E77" s="1138"/>
    </row>
    <row r="78" spans="1:5" x14ac:dyDescent="0.3">
      <c r="A78" s="16" t="s">
        <v>1450</v>
      </c>
      <c r="B78" s="18" t="s">
        <v>226</v>
      </c>
      <c r="C78" s="18"/>
      <c r="D78" s="27">
        <v>300</v>
      </c>
      <c r="E78" s="22" t="s">
        <v>855</v>
      </c>
    </row>
    <row r="79" spans="1:5" x14ac:dyDescent="0.3">
      <c r="A79" s="16" t="s">
        <v>403</v>
      </c>
      <c r="B79" s="18" t="s">
        <v>446</v>
      </c>
      <c r="C79" s="18" t="s">
        <v>746</v>
      </c>
      <c r="D79" s="27">
        <f>2*3.785</f>
        <v>7.57</v>
      </c>
      <c r="E79" s="22" t="s">
        <v>748</v>
      </c>
    </row>
    <row r="80" spans="1:5" x14ac:dyDescent="0.3">
      <c r="A80" s="16" t="s">
        <v>775</v>
      </c>
      <c r="B80" s="18" t="s">
        <v>129</v>
      </c>
      <c r="C80" s="18"/>
      <c r="D80" s="134">
        <f>'25. CHEM. &amp; MAT.'!F62</f>
        <v>1000</v>
      </c>
      <c r="E80" s="22" t="s">
        <v>1581</v>
      </c>
    </row>
    <row r="81" spans="1:5" x14ac:dyDescent="0.3">
      <c r="A81" s="16" t="s">
        <v>852</v>
      </c>
      <c r="B81" s="18" t="s">
        <v>226</v>
      </c>
      <c r="C81" s="18"/>
      <c r="D81" s="27">
        <v>150</v>
      </c>
      <c r="E81" s="22" t="s">
        <v>2108</v>
      </c>
    </row>
    <row r="82" spans="1:5" x14ac:dyDescent="0.3">
      <c r="A82" s="16" t="s">
        <v>853</v>
      </c>
      <c r="B82" s="18" t="s">
        <v>446</v>
      </c>
      <c r="C82" s="18" t="s">
        <v>747</v>
      </c>
      <c r="D82" s="27">
        <v>141.6</v>
      </c>
      <c r="E82" s="22" t="s">
        <v>748</v>
      </c>
    </row>
    <row r="83" spans="1:5" x14ac:dyDescent="0.3">
      <c r="A83" s="16" t="s">
        <v>859</v>
      </c>
      <c r="B83" s="18" t="s">
        <v>129</v>
      </c>
      <c r="C83" s="18"/>
      <c r="D83" s="134">
        <f>'25. CHEM. &amp; MAT.'!F14</f>
        <v>1.25</v>
      </c>
      <c r="E83" s="22" t="s">
        <v>1581</v>
      </c>
    </row>
    <row r="84" spans="1:5" x14ac:dyDescent="0.3">
      <c r="A84" s="16" t="s">
        <v>2117</v>
      </c>
      <c r="B84" s="18" t="s">
        <v>226</v>
      </c>
      <c r="C84" s="18"/>
      <c r="D84" s="27">
        <f>SUM($D$78,$D$81)</f>
        <v>450</v>
      </c>
      <c r="E84" s="22" t="s">
        <v>232</v>
      </c>
    </row>
    <row r="85" spans="1:5" x14ac:dyDescent="0.3">
      <c r="A85" s="16" t="s">
        <v>247</v>
      </c>
      <c r="B85" s="18" t="s">
        <v>225</v>
      </c>
      <c r="C85" s="18"/>
      <c r="D85" s="27">
        <v>50</v>
      </c>
      <c r="E85" s="22" t="s">
        <v>2106</v>
      </c>
    </row>
    <row r="86" spans="1:5" x14ac:dyDescent="0.3">
      <c r="A86" s="578" t="s">
        <v>351</v>
      </c>
      <c r="B86" s="543" t="s">
        <v>131</v>
      </c>
      <c r="C86" s="543"/>
      <c r="D86" s="639">
        <f>'2. PROCESS RECAP '!$E$11</f>
        <v>2.5</v>
      </c>
      <c r="E86" s="579" t="s">
        <v>2208</v>
      </c>
    </row>
    <row r="87" spans="1:5" ht="15" thickBot="1" x14ac:dyDescent="0.35">
      <c r="A87" s="634" t="s">
        <v>246</v>
      </c>
      <c r="B87" s="635" t="s">
        <v>225</v>
      </c>
      <c r="C87" s="640"/>
      <c r="D87" s="641">
        <f>'2. PROCESS RECAP '!$H$11</f>
        <v>5</v>
      </c>
      <c r="E87" s="637" t="s">
        <v>2209</v>
      </c>
    </row>
    <row r="88" spans="1:5" x14ac:dyDescent="0.3">
      <c r="A88" s="1122" t="s">
        <v>291</v>
      </c>
      <c r="B88" s="1123"/>
      <c r="C88" s="1123"/>
      <c r="D88" s="1123"/>
      <c r="E88" s="1124"/>
    </row>
    <row r="89" spans="1:5" x14ac:dyDescent="0.3">
      <c r="A89" s="285" t="s">
        <v>716</v>
      </c>
      <c r="B89" s="15" t="s">
        <v>132</v>
      </c>
      <c r="C89" s="15" t="s">
        <v>1038</v>
      </c>
      <c r="D89" s="107">
        <f>($D$86*(($D$84+$D$84/3)/3600)/50)*$D$87*'1. USER INPUTS'!$E$23</f>
        <v>1.7901386140211614E-4</v>
      </c>
      <c r="E89" s="276" t="s">
        <v>232</v>
      </c>
    </row>
    <row r="90" spans="1:5" x14ac:dyDescent="0.3">
      <c r="A90" s="285" t="s">
        <v>158</v>
      </c>
      <c r="B90" s="15" t="s">
        <v>128</v>
      </c>
      <c r="C90" s="15"/>
      <c r="D90" s="286">
        <f>(($D$79*($D$78/60)*$D$80*0.001)/$D$85)*$D$87*'1. USER INPUTS'!$E$23</f>
        <v>1.6261619169768232E-2</v>
      </c>
      <c r="E90" s="276" t="s">
        <v>232</v>
      </c>
    </row>
    <row r="91" spans="1:5" x14ac:dyDescent="0.3">
      <c r="A91" s="293" t="s">
        <v>962</v>
      </c>
      <c r="B91" s="15" t="s">
        <v>128</v>
      </c>
      <c r="C91" s="15"/>
      <c r="D91" s="286">
        <f>(($D$82*($D$81/60)*$D$83*0.001)/$D$85)*$D$87*'1. USER INPUTS'!$E$23</f>
        <v>1.9011272080904736E-4</v>
      </c>
      <c r="E91" s="276" t="s">
        <v>232</v>
      </c>
    </row>
    <row r="92" spans="1:5" x14ac:dyDescent="0.3">
      <c r="A92" s="1128" t="s">
        <v>292</v>
      </c>
      <c r="B92" s="1129"/>
      <c r="C92" s="1129"/>
      <c r="D92" s="1129"/>
      <c r="E92" s="1130"/>
    </row>
    <row r="93" spans="1:5" x14ac:dyDescent="0.3">
      <c r="A93" s="16" t="s">
        <v>706</v>
      </c>
      <c r="B93" s="18" t="s">
        <v>293</v>
      </c>
      <c r="C93" s="47"/>
      <c r="D93" s="147">
        <v>1</v>
      </c>
      <c r="E93" s="34"/>
    </row>
    <row r="94" spans="1:5" x14ac:dyDescent="0.3">
      <c r="A94" s="284" t="s">
        <v>816</v>
      </c>
      <c r="B94" s="113" t="s">
        <v>128</v>
      </c>
      <c r="C94" s="113" t="s">
        <v>1875</v>
      </c>
      <c r="D94" s="124">
        <f>$D$91</f>
        <v>1.9011272080904736E-4</v>
      </c>
      <c r="E94" s="291" t="s">
        <v>232</v>
      </c>
    </row>
    <row r="95" spans="1:5" ht="15" thickBot="1" x14ac:dyDescent="0.35">
      <c r="A95" s="127" t="s">
        <v>159</v>
      </c>
      <c r="B95" s="111" t="s">
        <v>128</v>
      </c>
      <c r="C95" s="111" t="s">
        <v>1843</v>
      </c>
      <c r="D95" s="117">
        <f>$D$90</f>
        <v>1.6261619169768232E-2</v>
      </c>
      <c r="E95" s="283" t="s">
        <v>232</v>
      </c>
    </row>
    <row r="96" spans="1:5" x14ac:dyDescent="0.3">
      <c r="A96" s="1140"/>
      <c r="B96" s="1141"/>
      <c r="C96" s="1141"/>
      <c r="D96" s="1141"/>
      <c r="E96" s="1142"/>
    </row>
    <row r="97" spans="1:5" ht="15" thickBot="1" x14ac:dyDescent="0.35">
      <c r="A97" s="1143"/>
      <c r="B97" s="1144"/>
      <c r="C97" s="1144"/>
      <c r="D97" s="1144"/>
      <c r="E97" s="1145"/>
    </row>
    <row r="98" spans="1:5" ht="30" customHeight="1" thickBot="1" x14ac:dyDescent="0.35">
      <c r="A98" s="638" t="s">
        <v>1541</v>
      </c>
      <c r="B98" s="657" t="s">
        <v>142</v>
      </c>
      <c r="C98" s="654" t="s">
        <v>256</v>
      </c>
      <c r="D98" s="655" t="s">
        <v>236</v>
      </c>
      <c r="E98" s="656" t="s">
        <v>212</v>
      </c>
    </row>
    <row r="99" spans="1:5" x14ac:dyDescent="0.3">
      <c r="A99" s="1134" t="s">
        <v>266</v>
      </c>
      <c r="B99" s="1132" t="s">
        <v>225</v>
      </c>
      <c r="C99" s="19" t="s">
        <v>1564</v>
      </c>
      <c r="D99" s="141" t="s">
        <v>210</v>
      </c>
      <c r="E99" s="1136" t="s">
        <v>2106</v>
      </c>
    </row>
    <row r="100" spans="1:5" x14ac:dyDescent="0.3">
      <c r="A100" s="1146"/>
      <c r="B100" s="1139"/>
      <c r="C100" s="18" t="s">
        <v>1542</v>
      </c>
      <c r="D100" s="27" t="s">
        <v>210</v>
      </c>
      <c r="E100" s="1137"/>
    </row>
    <row r="101" spans="1:5" x14ac:dyDescent="0.3">
      <c r="A101" s="16" t="s">
        <v>2028</v>
      </c>
      <c r="B101" s="18" t="s">
        <v>225</v>
      </c>
      <c r="C101" s="103" t="s">
        <v>2039</v>
      </c>
      <c r="D101" s="141" t="s">
        <v>210</v>
      </c>
      <c r="E101" s="1138"/>
    </row>
    <row r="102" spans="1:5" x14ac:dyDescent="0.3">
      <c r="A102" s="46" t="s">
        <v>1464</v>
      </c>
      <c r="B102" s="47" t="s">
        <v>133</v>
      </c>
      <c r="C102" s="47" t="s">
        <v>1461</v>
      </c>
      <c r="D102" s="261">
        <f>0.05</f>
        <v>0.05</v>
      </c>
      <c r="E102" s="22" t="s">
        <v>2112</v>
      </c>
    </row>
    <row r="103" spans="1:5" x14ac:dyDescent="0.3">
      <c r="A103" s="16" t="s">
        <v>1481</v>
      </c>
      <c r="B103" s="18" t="s">
        <v>225</v>
      </c>
      <c r="C103" s="18"/>
      <c r="D103" s="27">
        <v>2</v>
      </c>
      <c r="E103" s="22" t="s">
        <v>855</v>
      </c>
    </row>
    <row r="104" spans="1:5" x14ac:dyDescent="0.3">
      <c r="A104" s="16" t="s">
        <v>1484</v>
      </c>
      <c r="B104" s="18" t="s">
        <v>226</v>
      </c>
      <c r="C104" s="47" t="s">
        <v>1573</v>
      </c>
      <c r="D104" s="147">
        <f>5*60</f>
        <v>300</v>
      </c>
      <c r="E104" s="22" t="s">
        <v>748</v>
      </c>
    </row>
    <row r="105" spans="1:5" x14ac:dyDescent="0.3">
      <c r="A105" s="16" t="s">
        <v>775</v>
      </c>
      <c r="B105" s="18" t="s">
        <v>129</v>
      </c>
      <c r="C105" s="47"/>
      <c r="D105" s="394">
        <f>'25. CHEM. &amp; MAT.'!$F$62</f>
        <v>1000</v>
      </c>
      <c r="E105" s="22" t="s">
        <v>1581</v>
      </c>
    </row>
    <row r="106" spans="1:5" x14ac:dyDescent="0.3">
      <c r="A106" s="16" t="s">
        <v>1543</v>
      </c>
      <c r="B106" s="18" t="s">
        <v>225</v>
      </c>
      <c r="C106" s="18"/>
      <c r="D106" s="138">
        <v>1</v>
      </c>
      <c r="E106" s="22" t="s">
        <v>855</v>
      </c>
    </row>
    <row r="107" spans="1:5" x14ac:dyDescent="0.3">
      <c r="A107" s="16" t="s">
        <v>1544</v>
      </c>
      <c r="B107" s="18" t="s">
        <v>226</v>
      </c>
      <c r="C107" s="18" t="s">
        <v>1546</v>
      </c>
      <c r="D107" s="138">
        <f>15*60</f>
        <v>900</v>
      </c>
      <c r="E107" s="22" t="s">
        <v>2112</v>
      </c>
    </row>
    <row r="108" spans="1:5" x14ac:dyDescent="0.3">
      <c r="A108" s="16" t="s">
        <v>1545</v>
      </c>
      <c r="B108" s="18" t="s">
        <v>129</v>
      </c>
      <c r="C108" s="18" t="s">
        <v>1549</v>
      </c>
      <c r="D108" s="138">
        <f>'26. CHEM. SOL._MODEL'!$D$132</f>
        <v>1015</v>
      </c>
      <c r="E108" s="22" t="s">
        <v>2113</v>
      </c>
    </row>
    <row r="109" spans="1:5" x14ac:dyDescent="0.3">
      <c r="A109" s="76" t="s">
        <v>1547</v>
      </c>
      <c r="B109" s="18" t="s">
        <v>214</v>
      </c>
      <c r="C109" s="4"/>
      <c r="D109" s="264">
        <f>'26. CHEM. SOL._MODEL'!$D$133</f>
        <v>0.11330049261083744</v>
      </c>
      <c r="E109" s="22" t="s">
        <v>2113</v>
      </c>
    </row>
    <row r="110" spans="1:5" x14ac:dyDescent="0.3">
      <c r="A110" s="76" t="s">
        <v>1548</v>
      </c>
      <c r="B110" s="18" t="s">
        <v>214</v>
      </c>
      <c r="C110" s="4"/>
      <c r="D110" s="264">
        <f>'26. CHEM. SOL._MODEL'!$D$136</f>
        <v>0.88669950738916259</v>
      </c>
      <c r="E110" s="22" t="s">
        <v>2113</v>
      </c>
    </row>
    <row r="111" spans="1:5" x14ac:dyDescent="0.3">
      <c r="A111" s="119" t="s">
        <v>353</v>
      </c>
      <c r="B111" s="103" t="s">
        <v>270</v>
      </c>
      <c r="C111" s="103" t="s">
        <v>1550</v>
      </c>
      <c r="D111" s="141">
        <v>75</v>
      </c>
      <c r="E111" s="22" t="s">
        <v>2112</v>
      </c>
    </row>
    <row r="112" spans="1:5" x14ac:dyDescent="0.3">
      <c r="A112" s="16" t="s">
        <v>2117</v>
      </c>
      <c r="B112" s="18" t="s">
        <v>226</v>
      </c>
      <c r="C112" s="18"/>
      <c r="D112" s="27">
        <f>(($D$103*$D$104)+($D$106*$D$107))</f>
        <v>1500</v>
      </c>
      <c r="E112" s="22" t="s">
        <v>232</v>
      </c>
    </row>
    <row r="113" spans="1:5" x14ac:dyDescent="0.3">
      <c r="A113" s="348" t="s">
        <v>2111</v>
      </c>
      <c r="B113" s="30" t="s">
        <v>225</v>
      </c>
      <c r="C113" s="44"/>
      <c r="D113" s="144">
        <v>150</v>
      </c>
      <c r="E113" s="22" t="s">
        <v>2108</v>
      </c>
    </row>
    <row r="114" spans="1:5" x14ac:dyDescent="0.3">
      <c r="A114" s="16" t="s">
        <v>1725</v>
      </c>
      <c r="B114" s="18" t="s">
        <v>225</v>
      </c>
      <c r="C114" s="18" t="s">
        <v>1551</v>
      </c>
      <c r="D114" s="27">
        <f>IF('1. USER INPUTS'!$E$12=150,50,IF('1. USER INPUTS'!$E$12=200,50,IF('1. USER INPUTS'!$E$12=300,25)))</f>
        <v>50</v>
      </c>
      <c r="E114" s="22" t="s">
        <v>2106</v>
      </c>
    </row>
    <row r="115" spans="1:5" x14ac:dyDescent="0.3">
      <c r="A115" s="578" t="s">
        <v>351</v>
      </c>
      <c r="B115" s="543" t="s">
        <v>131</v>
      </c>
      <c r="C115" s="543"/>
      <c r="D115" s="639">
        <f>'2. PROCESS RECAP '!$E$10</f>
        <v>6.9</v>
      </c>
      <c r="E115" s="579" t="s">
        <v>2208</v>
      </c>
    </row>
    <row r="116" spans="1:5" ht="15" thickBot="1" x14ac:dyDescent="0.35">
      <c r="A116" s="634" t="s">
        <v>246</v>
      </c>
      <c r="B116" s="635" t="s">
        <v>225</v>
      </c>
      <c r="C116" s="640"/>
      <c r="D116" s="641">
        <f>'2. PROCESS RECAP '!$H$10</f>
        <v>2</v>
      </c>
      <c r="E116" s="637" t="s">
        <v>2209</v>
      </c>
    </row>
    <row r="117" spans="1:5" x14ac:dyDescent="0.3">
      <c r="A117" s="1122" t="s">
        <v>291</v>
      </c>
      <c r="B117" s="1123"/>
      <c r="C117" s="1123"/>
      <c r="D117" s="1123"/>
      <c r="E117" s="1124"/>
    </row>
    <row r="118" spans="1:5" x14ac:dyDescent="0.3">
      <c r="A118" s="262" t="s">
        <v>716</v>
      </c>
      <c r="B118" s="15" t="s">
        <v>132</v>
      </c>
      <c r="C118" s="15" t="s">
        <v>1038</v>
      </c>
      <c r="D118" s="107">
        <f>(($D$115*(($D$112+$D$112/3)/3600))/$D$114)*$D$116*'1. USER INPUTS'!$E$23</f>
        <v>6.587710099597875E-4</v>
      </c>
      <c r="E118" s="363" t="s">
        <v>232</v>
      </c>
    </row>
    <row r="119" spans="1:5" x14ac:dyDescent="0.3">
      <c r="A119" s="262" t="s">
        <v>158</v>
      </c>
      <c r="B119" s="15" t="s">
        <v>128</v>
      </c>
      <c r="C119" s="262" t="s">
        <v>1571</v>
      </c>
      <c r="D119" s="107">
        <f>(($D$102*$D$103*$D$105)/$D$113)*$D$116*'1. USER INPUTS'!$E$23</f>
        <v>5.7284435648677166E-3</v>
      </c>
      <c r="E119" s="363" t="s">
        <v>232</v>
      </c>
    </row>
    <row r="120" spans="1:5" x14ac:dyDescent="0.3">
      <c r="A120" s="262" t="s">
        <v>158</v>
      </c>
      <c r="B120" s="15" t="s">
        <v>128</v>
      </c>
      <c r="C120" s="262" t="s">
        <v>1572</v>
      </c>
      <c r="D120" s="107">
        <f>(($D$102*$D$106*$D$108*$D$110)/$D$113)*$D$116*'1. USER INPUTS'!$E$23</f>
        <v>2.5777996041904728E-3</v>
      </c>
      <c r="E120" s="363" t="s">
        <v>232</v>
      </c>
    </row>
    <row r="121" spans="1:5" x14ac:dyDescent="0.3">
      <c r="A121" s="15" t="s">
        <v>695</v>
      </c>
      <c r="B121" s="15" t="s">
        <v>128</v>
      </c>
      <c r="C121" s="262" t="s">
        <v>1574</v>
      </c>
      <c r="D121" s="107">
        <f>(($D$102*$D$106*$D$108*$D$109)/$D$113)*$D$116*'1. USER INPUTS'!$E$23</f>
        <v>3.2938550497989369E-4</v>
      </c>
      <c r="E121" s="363" t="s">
        <v>232</v>
      </c>
    </row>
    <row r="122" spans="1:5" x14ac:dyDescent="0.3">
      <c r="A122" s="1128" t="s">
        <v>292</v>
      </c>
      <c r="B122" s="1129"/>
      <c r="C122" s="1129"/>
      <c r="D122" s="1129"/>
      <c r="E122" s="1130"/>
    </row>
    <row r="123" spans="1:5" x14ac:dyDescent="0.3">
      <c r="A123" s="16" t="s">
        <v>706</v>
      </c>
      <c r="B123" s="18" t="s">
        <v>293</v>
      </c>
      <c r="C123" s="157"/>
      <c r="D123" s="138">
        <v>1</v>
      </c>
      <c r="E123" s="22"/>
    </row>
    <row r="124" spans="1:5" x14ac:dyDescent="0.3">
      <c r="A124" s="284" t="s">
        <v>159</v>
      </c>
      <c r="B124" s="113" t="s">
        <v>128</v>
      </c>
      <c r="C124" s="535" t="s">
        <v>1870</v>
      </c>
      <c r="D124" s="124">
        <f>SUM($D$119:$D$120)</f>
        <v>8.3062431690581889E-3</v>
      </c>
      <c r="E124" s="291" t="s">
        <v>232</v>
      </c>
    </row>
    <row r="125" spans="1:5" ht="15" thickBot="1" x14ac:dyDescent="0.35">
      <c r="A125" s="284" t="s">
        <v>157</v>
      </c>
      <c r="B125" s="113" t="s">
        <v>128</v>
      </c>
      <c r="C125" s="111" t="s">
        <v>1870</v>
      </c>
      <c r="D125" s="124">
        <f>$D$121</f>
        <v>3.2938550497989369E-4</v>
      </c>
      <c r="E125" s="291" t="s">
        <v>232</v>
      </c>
    </row>
    <row r="126" spans="1:5" x14ac:dyDescent="0.3">
      <c r="A126" s="1140"/>
      <c r="B126" s="1141"/>
      <c r="C126" s="1141"/>
      <c r="D126" s="1141"/>
      <c r="E126" s="1142"/>
    </row>
    <row r="127" spans="1:5" ht="15" thickBot="1" x14ac:dyDescent="0.35">
      <c r="A127" s="1143"/>
      <c r="B127" s="1144"/>
      <c r="C127" s="1144"/>
      <c r="D127" s="1144"/>
      <c r="E127" s="1145"/>
    </row>
    <row r="128" spans="1:5" ht="30" customHeight="1" thickBot="1" x14ac:dyDescent="0.35">
      <c r="A128" s="638" t="s">
        <v>1558</v>
      </c>
      <c r="B128" s="657" t="s">
        <v>142</v>
      </c>
      <c r="C128" s="654" t="s">
        <v>256</v>
      </c>
      <c r="D128" s="655" t="s">
        <v>236</v>
      </c>
      <c r="E128" s="656" t="s">
        <v>212</v>
      </c>
    </row>
    <row r="129" spans="1:5" x14ac:dyDescent="0.3">
      <c r="A129" s="1134" t="s">
        <v>266</v>
      </c>
      <c r="B129" s="1132" t="s">
        <v>225</v>
      </c>
      <c r="C129" s="19" t="s">
        <v>1827</v>
      </c>
      <c r="D129" s="141" t="s">
        <v>210</v>
      </c>
      <c r="E129" s="1136" t="s">
        <v>2106</v>
      </c>
    </row>
    <row r="130" spans="1:5" x14ac:dyDescent="0.3">
      <c r="A130" s="1135"/>
      <c r="B130" s="1133"/>
      <c r="C130" s="18" t="s">
        <v>1559</v>
      </c>
      <c r="D130" s="27" t="s">
        <v>210</v>
      </c>
      <c r="E130" s="1137"/>
    </row>
    <row r="131" spans="1:5" x14ac:dyDescent="0.3">
      <c r="A131" s="16" t="s">
        <v>2028</v>
      </c>
      <c r="B131" s="18" t="s">
        <v>225</v>
      </c>
      <c r="C131" s="18"/>
      <c r="D131" s="141" t="s">
        <v>210</v>
      </c>
      <c r="E131" s="1138"/>
    </row>
    <row r="132" spans="1:5" x14ac:dyDescent="0.3">
      <c r="A132" s="46" t="s">
        <v>1464</v>
      </c>
      <c r="B132" s="47" t="s">
        <v>133</v>
      </c>
      <c r="C132" s="47" t="s">
        <v>1461</v>
      </c>
      <c r="D132" s="261">
        <f>0.05</f>
        <v>0.05</v>
      </c>
      <c r="E132" s="22" t="s">
        <v>2112</v>
      </c>
    </row>
    <row r="133" spans="1:5" x14ac:dyDescent="0.3">
      <c r="A133" s="16" t="s">
        <v>1481</v>
      </c>
      <c r="B133" s="18" t="s">
        <v>225</v>
      </c>
      <c r="C133" s="18"/>
      <c r="D133" s="27">
        <v>2</v>
      </c>
      <c r="E133" s="22" t="s">
        <v>855</v>
      </c>
    </row>
    <row r="134" spans="1:5" x14ac:dyDescent="0.3">
      <c r="A134" s="16" t="s">
        <v>1484</v>
      </c>
      <c r="B134" s="18" t="s">
        <v>226</v>
      </c>
      <c r="C134" s="47" t="s">
        <v>1573</v>
      </c>
      <c r="D134" s="147">
        <f>5*60</f>
        <v>300</v>
      </c>
      <c r="E134" s="22" t="s">
        <v>748</v>
      </c>
    </row>
    <row r="135" spans="1:5" x14ac:dyDescent="0.3">
      <c r="A135" s="16" t="s">
        <v>775</v>
      </c>
      <c r="B135" s="18" t="s">
        <v>129</v>
      </c>
      <c r="C135" s="47"/>
      <c r="D135" s="394">
        <f>'25. CHEM. &amp; MAT.'!$F$62</f>
        <v>1000</v>
      </c>
      <c r="E135" s="22" t="s">
        <v>1581</v>
      </c>
    </row>
    <row r="136" spans="1:5" x14ac:dyDescent="0.3">
      <c r="A136" s="16" t="s">
        <v>1560</v>
      </c>
      <c r="B136" s="18" t="s">
        <v>225</v>
      </c>
      <c r="C136" s="18"/>
      <c r="D136" s="138">
        <v>1</v>
      </c>
      <c r="E136" s="22" t="s">
        <v>855</v>
      </c>
    </row>
    <row r="137" spans="1:5" x14ac:dyDescent="0.3">
      <c r="A137" s="16" t="s">
        <v>1561</v>
      </c>
      <c r="B137" s="18" t="s">
        <v>226</v>
      </c>
      <c r="C137" s="18" t="s">
        <v>1841</v>
      </c>
      <c r="D137" s="138">
        <f>15*60</f>
        <v>900</v>
      </c>
      <c r="E137" s="22" t="s">
        <v>2112</v>
      </c>
    </row>
    <row r="138" spans="1:5" x14ac:dyDescent="0.3">
      <c r="A138" s="16" t="s">
        <v>1562</v>
      </c>
      <c r="B138" s="18" t="s">
        <v>129</v>
      </c>
      <c r="C138" s="18" t="s">
        <v>1563</v>
      </c>
      <c r="D138" s="138">
        <f>'26. CHEM. SOL._MODEL'!D154</f>
        <v>1735</v>
      </c>
      <c r="E138" s="22" t="s">
        <v>2113</v>
      </c>
    </row>
    <row r="139" spans="1:5" x14ac:dyDescent="0.3">
      <c r="A139" s="76" t="s">
        <v>1568</v>
      </c>
      <c r="B139" s="18" t="s">
        <v>214</v>
      </c>
      <c r="C139" s="4"/>
      <c r="D139" s="264">
        <f>'26. CHEM. SOL._MODEL'!D155</f>
        <v>0.79106628242074928</v>
      </c>
      <c r="E139" s="22" t="s">
        <v>2113</v>
      </c>
    </row>
    <row r="140" spans="1:5" x14ac:dyDescent="0.3">
      <c r="A140" s="76" t="s">
        <v>1569</v>
      </c>
      <c r="B140" s="18" t="s">
        <v>214</v>
      </c>
      <c r="C140" s="4"/>
      <c r="D140" s="264">
        <f>'26. CHEM. SOL._MODEL'!D156</f>
        <v>0.20893371757925072</v>
      </c>
      <c r="E140" s="22" t="s">
        <v>2113</v>
      </c>
    </row>
    <row r="141" spans="1:5" x14ac:dyDescent="0.3">
      <c r="A141" s="119" t="s">
        <v>353</v>
      </c>
      <c r="B141" s="103" t="s">
        <v>270</v>
      </c>
      <c r="C141" s="103" t="s">
        <v>1550</v>
      </c>
      <c r="D141" s="141">
        <v>75</v>
      </c>
      <c r="E141" s="22" t="s">
        <v>2112</v>
      </c>
    </row>
    <row r="142" spans="1:5" x14ac:dyDescent="0.3">
      <c r="A142" s="16" t="s">
        <v>2117</v>
      </c>
      <c r="B142" s="18" t="s">
        <v>226</v>
      </c>
      <c r="C142" s="18"/>
      <c r="D142" s="27">
        <f>($D$133*$D$134)+$D$137</f>
        <v>1500</v>
      </c>
      <c r="E142" s="22" t="s">
        <v>232</v>
      </c>
    </row>
    <row r="143" spans="1:5" x14ac:dyDescent="0.3">
      <c r="A143" s="348" t="s">
        <v>2111</v>
      </c>
      <c r="B143" s="30" t="s">
        <v>225</v>
      </c>
      <c r="C143" s="44"/>
      <c r="D143" s="144">
        <v>150</v>
      </c>
      <c r="E143" s="22" t="s">
        <v>2108</v>
      </c>
    </row>
    <row r="144" spans="1:5" x14ac:dyDescent="0.3">
      <c r="A144" s="16" t="s">
        <v>1725</v>
      </c>
      <c r="B144" s="18" t="s">
        <v>225</v>
      </c>
      <c r="C144" s="18" t="s">
        <v>1551</v>
      </c>
      <c r="D144" s="27">
        <f>IF('1. USER INPUTS'!$E$12=150,50,IF('1. USER INPUTS'!$E$12=200,50,IF('1. USER INPUTS'!$E$12=300,25)))</f>
        <v>50</v>
      </c>
      <c r="E144" s="22" t="s">
        <v>2106</v>
      </c>
    </row>
    <row r="145" spans="1:5" x14ac:dyDescent="0.3">
      <c r="A145" s="578" t="s">
        <v>351</v>
      </c>
      <c r="B145" s="543" t="s">
        <v>131</v>
      </c>
      <c r="C145" s="507"/>
      <c r="D145" s="639">
        <f>'2. PROCESS RECAP '!$E$9</f>
        <v>6.9</v>
      </c>
      <c r="E145" s="579" t="s">
        <v>2208</v>
      </c>
    </row>
    <row r="146" spans="1:5" ht="15" thickBot="1" x14ac:dyDescent="0.35">
      <c r="A146" s="634" t="s">
        <v>246</v>
      </c>
      <c r="B146" s="635" t="s">
        <v>225</v>
      </c>
      <c r="C146" s="640"/>
      <c r="D146" s="641">
        <f>'2. PROCESS RECAP '!$H$9</f>
        <v>1</v>
      </c>
      <c r="E146" s="637" t="s">
        <v>2209</v>
      </c>
    </row>
    <row r="147" spans="1:5" x14ac:dyDescent="0.3">
      <c r="A147" s="1147" t="s">
        <v>291</v>
      </c>
      <c r="B147" s="1148"/>
      <c r="C147" s="1148"/>
      <c r="D147" s="1148"/>
      <c r="E147" s="1149"/>
    </row>
    <row r="148" spans="1:5" x14ac:dyDescent="0.3">
      <c r="A148" s="285" t="s">
        <v>716</v>
      </c>
      <c r="B148" s="15" t="s">
        <v>132</v>
      </c>
      <c r="C148" s="15" t="s">
        <v>1038</v>
      </c>
      <c r="D148" s="107">
        <f>(($D$145*(($D$142+$D$142/3)/3600))/$D$144)*$D$146*'1. USER INPUTS'!$E$23</f>
        <v>3.2938550497989375E-4</v>
      </c>
      <c r="E148" s="363" t="s">
        <v>232</v>
      </c>
    </row>
    <row r="149" spans="1:5" x14ac:dyDescent="0.3">
      <c r="A149" s="285" t="s">
        <v>158</v>
      </c>
      <c r="B149" s="15" t="s">
        <v>128</v>
      </c>
      <c r="C149" s="262" t="s">
        <v>1571</v>
      </c>
      <c r="D149" s="107">
        <f>(($D$132*$D$133*$D$135)/$D$143)*$D$146*'1. USER INPUTS'!$E$23</f>
        <v>2.8642217824338583E-3</v>
      </c>
      <c r="E149" s="363" t="s">
        <v>232</v>
      </c>
    </row>
    <row r="150" spans="1:5" x14ac:dyDescent="0.3">
      <c r="A150" s="285" t="s">
        <v>430</v>
      </c>
      <c r="B150" s="15" t="s">
        <v>128</v>
      </c>
      <c r="C150" s="262" t="s">
        <v>1575</v>
      </c>
      <c r="D150" s="107">
        <f>(($D$132*$D$136*$D$138*$D$140)/$D$143)*$D$146*'1. USER INPUTS'!$E$23</f>
        <v>5.1914019806613692E-4</v>
      </c>
      <c r="E150" s="363" t="s">
        <v>232</v>
      </c>
    </row>
    <row r="151" spans="1:5" x14ac:dyDescent="0.3">
      <c r="A151" s="293" t="s">
        <v>798</v>
      </c>
      <c r="B151" s="15" t="s">
        <v>128</v>
      </c>
      <c r="C151" s="15" t="s">
        <v>1576</v>
      </c>
      <c r="D151" s="107">
        <f>(($D$132*$D$136*$D$138*$D$139)/$D$143)*$D$146*'1. USER INPUTS'!$E$23</f>
        <v>1.9655721981952355E-3</v>
      </c>
      <c r="E151" s="363" t="s">
        <v>232</v>
      </c>
    </row>
    <row r="152" spans="1:5" x14ac:dyDescent="0.3">
      <c r="A152" s="1128" t="s">
        <v>292</v>
      </c>
      <c r="B152" s="1129"/>
      <c r="C152" s="1129"/>
      <c r="D152" s="1129"/>
      <c r="E152" s="1130"/>
    </row>
    <row r="153" spans="1:5" x14ac:dyDescent="0.3">
      <c r="A153" s="16" t="s">
        <v>706</v>
      </c>
      <c r="B153" s="18" t="s">
        <v>293</v>
      </c>
      <c r="C153" s="157"/>
      <c r="D153" s="138">
        <v>1</v>
      </c>
      <c r="E153" s="22"/>
    </row>
    <row r="154" spans="1:5" x14ac:dyDescent="0.3">
      <c r="A154" s="284" t="s">
        <v>159</v>
      </c>
      <c r="B154" s="113" t="s">
        <v>128</v>
      </c>
      <c r="C154" s="535" t="s">
        <v>1870</v>
      </c>
      <c r="D154" s="124">
        <f>$D$149</f>
        <v>2.8642217824338583E-3</v>
      </c>
      <c r="E154" s="291" t="s">
        <v>232</v>
      </c>
    </row>
    <row r="155" spans="1:5" x14ac:dyDescent="0.3">
      <c r="A155" s="284" t="s">
        <v>161</v>
      </c>
      <c r="B155" s="113" t="s">
        <v>128</v>
      </c>
      <c r="C155" s="535" t="s">
        <v>1870</v>
      </c>
      <c r="D155" s="124">
        <f>$D$150</f>
        <v>5.1914019806613692E-4</v>
      </c>
      <c r="E155" s="291" t="s">
        <v>232</v>
      </c>
    </row>
    <row r="156" spans="1:5" ht="15" thickBot="1" x14ac:dyDescent="0.35">
      <c r="A156" s="110" t="s">
        <v>1650</v>
      </c>
      <c r="B156" s="118" t="s">
        <v>128</v>
      </c>
      <c r="C156" s="538" t="s">
        <v>1870</v>
      </c>
      <c r="D156" s="117">
        <f>$D$151</f>
        <v>1.9655721981952355E-3</v>
      </c>
      <c r="E156" s="283" t="s">
        <v>232</v>
      </c>
    </row>
  </sheetData>
  <sheetProtection algorithmName="SHA-512" hashValue="l6Mi/0eNWMPMFLEL6xgXvLGPresOcscwfLX7DAoglxTHgp5XIg13XCqZehRCn0a3LQ4jetSRnDtGVIJyORVsAg==" saltValue="zOT2cTY0kZOqiTklewRabg==" spinCount="100000" sheet="1" objects="1" scenarios="1"/>
  <mergeCells count="24">
    <mergeCell ref="A25:E26"/>
    <mergeCell ref="A73:E74"/>
    <mergeCell ref="A5:E5"/>
    <mergeCell ref="A14:E14"/>
    <mergeCell ref="A88:E88"/>
    <mergeCell ref="A92:E92"/>
    <mergeCell ref="A56:E56"/>
    <mergeCell ref="A66:E66"/>
    <mergeCell ref="A28:A29"/>
    <mergeCell ref="B28:B29"/>
    <mergeCell ref="E28:E30"/>
    <mergeCell ref="E76:E77"/>
    <mergeCell ref="A96:E97"/>
    <mergeCell ref="A129:A130"/>
    <mergeCell ref="B129:B130"/>
    <mergeCell ref="A147:E147"/>
    <mergeCell ref="A152:E152"/>
    <mergeCell ref="A99:A100"/>
    <mergeCell ref="B99:B100"/>
    <mergeCell ref="A117:E117"/>
    <mergeCell ref="A122:E122"/>
    <mergeCell ref="A126:E127"/>
    <mergeCell ref="E99:E101"/>
    <mergeCell ref="E129:E131"/>
  </mergeCells>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5131B-E344-4EC2-8DFD-4002AD330865}">
  <dimension ref="A1:E154"/>
  <sheetViews>
    <sheetView zoomScale="85" zoomScaleNormal="85" workbookViewId="0">
      <selection activeCell="A2" sqref="A2"/>
    </sheetView>
  </sheetViews>
  <sheetFormatPr baseColWidth="10" defaultRowHeight="14.4" x14ac:dyDescent="0.3"/>
  <cols>
    <col min="1" max="1" width="84" customWidth="1"/>
    <col min="2" max="2" width="11.33203125" bestFit="1" customWidth="1"/>
    <col min="3" max="3" width="140.6640625" customWidth="1"/>
    <col min="4" max="4" width="14.44140625" customWidth="1"/>
    <col min="5" max="5" width="53" customWidth="1"/>
  </cols>
  <sheetData>
    <row r="1" spans="1:5" ht="15" thickBot="1" x14ac:dyDescent="0.35">
      <c r="A1" t="s">
        <v>135</v>
      </c>
    </row>
    <row r="2" spans="1:5" ht="30" customHeight="1" thickBot="1" x14ac:dyDescent="0.35">
      <c r="A2" s="638" t="s">
        <v>305</v>
      </c>
      <c r="B2" s="653" t="s">
        <v>142</v>
      </c>
      <c r="C2" s="654" t="s">
        <v>256</v>
      </c>
      <c r="D2" s="655" t="s">
        <v>236</v>
      </c>
      <c r="E2" s="656" t="s">
        <v>212</v>
      </c>
    </row>
    <row r="3" spans="1:5" x14ac:dyDescent="0.3">
      <c r="A3" s="29" t="s">
        <v>2186</v>
      </c>
      <c r="B3" s="19" t="s">
        <v>225</v>
      </c>
      <c r="C3" s="19"/>
      <c r="D3" s="136">
        <f>SUM($D$46,$D$68,$D$95)</f>
        <v>33</v>
      </c>
      <c r="E3" s="24" t="s">
        <v>232</v>
      </c>
    </row>
    <row r="4" spans="1:5" x14ac:dyDescent="0.3">
      <c r="A4" s="16" t="s">
        <v>2178</v>
      </c>
      <c r="B4" s="18" t="s">
        <v>226</v>
      </c>
      <c r="C4" s="18"/>
      <c r="D4" s="138">
        <f>SUM($D$44*$D$46,$D$66*$D$68,$D$93*$D$95)</f>
        <v>8580</v>
      </c>
      <c r="E4" s="22" t="s">
        <v>232</v>
      </c>
    </row>
    <row r="5" spans="1:5" x14ac:dyDescent="0.3">
      <c r="A5" s="1125" t="s">
        <v>291</v>
      </c>
      <c r="B5" s="1126"/>
      <c r="C5" s="1126"/>
      <c r="D5" s="1126"/>
      <c r="E5" s="1127"/>
    </row>
    <row r="6" spans="1:5" x14ac:dyDescent="0.3">
      <c r="A6" s="285" t="s">
        <v>716</v>
      </c>
      <c r="B6" s="15" t="s">
        <v>132</v>
      </c>
      <c r="C6" s="15" t="s">
        <v>2229</v>
      </c>
      <c r="D6" s="107">
        <f>SUM($D$48,$D$70,$D$97)</f>
        <v>0.16855945189623259</v>
      </c>
      <c r="E6" s="314" t="s">
        <v>232</v>
      </c>
    </row>
    <row r="7" spans="1:5" x14ac:dyDescent="0.3">
      <c r="A7" s="293" t="s">
        <v>692</v>
      </c>
      <c r="B7" s="15" t="s">
        <v>128</v>
      </c>
      <c r="C7" s="15"/>
      <c r="D7" s="286">
        <f>$D$50</f>
        <v>2.4863696317040796E-5</v>
      </c>
      <c r="E7" s="314" t="s">
        <v>232</v>
      </c>
    </row>
    <row r="8" spans="1:5" x14ac:dyDescent="0.3">
      <c r="A8" s="293" t="s">
        <v>693</v>
      </c>
      <c r="B8" s="15" t="s">
        <v>128</v>
      </c>
      <c r="C8" s="15"/>
      <c r="D8" s="286">
        <f>SUM($D$51:$D$52)</f>
        <v>1.9305861677626377E-3</v>
      </c>
      <c r="E8" s="314" t="s">
        <v>232</v>
      </c>
    </row>
    <row r="9" spans="1:5" x14ac:dyDescent="0.3">
      <c r="A9" s="293" t="s">
        <v>694</v>
      </c>
      <c r="B9" s="15" t="s">
        <v>128</v>
      </c>
      <c r="C9" s="15"/>
      <c r="D9" s="286">
        <f>$D$49</f>
        <v>5.2234656128236969E-5</v>
      </c>
      <c r="E9" s="314" t="s">
        <v>232</v>
      </c>
    </row>
    <row r="10" spans="1:5" x14ac:dyDescent="0.3">
      <c r="A10" s="293" t="s">
        <v>447</v>
      </c>
      <c r="B10" s="15" t="s">
        <v>128</v>
      </c>
      <c r="C10" s="15"/>
      <c r="D10" s="286">
        <f>$D$98</f>
        <v>1.1412441682031545E-4</v>
      </c>
      <c r="E10" s="314" t="s">
        <v>232</v>
      </c>
    </row>
    <row r="11" spans="1:5" x14ac:dyDescent="0.3">
      <c r="A11" s="285" t="s">
        <v>158</v>
      </c>
      <c r="B11" s="15" t="s">
        <v>128</v>
      </c>
      <c r="C11" s="15"/>
      <c r="D11" s="286">
        <f>SUM($D$99:$D$100)</f>
        <v>1.8789739347243151E-2</v>
      </c>
      <c r="E11" s="314" t="s">
        <v>232</v>
      </c>
    </row>
    <row r="12" spans="1:5" x14ac:dyDescent="0.3">
      <c r="A12" s="293" t="s">
        <v>962</v>
      </c>
      <c r="B12" s="15" t="s">
        <v>128</v>
      </c>
      <c r="C12" s="15"/>
      <c r="D12" s="286">
        <f>$D$101</f>
        <v>8.3649597155980825E-3</v>
      </c>
      <c r="E12" s="314" t="s">
        <v>232</v>
      </c>
    </row>
    <row r="13" spans="1:5" x14ac:dyDescent="0.3">
      <c r="A13" s="1128" t="s">
        <v>292</v>
      </c>
      <c r="B13" s="1129"/>
      <c r="C13" s="1129"/>
      <c r="D13" s="1129"/>
      <c r="E13" s="1130"/>
    </row>
    <row r="14" spans="1:5" x14ac:dyDescent="0.3">
      <c r="A14" s="16" t="s">
        <v>322</v>
      </c>
      <c r="B14" s="18" t="s">
        <v>293</v>
      </c>
      <c r="C14" s="47"/>
      <c r="D14" s="147">
        <v>1</v>
      </c>
      <c r="E14" s="22"/>
    </row>
    <row r="15" spans="1:5" x14ac:dyDescent="0.3">
      <c r="A15" s="116" t="s">
        <v>927</v>
      </c>
      <c r="B15" s="112" t="s">
        <v>128</v>
      </c>
      <c r="C15" s="112" t="s">
        <v>2272</v>
      </c>
      <c r="D15" s="124">
        <f>$D$55</f>
        <v>2.0076845202079154E-3</v>
      </c>
      <c r="E15" s="291" t="s">
        <v>237</v>
      </c>
    </row>
    <row r="16" spans="1:5" x14ac:dyDescent="0.3">
      <c r="A16" s="116" t="s">
        <v>386</v>
      </c>
      <c r="B16" s="112" t="s">
        <v>128</v>
      </c>
      <c r="C16" s="112" t="s">
        <v>2273</v>
      </c>
      <c r="D16" s="115">
        <f>$D$98</f>
        <v>1.1412441682031545E-4</v>
      </c>
      <c r="E16" s="282" t="s">
        <v>237</v>
      </c>
    </row>
    <row r="17" spans="1:5" x14ac:dyDescent="0.3">
      <c r="A17" s="116" t="s">
        <v>159</v>
      </c>
      <c r="B17" s="112" t="s">
        <v>521</v>
      </c>
      <c r="C17" s="112" t="s">
        <v>2273</v>
      </c>
      <c r="D17" s="115">
        <f>SUM($D$99:$D$100)/1000</f>
        <v>1.878973934724315E-5</v>
      </c>
      <c r="E17" s="282" t="s">
        <v>237</v>
      </c>
    </row>
    <row r="18" spans="1:5" ht="15" thickBot="1" x14ac:dyDescent="0.35">
      <c r="A18" s="110" t="s">
        <v>816</v>
      </c>
      <c r="B18" s="111" t="s">
        <v>128</v>
      </c>
      <c r="C18" s="111" t="s">
        <v>2274</v>
      </c>
      <c r="D18" s="117">
        <f>$D$106</f>
        <v>8.3649597155980825E-3</v>
      </c>
      <c r="E18" s="283" t="s">
        <v>237</v>
      </c>
    </row>
    <row r="19" spans="1:5" x14ac:dyDescent="0.3">
      <c r="A19" s="1150"/>
      <c r="B19" s="1151"/>
      <c r="C19" s="1151"/>
      <c r="D19" s="1151"/>
      <c r="E19" s="1152"/>
    </row>
    <row r="20" spans="1:5" ht="15" thickBot="1" x14ac:dyDescent="0.35">
      <c r="A20" s="1143"/>
      <c r="B20" s="1144"/>
      <c r="C20" s="1144"/>
      <c r="D20" s="1144"/>
      <c r="E20" s="1145"/>
    </row>
    <row r="21" spans="1:5" ht="30" customHeight="1" thickBot="1" x14ac:dyDescent="0.35">
      <c r="A21" s="638" t="s">
        <v>2169</v>
      </c>
      <c r="B21" s="657" t="s">
        <v>142</v>
      </c>
      <c r="C21" s="654" t="s">
        <v>256</v>
      </c>
      <c r="D21" s="655" t="s">
        <v>236</v>
      </c>
      <c r="E21" s="656" t="s">
        <v>212</v>
      </c>
    </row>
    <row r="22" spans="1:5" x14ac:dyDescent="0.3">
      <c r="A22" s="29" t="s">
        <v>266</v>
      </c>
      <c r="B22" s="19" t="s">
        <v>225</v>
      </c>
      <c r="C22" s="19" t="s">
        <v>2170</v>
      </c>
      <c r="D22" s="136" t="s">
        <v>210</v>
      </c>
      <c r="E22" s="1136" t="s">
        <v>2106</v>
      </c>
    </row>
    <row r="23" spans="1:5" x14ac:dyDescent="0.3">
      <c r="A23" s="119" t="s">
        <v>1892</v>
      </c>
      <c r="B23" s="103" t="s">
        <v>225</v>
      </c>
      <c r="C23" s="103" t="s">
        <v>2105</v>
      </c>
      <c r="D23" s="141" t="s">
        <v>210</v>
      </c>
      <c r="E23" s="1138"/>
    </row>
    <row r="24" spans="1:5" x14ac:dyDescent="0.3">
      <c r="A24" s="279" t="s">
        <v>188</v>
      </c>
      <c r="B24" s="140" t="s">
        <v>309</v>
      </c>
      <c r="C24" s="103"/>
      <c r="D24" s="141">
        <f>'1. USER INPUTS'!$E$12</f>
        <v>200</v>
      </c>
      <c r="E24" s="33" t="s">
        <v>398</v>
      </c>
    </row>
    <row r="25" spans="1:5" x14ac:dyDescent="0.3">
      <c r="A25" s="279" t="s">
        <v>235</v>
      </c>
      <c r="B25" s="140" t="s">
        <v>231</v>
      </c>
      <c r="C25" s="18"/>
      <c r="D25" s="142">
        <f>PI()*(($D$24/1000)/2)^2</f>
        <v>3.1415926535897934E-2</v>
      </c>
      <c r="E25" s="33" t="s">
        <v>398</v>
      </c>
    </row>
    <row r="26" spans="1:5" x14ac:dyDescent="0.3">
      <c r="A26" s="279" t="s">
        <v>1653</v>
      </c>
      <c r="B26" s="140" t="s">
        <v>214</v>
      </c>
      <c r="C26" s="103"/>
      <c r="D26" s="429">
        <f>'26. CHEM. SOL._MODEL'!$D$180</f>
        <v>0.44531528322052016</v>
      </c>
      <c r="E26" s="33" t="s">
        <v>1652</v>
      </c>
    </row>
    <row r="27" spans="1:5" x14ac:dyDescent="0.3">
      <c r="A27" s="279" t="s">
        <v>1654</v>
      </c>
      <c r="B27" s="140" t="s">
        <v>214</v>
      </c>
      <c r="C27" s="103"/>
      <c r="D27" s="429">
        <f>'26. CHEM. SOL._MODEL'!$D$178</f>
        <v>0.21197007481296759</v>
      </c>
      <c r="E27" s="33" t="s">
        <v>1652</v>
      </c>
    </row>
    <row r="28" spans="1:5" x14ac:dyDescent="0.3">
      <c r="A28" s="279" t="s">
        <v>1655</v>
      </c>
      <c r="B28" s="140" t="s">
        <v>214</v>
      </c>
      <c r="C28" s="103"/>
      <c r="D28" s="429">
        <f>'26. CHEM. SOL._MODEL'!$D$179</f>
        <v>0.3427146419665123</v>
      </c>
      <c r="E28" s="33" t="s">
        <v>1652</v>
      </c>
    </row>
    <row r="29" spans="1:5" x14ac:dyDescent="0.3">
      <c r="A29" s="279" t="s">
        <v>1273</v>
      </c>
      <c r="B29" s="18" t="s">
        <v>129</v>
      </c>
      <c r="C29" s="18"/>
      <c r="D29" s="134">
        <f>'26. CHEM. SOL._MODEL'!$D$177</f>
        <v>1010.52</v>
      </c>
      <c r="E29" s="33" t="s">
        <v>1581</v>
      </c>
    </row>
    <row r="30" spans="1:5" x14ac:dyDescent="0.3">
      <c r="A30" s="279" t="s">
        <v>1274</v>
      </c>
      <c r="B30" s="140" t="s">
        <v>130</v>
      </c>
      <c r="C30" s="103" t="s">
        <v>1283</v>
      </c>
      <c r="D30" s="143">
        <f>0.000001</f>
        <v>9.9999999999999995E-7</v>
      </c>
      <c r="E30" s="185" t="s">
        <v>2116</v>
      </c>
    </row>
    <row r="31" spans="1:5" x14ac:dyDescent="0.3">
      <c r="A31" s="279" t="s">
        <v>1275</v>
      </c>
      <c r="B31" s="140" t="s">
        <v>130</v>
      </c>
      <c r="C31" s="103" t="s">
        <v>1284</v>
      </c>
      <c r="D31" s="143">
        <v>1.15E-5</v>
      </c>
      <c r="E31" s="22" t="s">
        <v>2109</v>
      </c>
    </row>
    <row r="32" spans="1:5" x14ac:dyDescent="0.3">
      <c r="A32" s="315" t="s">
        <v>1278</v>
      </c>
      <c r="B32" s="30" t="s">
        <v>128</v>
      </c>
      <c r="C32" s="103"/>
      <c r="D32" s="143">
        <f>($D$30*$D$25)*$D$29</f>
        <v>3.1746422083055577E-5</v>
      </c>
      <c r="E32" s="33" t="s">
        <v>232</v>
      </c>
    </row>
    <row r="33" spans="1:5" x14ac:dyDescent="0.3">
      <c r="A33" s="315" t="s">
        <v>1279</v>
      </c>
      <c r="B33" s="30" t="s">
        <v>128</v>
      </c>
      <c r="C33" s="103"/>
      <c r="D33" s="143">
        <f>($D$31*$D$25)*$D$29</f>
        <v>3.6508385395513917E-4</v>
      </c>
      <c r="E33" s="33" t="s">
        <v>232</v>
      </c>
    </row>
    <row r="34" spans="1:5" x14ac:dyDescent="0.3">
      <c r="A34" s="279" t="s">
        <v>1360</v>
      </c>
      <c r="B34" s="140" t="s">
        <v>214</v>
      </c>
      <c r="C34" s="103"/>
      <c r="D34" s="154">
        <v>2.5</v>
      </c>
      <c r="E34" s="33" t="s">
        <v>2115</v>
      </c>
    </row>
    <row r="35" spans="1:5" x14ac:dyDescent="0.3">
      <c r="A35" s="315" t="s">
        <v>1276</v>
      </c>
      <c r="B35" s="30" t="s">
        <v>128</v>
      </c>
      <c r="C35" s="78"/>
      <c r="D35" s="296">
        <f>($D$32*100)/$D$34</f>
        <v>1.2698568833222231E-3</v>
      </c>
      <c r="E35" s="33" t="s">
        <v>232</v>
      </c>
    </row>
    <row r="36" spans="1:5" x14ac:dyDescent="0.3">
      <c r="A36" s="315" t="s">
        <v>1277</v>
      </c>
      <c r="B36" s="30" t="s">
        <v>128</v>
      </c>
      <c r="C36" s="78"/>
      <c r="D36" s="296">
        <f>($D$33*100)/$D$34</f>
        <v>1.4603354158205567E-2</v>
      </c>
      <c r="E36" s="33" t="s">
        <v>232</v>
      </c>
    </row>
    <row r="37" spans="1:5" x14ac:dyDescent="0.3">
      <c r="A37" s="315" t="s">
        <v>1271</v>
      </c>
      <c r="B37" s="30" t="s">
        <v>226</v>
      </c>
      <c r="C37" s="78"/>
      <c r="D37" s="27">
        <v>30</v>
      </c>
      <c r="E37" s="185" t="s">
        <v>2106</v>
      </c>
    </row>
    <row r="38" spans="1:5" x14ac:dyDescent="0.3">
      <c r="A38" s="315" t="s">
        <v>1272</v>
      </c>
      <c r="B38" s="30" t="s">
        <v>847</v>
      </c>
      <c r="C38" s="78"/>
      <c r="D38" s="27">
        <v>3500</v>
      </c>
      <c r="E38" s="185" t="s">
        <v>2106</v>
      </c>
    </row>
    <row r="39" spans="1:5" x14ac:dyDescent="0.3">
      <c r="A39" s="119" t="s">
        <v>2022</v>
      </c>
      <c r="B39" s="140" t="s">
        <v>270</v>
      </c>
      <c r="C39" s="103"/>
      <c r="D39" s="141">
        <v>120</v>
      </c>
      <c r="E39" s="185" t="s">
        <v>2106</v>
      </c>
    </row>
    <row r="40" spans="1:5" x14ac:dyDescent="0.3">
      <c r="A40" s="119" t="s">
        <v>2023</v>
      </c>
      <c r="B40" s="140" t="s">
        <v>226</v>
      </c>
      <c r="C40" s="103"/>
      <c r="D40" s="141">
        <v>60</v>
      </c>
      <c r="E40" s="185" t="s">
        <v>2106</v>
      </c>
    </row>
    <row r="41" spans="1:5" x14ac:dyDescent="0.3">
      <c r="A41" s="315" t="s">
        <v>1292</v>
      </c>
      <c r="B41" s="30" t="s">
        <v>128</v>
      </c>
      <c r="C41" s="30"/>
      <c r="D41" s="27">
        <f>0.04</f>
        <v>0.04</v>
      </c>
      <c r="E41" s="185" t="s">
        <v>2106</v>
      </c>
    </row>
    <row r="42" spans="1:5" x14ac:dyDescent="0.3">
      <c r="A42" s="315" t="s">
        <v>1282</v>
      </c>
      <c r="B42" s="30" t="s">
        <v>226</v>
      </c>
      <c r="C42" s="78"/>
      <c r="D42" s="27">
        <v>30</v>
      </c>
      <c r="E42" s="185" t="s">
        <v>2106</v>
      </c>
    </row>
    <row r="43" spans="1:5" x14ac:dyDescent="0.3">
      <c r="A43" s="16" t="s">
        <v>247</v>
      </c>
      <c r="B43" s="18" t="s">
        <v>225</v>
      </c>
      <c r="C43" s="18" t="s">
        <v>339</v>
      </c>
      <c r="D43" s="27">
        <v>1</v>
      </c>
      <c r="E43" s="185" t="s">
        <v>2106</v>
      </c>
    </row>
    <row r="44" spans="1:5" x14ac:dyDescent="0.3">
      <c r="A44" s="16" t="s">
        <v>2117</v>
      </c>
      <c r="B44" s="18" t="s">
        <v>226</v>
      </c>
      <c r="C44" s="4"/>
      <c r="D44" s="247">
        <f>SUM(D37,D40,D42)</f>
        <v>120</v>
      </c>
      <c r="E44" s="22" t="s">
        <v>232</v>
      </c>
    </row>
    <row r="45" spans="1:5" x14ac:dyDescent="0.3">
      <c r="A45" s="578" t="s">
        <v>351</v>
      </c>
      <c r="B45" s="543" t="s">
        <v>131</v>
      </c>
      <c r="C45" s="543"/>
      <c r="D45" s="543">
        <f>'2. PROCESS RECAP '!$E$4</f>
        <v>6</v>
      </c>
      <c r="E45" s="579" t="s">
        <v>2208</v>
      </c>
    </row>
    <row r="46" spans="1:5" ht="15" thickBot="1" x14ac:dyDescent="0.35">
      <c r="A46" s="634" t="s">
        <v>246</v>
      </c>
      <c r="B46" s="635" t="s">
        <v>225</v>
      </c>
      <c r="C46" s="635"/>
      <c r="D46" s="636">
        <f>'2. PROCESS RECAP '!$H$4</f>
        <v>11</v>
      </c>
      <c r="E46" s="637" t="s">
        <v>2209</v>
      </c>
    </row>
    <row r="47" spans="1:5" x14ac:dyDescent="0.3">
      <c r="A47" s="1122" t="s">
        <v>291</v>
      </c>
      <c r="B47" s="1123"/>
      <c r="C47" s="1123"/>
      <c r="D47" s="1123"/>
      <c r="E47" s="1124"/>
    </row>
    <row r="48" spans="1:5" x14ac:dyDescent="0.3">
      <c r="A48" s="285" t="s">
        <v>716</v>
      </c>
      <c r="B48" s="15" t="s">
        <v>132</v>
      </c>
      <c r="C48" s="15" t="s">
        <v>1038</v>
      </c>
      <c r="D48" s="107">
        <f>$D$45*(($D$44+$D$44/3)/3600)*$D$46*'1. USER INPUTS'!$E$23</f>
        <v>1.2602575842708977E-2</v>
      </c>
      <c r="E48" s="276" t="s">
        <v>232</v>
      </c>
    </row>
    <row r="49" spans="1:5" x14ac:dyDescent="0.3">
      <c r="A49" s="293" t="s">
        <v>694</v>
      </c>
      <c r="B49" s="15" t="s">
        <v>128</v>
      </c>
      <c r="C49" s="15" t="s">
        <v>1937</v>
      </c>
      <c r="D49" s="107">
        <f>$D$26*($D$35*($D$46-1)+$D$36)*'1. USER INPUTS'!$E$23</f>
        <v>5.2234656128236969E-5</v>
      </c>
      <c r="E49" s="276" t="s">
        <v>232</v>
      </c>
    </row>
    <row r="50" spans="1:5" x14ac:dyDescent="0.3">
      <c r="A50" s="293" t="s">
        <v>692</v>
      </c>
      <c r="B50" s="15" t="s">
        <v>128</v>
      </c>
      <c r="C50" s="15" t="s">
        <v>432</v>
      </c>
      <c r="D50" s="107">
        <f>$D$27*($D$35*($D$46-1)+$D$36)*'1. USER INPUTS'!$E$23</f>
        <v>2.4863696317040796E-5</v>
      </c>
      <c r="E50" s="276" t="s">
        <v>232</v>
      </c>
    </row>
    <row r="51" spans="1:5" x14ac:dyDescent="0.3">
      <c r="A51" s="293" t="s">
        <v>693</v>
      </c>
      <c r="B51" s="15" t="s">
        <v>128</v>
      </c>
      <c r="C51" s="15" t="s">
        <v>754</v>
      </c>
      <c r="D51" s="107">
        <f>$D$28*($D$35*($D$46-1)+$D$36)*'1. USER INPUTS'!$E$23</f>
        <v>4.0199791356291165E-5</v>
      </c>
      <c r="E51" s="276" t="s">
        <v>232</v>
      </c>
    </row>
    <row r="52" spans="1:5" x14ac:dyDescent="0.3">
      <c r="A52" s="293" t="s">
        <v>693</v>
      </c>
      <c r="B52" s="15" t="s">
        <v>128</v>
      </c>
      <c r="C52" s="15" t="s">
        <v>754</v>
      </c>
      <c r="D52" s="107">
        <f>$D$41*$D$46*'1. USER INPUTS'!$E$23</f>
        <v>1.8903863764063466E-3</v>
      </c>
      <c r="E52" s="276" t="s">
        <v>232</v>
      </c>
    </row>
    <row r="53" spans="1:5" x14ac:dyDescent="0.3">
      <c r="A53" s="1128" t="s">
        <v>292</v>
      </c>
      <c r="B53" s="1129"/>
      <c r="C53" s="1129"/>
      <c r="D53" s="1129"/>
      <c r="E53" s="1130"/>
    </row>
    <row r="54" spans="1:5" x14ac:dyDescent="0.3">
      <c r="A54" s="16" t="s">
        <v>322</v>
      </c>
      <c r="B54" s="18" t="s">
        <v>293</v>
      </c>
      <c r="C54" s="47"/>
      <c r="D54" s="147">
        <v>1</v>
      </c>
      <c r="E54" s="22"/>
    </row>
    <row r="55" spans="1:5" ht="15" thickBot="1" x14ac:dyDescent="0.35">
      <c r="A55" s="110" t="s">
        <v>927</v>
      </c>
      <c r="B55" s="111" t="s">
        <v>128</v>
      </c>
      <c r="C55" s="111" t="s">
        <v>1941</v>
      </c>
      <c r="D55" s="117">
        <f>SUM($D$49:$D$52)</f>
        <v>2.0076845202079154E-3</v>
      </c>
      <c r="E55" s="283" t="s">
        <v>232</v>
      </c>
    </row>
    <row r="56" spans="1:5" x14ac:dyDescent="0.3">
      <c r="A56" s="1140"/>
      <c r="B56" s="1141"/>
      <c r="C56" s="1141"/>
      <c r="D56" s="1141"/>
      <c r="E56" s="1142"/>
    </row>
    <row r="57" spans="1:5" ht="15" thickBot="1" x14ac:dyDescent="0.35">
      <c r="A57" s="1143"/>
      <c r="B57" s="1144"/>
      <c r="C57" s="1144"/>
      <c r="D57" s="1144"/>
      <c r="E57" s="1145"/>
    </row>
    <row r="58" spans="1:5" ht="30" customHeight="1" thickBot="1" x14ac:dyDescent="0.35">
      <c r="A58" s="644" t="s">
        <v>1266</v>
      </c>
      <c r="B58" s="657" t="s">
        <v>142</v>
      </c>
      <c r="C58" s="654" t="s">
        <v>256</v>
      </c>
      <c r="D58" s="655" t="s">
        <v>236</v>
      </c>
      <c r="E58" s="656" t="s">
        <v>212</v>
      </c>
    </row>
    <row r="59" spans="1:5" x14ac:dyDescent="0.3">
      <c r="A59" s="1134" t="s">
        <v>266</v>
      </c>
      <c r="B59" s="1132" t="s">
        <v>225</v>
      </c>
      <c r="C59" s="19" t="s">
        <v>344</v>
      </c>
      <c r="D59" s="136" t="s">
        <v>210</v>
      </c>
      <c r="E59" s="1136" t="s">
        <v>2106</v>
      </c>
    </row>
    <row r="60" spans="1:5" x14ac:dyDescent="0.3">
      <c r="A60" s="1135"/>
      <c r="B60" s="1133"/>
      <c r="C60" s="103" t="s">
        <v>2024</v>
      </c>
      <c r="D60" s="141" t="s">
        <v>210</v>
      </c>
      <c r="E60" s="1137"/>
    </row>
    <row r="61" spans="1:5" x14ac:dyDescent="0.3">
      <c r="A61" s="119" t="s">
        <v>1892</v>
      </c>
      <c r="B61" s="103" t="s">
        <v>225</v>
      </c>
      <c r="C61" s="103" t="s">
        <v>2118</v>
      </c>
      <c r="D61" s="141" t="s">
        <v>210</v>
      </c>
      <c r="E61" s="1138"/>
    </row>
    <row r="62" spans="1:5" x14ac:dyDescent="0.3">
      <c r="A62" s="279" t="s">
        <v>188</v>
      </c>
      <c r="B62" s="140" t="s">
        <v>309</v>
      </c>
      <c r="C62" s="103"/>
      <c r="D62" s="141">
        <f>'1. USER INPUTS'!$E$12</f>
        <v>200</v>
      </c>
      <c r="E62" s="33" t="s">
        <v>398</v>
      </c>
    </row>
    <row r="63" spans="1:5" x14ac:dyDescent="0.3">
      <c r="A63" s="279" t="s">
        <v>235</v>
      </c>
      <c r="B63" s="140" t="s">
        <v>231</v>
      </c>
      <c r="C63" s="18"/>
      <c r="D63" s="142">
        <f>PI()*(($D$62/1000)/2)^2</f>
        <v>3.1415926535897934E-2</v>
      </c>
      <c r="E63" s="33" t="s">
        <v>398</v>
      </c>
    </row>
    <row r="64" spans="1:5" x14ac:dyDescent="0.3">
      <c r="A64" s="315" t="s">
        <v>1285</v>
      </c>
      <c r="B64" s="30" t="s">
        <v>281</v>
      </c>
      <c r="C64" s="30"/>
      <c r="D64" s="27">
        <v>248</v>
      </c>
      <c r="E64" s="185" t="s">
        <v>2106</v>
      </c>
    </row>
    <row r="65" spans="1:5" x14ac:dyDescent="0.3">
      <c r="A65" s="16" t="s">
        <v>247</v>
      </c>
      <c r="B65" s="18" t="s">
        <v>225</v>
      </c>
      <c r="C65" s="18" t="s">
        <v>339</v>
      </c>
      <c r="D65" s="27">
        <v>1</v>
      </c>
      <c r="E65" s="185" t="s">
        <v>2106</v>
      </c>
    </row>
    <row r="66" spans="1:5" x14ac:dyDescent="0.3">
      <c r="A66" s="16" t="s">
        <v>2117</v>
      </c>
      <c r="B66" s="18" t="s">
        <v>226</v>
      </c>
      <c r="C66" s="4"/>
      <c r="D66" s="403">
        <v>300</v>
      </c>
      <c r="E66" s="185" t="s">
        <v>2112</v>
      </c>
    </row>
    <row r="67" spans="1:5" x14ac:dyDescent="0.3">
      <c r="A67" s="642" t="s">
        <v>351</v>
      </c>
      <c r="B67" s="643" t="s">
        <v>131</v>
      </c>
      <c r="C67" s="643"/>
      <c r="D67" s="643">
        <f>'2. PROCESS RECAP '!$E$5</f>
        <v>22.5</v>
      </c>
      <c r="E67" s="579" t="s">
        <v>2208</v>
      </c>
    </row>
    <row r="68" spans="1:5" ht="15" thickBot="1" x14ac:dyDescent="0.35">
      <c r="A68" s="634" t="s">
        <v>246</v>
      </c>
      <c r="B68" s="635" t="s">
        <v>225</v>
      </c>
      <c r="C68" s="635"/>
      <c r="D68" s="636">
        <f>'2. PROCESS RECAP '!$H$5</f>
        <v>11</v>
      </c>
      <c r="E68" s="637" t="s">
        <v>2209</v>
      </c>
    </row>
    <row r="69" spans="1:5" x14ac:dyDescent="0.3">
      <c r="A69" s="1122" t="s">
        <v>291</v>
      </c>
      <c r="B69" s="1123"/>
      <c r="C69" s="1123"/>
      <c r="D69" s="1123"/>
      <c r="E69" s="1124"/>
    </row>
    <row r="70" spans="1:5" x14ac:dyDescent="0.3">
      <c r="A70" s="285" t="s">
        <v>716</v>
      </c>
      <c r="B70" s="15" t="s">
        <v>132</v>
      </c>
      <c r="C70" s="15" t="s">
        <v>1038</v>
      </c>
      <c r="D70" s="107">
        <f>$D$67*(($D$66+$D$66/3)/3600)*$D$68*'1. USER INPUTS'!$E$23</f>
        <v>0.11814914852539667</v>
      </c>
      <c r="E70" s="276" t="s">
        <v>232</v>
      </c>
    </row>
    <row r="71" spans="1:5" x14ac:dyDescent="0.3">
      <c r="A71" s="1128" t="s">
        <v>292</v>
      </c>
      <c r="B71" s="1129"/>
      <c r="C71" s="1129"/>
      <c r="D71" s="1129"/>
      <c r="E71" s="1130"/>
    </row>
    <row r="72" spans="1:5" x14ac:dyDescent="0.3">
      <c r="A72" s="16" t="s">
        <v>322</v>
      </c>
      <c r="B72" s="18" t="s">
        <v>293</v>
      </c>
      <c r="C72" s="47"/>
      <c r="D72" s="147">
        <v>1</v>
      </c>
      <c r="E72" s="22"/>
    </row>
    <row r="73" spans="1:5" ht="15" thickBot="1" x14ac:dyDescent="0.35">
      <c r="A73" s="110"/>
      <c r="B73" s="111"/>
      <c r="C73" s="111"/>
      <c r="D73" s="117"/>
      <c r="E73" s="283"/>
    </row>
    <row r="74" spans="1:5" x14ac:dyDescent="0.3">
      <c r="A74" s="1153"/>
      <c r="B74" s="1154"/>
      <c r="C74" s="1154"/>
      <c r="D74" s="1154"/>
      <c r="E74" s="1155"/>
    </row>
    <row r="75" spans="1:5" ht="15" thickBot="1" x14ac:dyDescent="0.35">
      <c r="A75" s="1156"/>
      <c r="B75" s="1157"/>
      <c r="C75" s="1157"/>
      <c r="D75" s="1157"/>
      <c r="E75" s="1158"/>
    </row>
    <row r="76" spans="1:5" ht="30" customHeight="1" thickBot="1" x14ac:dyDescent="0.35">
      <c r="A76" s="638" t="s">
        <v>1287</v>
      </c>
      <c r="B76" s="657" t="s">
        <v>142</v>
      </c>
      <c r="C76" s="654" t="s">
        <v>256</v>
      </c>
      <c r="D76" s="655" t="s">
        <v>236</v>
      </c>
      <c r="E76" s="656" t="s">
        <v>212</v>
      </c>
    </row>
    <row r="77" spans="1:5" x14ac:dyDescent="0.3">
      <c r="A77" s="29" t="s">
        <v>266</v>
      </c>
      <c r="B77" s="19" t="s">
        <v>225</v>
      </c>
      <c r="C77" s="19" t="s">
        <v>842</v>
      </c>
      <c r="D77" s="136" t="s">
        <v>210</v>
      </c>
      <c r="E77" s="1136" t="s">
        <v>2106</v>
      </c>
    </row>
    <row r="78" spans="1:5" x14ac:dyDescent="0.3">
      <c r="A78" s="119" t="s">
        <v>1892</v>
      </c>
      <c r="B78" s="103" t="s">
        <v>225</v>
      </c>
      <c r="C78" s="103" t="s">
        <v>2105</v>
      </c>
      <c r="D78" s="141" t="s">
        <v>210</v>
      </c>
      <c r="E78" s="1138"/>
    </row>
    <row r="79" spans="1:5" x14ac:dyDescent="0.3">
      <c r="A79" s="279" t="s">
        <v>188</v>
      </c>
      <c r="B79" s="140" t="s">
        <v>309</v>
      </c>
      <c r="C79" s="103"/>
      <c r="D79" s="141">
        <f>'1. USER INPUTS'!$E$12</f>
        <v>200</v>
      </c>
      <c r="E79" s="33" t="s">
        <v>398</v>
      </c>
    </row>
    <row r="80" spans="1:5" x14ac:dyDescent="0.3">
      <c r="A80" s="279" t="s">
        <v>235</v>
      </c>
      <c r="B80" s="140" t="s">
        <v>231</v>
      </c>
      <c r="C80" s="18"/>
      <c r="D80" s="142">
        <f>PI()*(($D$79/1000)/2)^2</f>
        <v>3.1415926535897934E-2</v>
      </c>
      <c r="E80" s="33" t="s">
        <v>398</v>
      </c>
    </row>
    <row r="81" spans="1:5" x14ac:dyDescent="0.3">
      <c r="A81" s="119" t="s">
        <v>1280</v>
      </c>
      <c r="B81" s="140" t="s">
        <v>270</v>
      </c>
      <c r="C81" s="103"/>
      <c r="D81" s="141">
        <v>180</v>
      </c>
      <c r="E81" s="185" t="s">
        <v>2106</v>
      </c>
    </row>
    <row r="82" spans="1:5" x14ac:dyDescent="0.3">
      <c r="A82" s="119" t="s">
        <v>1281</v>
      </c>
      <c r="B82" s="140" t="s">
        <v>226</v>
      </c>
      <c r="C82" s="103"/>
      <c r="D82" s="141">
        <v>180</v>
      </c>
      <c r="E82" s="185" t="s">
        <v>2106</v>
      </c>
    </row>
    <row r="83" spans="1:5" x14ac:dyDescent="0.3">
      <c r="A83" s="119" t="s">
        <v>1296</v>
      </c>
      <c r="B83" s="140" t="s">
        <v>226</v>
      </c>
      <c r="C83" s="103"/>
      <c r="D83" s="141">
        <v>60</v>
      </c>
      <c r="E83" s="185" t="s">
        <v>2106</v>
      </c>
    </row>
    <row r="84" spans="1:5" x14ac:dyDescent="0.3">
      <c r="A84" s="119" t="s">
        <v>1300</v>
      </c>
      <c r="B84" s="140" t="s">
        <v>226</v>
      </c>
      <c r="C84" s="103"/>
      <c r="D84" s="141">
        <v>60</v>
      </c>
      <c r="E84" s="185" t="s">
        <v>2106</v>
      </c>
    </row>
    <row r="85" spans="1:5" x14ac:dyDescent="0.3">
      <c r="A85" s="119" t="s">
        <v>1299</v>
      </c>
      <c r="B85" s="140" t="s">
        <v>128</v>
      </c>
      <c r="C85" s="103" t="s">
        <v>1294</v>
      </c>
      <c r="D85" s="141">
        <v>0.3</v>
      </c>
      <c r="E85" s="185" t="s">
        <v>2108</v>
      </c>
    </row>
    <row r="86" spans="1:5" x14ac:dyDescent="0.3">
      <c r="A86" s="119" t="s">
        <v>1295</v>
      </c>
      <c r="B86" s="140" t="s">
        <v>226</v>
      </c>
      <c r="C86" s="103"/>
      <c r="D86" s="141">
        <v>60</v>
      </c>
      <c r="E86" s="185" t="s">
        <v>2106</v>
      </c>
    </row>
    <row r="87" spans="1:5" x14ac:dyDescent="0.3">
      <c r="A87" s="16" t="s">
        <v>853</v>
      </c>
      <c r="B87" s="18" t="s">
        <v>446</v>
      </c>
      <c r="C87" s="18"/>
      <c r="D87" s="27">
        <v>141.6</v>
      </c>
      <c r="E87" s="185" t="s">
        <v>2106</v>
      </c>
    </row>
    <row r="88" spans="1:5" x14ac:dyDescent="0.3">
      <c r="A88" s="16" t="s">
        <v>859</v>
      </c>
      <c r="B88" s="18" t="s">
        <v>129</v>
      </c>
      <c r="C88" s="18"/>
      <c r="D88" s="134">
        <f>'25. CHEM. &amp; MAT.'!$F$14</f>
        <v>1.25</v>
      </c>
      <c r="E88" s="185" t="s">
        <v>1581</v>
      </c>
    </row>
    <row r="89" spans="1:5" x14ac:dyDescent="0.3">
      <c r="A89" s="16" t="s">
        <v>1290</v>
      </c>
      <c r="B89" s="30" t="s">
        <v>214</v>
      </c>
      <c r="C89" s="18"/>
      <c r="D89" s="161">
        <f>'26. CHEM. SOL._MODEL'!$D$204</f>
        <v>0.97585162097131317</v>
      </c>
      <c r="E89" s="108" t="s">
        <v>2113</v>
      </c>
    </row>
    <row r="90" spans="1:5" x14ac:dyDescent="0.3">
      <c r="A90" s="16" t="s">
        <v>2301</v>
      </c>
      <c r="B90" s="30" t="s">
        <v>214</v>
      </c>
      <c r="C90" s="18"/>
      <c r="D90" s="161">
        <f>'26. CHEM. SOL._MODEL'!$D$198</f>
        <v>2.4148379028686759E-2</v>
      </c>
      <c r="E90" s="108" t="s">
        <v>2113</v>
      </c>
    </row>
    <row r="91" spans="1:5" x14ac:dyDescent="0.3">
      <c r="A91" s="16" t="s">
        <v>1291</v>
      </c>
      <c r="B91" s="30" t="s">
        <v>128</v>
      </c>
      <c r="C91" s="30" t="s">
        <v>1293</v>
      </c>
      <c r="D91" s="27">
        <v>0.1</v>
      </c>
      <c r="E91" s="185" t="s">
        <v>2108</v>
      </c>
    </row>
    <row r="92" spans="1:5" x14ac:dyDescent="0.3">
      <c r="A92" s="16" t="s">
        <v>247</v>
      </c>
      <c r="B92" s="18" t="s">
        <v>225</v>
      </c>
      <c r="C92" s="18" t="s">
        <v>339</v>
      </c>
      <c r="D92" s="27">
        <v>1</v>
      </c>
      <c r="E92" s="185" t="s">
        <v>2106</v>
      </c>
    </row>
    <row r="93" spans="1:5" x14ac:dyDescent="0.3">
      <c r="A93" s="16" t="s">
        <v>2117</v>
      </c>
      <c r="B93" s="18" t="s">
        <v>226</v>
      </c>
      <c r="C93" s="4"/>
      <c r="D93" s="247">
        <f>SUM($D$82,$D$83,$D$84,$D$86)</f>
        <v>360</v>
      </c>
      <c r="E93" s="22" t="s">
        <v>232</v>
      </c>
    </row>
    <row r="94" spans="1:5" x14ac:dyDescent="0.3">
      <c r="A94" s="578" t="s">
        <v>351</v>
      </c>
      <c r="B94" s="543" t="s">
        <v>131</v>
      </c>
      <c r="C94" s="543"/>
      <c r="D94" s="543">
        <f>'2. PROCESS RECAP '!$E$6</f>
        <v>6</v>
      </c>
      <c r="E94" s="579" t="s">
        <v>2208</v>
      </c>
    </row>
    <row r="95" spans="1:5" ht="15" thickBot="1" x14ac:dyDescent="0.35">
      <c r="A95" s="634" t="s">
        <v>246</v>
      </c>
      <c r="B95" s="635" t="s">
        <v>225</v>
      </c>
      <c r="C95" s="635"/>
      <c r="D95" s="636">
        <f>'2. PROCESS RECAP '!$H$6</f>
        <v>11</v>
      </c>
      <c r="E95" s="637" t="s">
        <v>2209</v>
      </c>
    </row>
    <row r="96" spans="1:5" x14ac:dyDescent="0.3">
      <c r="A96" s="1122" t="s">
        <v>291</v>
      </c>
      <c r="B96" s="1123"/>
      <c r="C96" s="1123"/>
      <c r="D96" s="1123"/>
      <c r="E96" s="1124"/>
    </row>
    <row r="97" spans="1:5" x14ac:dyDescent="0.3">
      <c r="A97" s="285" t="s">
        <v>716</v>
      </c>
      <c r="B97" s="15" t="s">
        <v>132</v>
      </c>
      <c r="C97" s="15" t="s">
        <v>1038</v>
      </c>
      <c r="D97" s="107">
        <f>$D$94*(($D$93+$D$93/3)/3600)*'1. USER INPUTS'!$E$23*$D$95</f>
        <v>3.7807727528126937E-2</v>
      </c>
      <c r="E97" s="276" t="s">
        <v>232</v>
      </c>
    </row>
    <row r="98" spans="1:5" x14ac:dyDescent="0.3">
      <c r="A98" s="293" t="s">
        <v>447</v>
      </c>
      <c r="B98" s="15" t="s">
        <v>128</v>
      </c>
      <c r="C98" s="15" t="s">
        <v>2300</v>
      </c>
      <c r="D98" s="107">
        <f>$D$90*$D$91*$D$95*'1. USER INPUTS'!$E$23</f>
        <v>1.1412441682031545E-4</v>
      </c>
      <c r="E98" s="276" t="s">
        <v>232</v>
      </c>
    </row>
    <row r="99" spans="1:5" x14ac:dyDescent="0.3">
      <c r="A99" s="285" t="s">
        <v>158</v>
      </c>
      <c r="B99" s="15" t="s">
        <v>128</v>
      </c>
      <c r="C99" s="15" t="s">
        <v>843</v>
      </c>
      <c r="D99" s="107">
        <f>$D$89*$D$91*$D$95*'1. USER INPUTS'!$E$23</f>
        <v>4.6118415241955509E-3</v>
      </c>
      <c r="E99" s="276" t="s">
        <v>232</v>
      </c>
    </row>
    <row r="100" spans="1:5" x14ac:dyDescent="0.3">
      <c r="A100" s="285" t="s">
        <v>158</v>
      </c>
      <c r="B100" s="15" t="s">
        <v>128</v>
      </c>
      <c r="C100" s="15" t="s">
        <v>1297</v>
      </c>
      <c r="D100" s="107">
        <f>$D$85*$D$95*'1. USER INPUTS'!$E$23</f>
        <v>1.4177897823047599E-2</v>
      </c>
      <c r="E100" s="276" t="s">
        <v>232</v>
      </c>
    </row>
    <row r="101" spans="1:5" x14ac:dyDescent="0.3">
      <c r="A101" s="293" t="s">
        <v>962</v>
      </c>
      <c r="B101" s="15" t="s">
        <v>128</v>
      </c>
      <c r="C101" s="15" t="s">
        <v>1298</v>
      </c>
      <c r="D101" s="107">
        <f>($D$87*($D$86/60)/1000)*$D$88*$D$95*'1. USER INPUTS'!$E$23</f>
        <v>8.3649597155980825E-3</v>
      </c>
      <c r="E101" s="276" t="s">
        <v>232</v>
      </c>
    </row>
    <row r="102" spans="1:5" x14ac:dyDescent="0.3">
      <c r="A102" s="1128" t="s">
        <v>292</v>
      </c>
      <c r="B102" s="1129"/>
      <c r="C102" s="1129"/>
      <c r="D102" s="1129"/>
      <c r="E102" s="1130"/>
    </row>
    <row r="103" spans="1:5" x14ac:dyDescent="0.3">
      <c r="A103" s="16" t="s">
        <v>322</v>
      </c>
      <c r="B103" s="18" t="s">
        <v>293</v>
      </c>
      <c r="C103" s="47"/>
      <c r="D103" s="147">
        <v>1</v>
      </c>
      <c r="E103" s="22"/>
    </row>
    <row r="104" spans="1:5" x14ac:dyDescent="0.3">
      <c r="A104" s="116" t="s">
        <v>386</v>
      </c>
      <c r="B104" s="112" t="s">
        <v>128</v>
      </c>
      <c r="C104" s="113" t="s">
        <v>1940</v>
      </c>
      <c r="D104" s="124">
        <f>$D$98</f>
        <v>1.1412441682031545E-4</v>
      </c>
      <c r="E104" s="291" t="s">
        <v>237</v>
      </c>
    </row>
    <row r="105" spans="1:5" x14ac:dyDescent="0.3">
      <c r="A105" s="116" t="s">
        <v>159</v>
      </c>
      <c r="B105" s="112" t="s">
        <v>521</v>
      </c>
      <c r="C105" s="113" t="s">
        <v>1940</v>
      </c>
      <c r="D105" s="124">
        <f>SUM($D$99:$D$100)/1000</f>
        <v>1.878973934724315E-5</v>
      </c>
      <c r="E105" s="291" t="s">
        <v>237</v>
      </c>
    </row>
    <row r="106" spans="1:5" ht="15" thickBot="1" x14ac:dyDescent="0.35">
      <c r="A106" s="110" t="s">
        <v>816</v>
      </c>
      <c r="B106" s="111" t="s">
        <v>128</v>
      </c>
      <c r="C106" s="111" t="s">
        <v>1933</v>
      </c>
      <c r="D106" s="117">
        <f>$D$101</f>
        <v>8.3649597155980825E-3</v>
      </c>
      <c r="E106" s="283" t="s">
        <v>237</v>
      </c>
    </row>
    <row r="107" spans="1:5" x14ac:dyDescent="0.3">
      <c r="A107" s="9"/>
      <c r="B107" s="9"/>
      <c r="C107" s="9"/>
      <c r="D107" s="9"/>
      <c r="E107" s="9"/>
    </row>
    <row r="108" spans="1:5" x14ac:dyDescent="0.3">
      <c r="A108" s="9"/>
      <c r="B108" s="9"/>
      <c r="C108" s="9"/>
      <c r="D108" s="9"/>
      <c r="E108" s="9"/>
    </row>
    <row r="109" spans="1:5" x14ac:dyDescent="0.3">
      <c r="A109" s="9"/>
      <c r="B109" s="9"/>
      <c r="C109" s="9"/>
      <c r="D109" s="9"/>
      <c r="E109" s="9"/>
    </row>
    <row r="110" spans="1:5" x14ac:dyDescent="0.3">
      <c r="A110" s="9"/>
      <c r="B110" s="9"/>
      <c r="C110" s="9"/>
      <c r="D110" s="9"/>
      <c r="E110" s="9"/>
    </row>
    <row r="111" spans="1:5" x14ac:dyDescent="0.3">
      <c r="A111" s="9"/>
      <c r="B111" s="9"/>
      <c r="C111" s="9"/>
      <c r="D111" s="9"/>
      <c r="E111" s="9"/>
    </row>
    <row r="112" spans="1:5" x14ac:dyDescent="0.3">
      <c r="A112" s="9"/>
      <c r="B112" s="9"/>
      <c r="C112" s="9"/>
      <c r="D112" s="9"/>
      <c r="E112" s="9"/>
    </row>
    <row r="113" spans="1:5" x14ac:dyDescent="0.3">
      <c r="A113" s="9"/>
      <c r="B113" s="9"/>
      <c r="C113" s="9"/>
      <c r="D113" s="9"/>
      <c r="E113" s="9"/>
    </row>
    <row r="114" spans="1:5" x14ac:dyDescent="0.3">
      <c r="A114" s="9"/>
      <c r="B114" s="9"/>
      <c r="C114" s="9"/>
      <c r="D114" s="9"/>
      <c r="E114" s="9"/>
    </row>
    <row r="115" spans="1:5" x14ac:dyDescent="0.3">
      <c r="A115" s="9"/>
      <c r="B115" s="9"/>
      <c r="C115" s="9"/>
      <c r="D115" s="9"/>
      <c r="E115" s="9"/>
    </row>
    <row r="116" spans="1:5" x14ac:dyDescent="0.3">
      <c r="A116" s="9"/>
      <c r="B116" s="9"/>
      <c r="C116" s="9"/>
      <c r="D116" s="9"/>
      <c r="E116" s="9"/>
    </row>
    <row r="117" spans="1:5" x14ac:dyDescent="0.3">
      <c r="A117" s="9"/>
      <c r="B117" s="9"/>
      <c r="C117" s="9"/>
      <c r="D117" s="9"/>
      <c r="E117" s="9"/>
    </row>
    <row r="118" spans="1:5" x14ac:dyDescent="0.3">
      <c r="A118" s="9"/>
      <c r="B118" s="9"/>
      <c r="C118" s="9"/>
      <c r="D118" s="9"/>
      <c r="E118" s="9"/>
    </row>
    <row r="119" spans="1:5" x14ac:dyDescent="0.3">
      <c r="A119" s="9"/>
      <c r="B119" s="9"/>
      <c r="C119" s="9"/>
      <c r="D119" s="9"/>
      <c r="E119" s="9"/>
    </row>
    <row r="120" spans="1:5" x14ac:dyDescent="0.3">
      <c r="A120" s="9"/>
      <c r="B120" s="9"/>
      <c r="C120" s="9"/>
      <c r="D120" s="9"/>
      <c r="E120" s="9"/>
    </row>
    <row r="121" spans="1:5" x14ac:dyDescent="0.3">
      <c r="A121" s="9"/>
      <c r="B121" s="9"/>
      <c r="C121" s="9"/>
      <c r="D121" s="9"/>
      <c r="E121" s="9"/>
    </row>
    <row r="122" spans="1:5" x14ac:dyDescent="0.3">
      <c r="A122" s="9"/>
      <c r="B122" s="9"/>
      <c r="C122" s="9"/>
      <c r="D122" s="9"/>
      <c r="E122" s="9"/>
    </row>
    <row r="123" spans="1:5" x14ac:dyDescent="0.3">
      <c r="A123" s="9"/>
      <c r="B123" s="9"/>
      <c r="C123" s="9"/>
      <c r="D123" s="9"/>
      <c r="E123" s="9"/>
    </row>
    <row r="124" spans="1:5" x14ac:dyDescent="0.3">
      <c r="A124" s="9"/>
      <c r="B124" s="9"/>
      <c r="C124" s="9"/>
      <c r="D124" s="9"/>
      <c r="E124" s="9"/>
    </row>
    <row r="125" spans="1:5" x14ac:dyDescent="0.3">
      <c r="A125" s="9"/>
      <c r="B125" s="9"/>
      <c r="C125" s="9"/>
      <c r="D125" s="9"/>
      <c r="E125" s="9"/>
    </row>
    <row r="126" spans="1:5" x14ac:dyDescent="0.3">
      <c r="A126" s="9"/>
      <c r="B126" s="9"/>
      <c r="C126" s="9"/>
      <c r="D126" s="9"/>
      <c r="E126" s="9"/>
    </row>
    <row r="127" spans="1:5" x14ac:dyDescent="0.3">
      <c r="A127" s="9"/>
      <c r="B127" s="9"/>
      <c r="C127" s="9"/>
      <c r="D127" s="9"/>
      <c r="E127" s="9"/>
    </row>
    <row r="128" spans="1:5" x14ac:dyDescent="0.3">
      <c r="A128" s="9"/>
      <c r="B128" s="9"/>
      <c r="C128" s="9"/>
      <c r="D128" s="9"/>
      <c r="E128" s="9"/>
    </row>
    <row r="129" spans="1:5" x14ac:dyDescent="0.3">
      <c r="A129" s="9"/>
      <c r="B129" s="9"/>
      <c r="C129" s="9"/>
      <c r="D129" s="9"/>
      <c r="E129" s="9"/>
    </row>
    <row r="130" spans="1:5" x14ac:dyDescent="0.3">
      <c r="A130" s="9"/>
      <c r="B130" s="9"/>
      <c r="C130" s="9"/>
      <c r="D130" s="9"/>
      <c r="E130" s="9"/>
    </row>
    <row r="131" spans="1:5" x14ac:dyDescent="0.3">
      <c r="A131" s="9"/>
      <c r="B131" s="9"/>
      <c r="C131" s="9"/>
      <c r="D131" s="9"/>
      <c r="E131" s="9"/>
    </row>
    <row r="132" spans="1:5" x14ac:dyDescent="0.3">
      <c r="A132" s="9"/>
      <c r="B132" s="9"/>
      <c r="C132" s="9"/>
      <c r="D132" s="9"/>
      <c r="E132" s="9"/>
    </row>
    <row r="133" spans="1:5" x14ac:dyDescent="0.3">
      <c r="A133" s="9"/>
      <c r="B133" s="9"/>
      <c r="C133" s="9"/>
      <c r="D133" s="9"/>
      <c r="E133" s="9"/>
    </row>
    <row r="134" spans="1:5" x14ac:dyDescent="0.3">
      <c r="A134" s="9"/>
      <c r="B134" s="9"/>
      <c r="C134" s="9"/>
      <c r="D134" s="9"/>
      <c r="E134" s="9"/>
    </row>
    <row r="135" spans="1:5" x14ac:dyDescent="0.3">
      <c r="A135" s="9"/>
      <c r="B135" s="9"/>
      <c r="C135" s="9"/>
      <c r="D135" s="9"/>
      <c r="E135" s="9"/>
    </row>
    <row r="136" spans="1:5" x14ac:dyDescent="0.3">
      <c r="A136" s="9"/>
      <c r="B136" s="9"/>
      <c r="C136" s="9"/>
      <c r="D136" s="9"/>
      <c r="E136" s="9"/>
    </row>
    <row r="137" spans="1:5" x14ac:dyDescent="0.3">
      <c r="A137" s="9"/>
      <c r="B137" s="9"/>
      <c r="C137" s="9"/>
      <c r="D137" s="9"/>
      <c r="E137" s="9"/>
    </row>
    <row r="138" spans="1:5" x14ac:dyDescent="0.3">
      <c r="A138" s="9"/>
      <c r="B138" s="9"/>
      <c r="C138" s="9"/>
      <c r="D138" s="9"/>
      <c r="E138" s="9"/>
    </row>
    <row r="139" spans="1:5" x14ac:dyDescent="0.3">
      <c r="A139" s="9"/>
      <c r="B139" s="9"/>
      <c r="C139" s="9"/>
      <c r="D139" s="9"/>
      <c r="E139" s="9"/>
    </row>
    <row r="140" spans="1:5" x14ac:dyDescent="0.3">
      <c r="A140" s="9"/>
      <c r="B140" s="9"/>
      <c r="C140" s="9"/>
      <c r="D140" s="9"/>
      <c r="E140" s="9"/>
    </row>
    <row r="141" spans="1:5" x14ac:dyDescent="0.3">
      <c r="A141" s="9"/>
      <c r="B141" s="9"/>
      <c r="C141" s="9"/>
      <c r="D141" s="9"/>
      <c r="E141" s="9"/>
    </row>
    <row r="142" spans="1:5" x14ac:dyDescent="0.3">
      <c r="A142" s="9"/>
      <c r="B142" s="9"/>
      <c r="C142" s="9"/>
      <c r="D142" s="9"/>
      <c r="E142" s="9"/>
    </row>
    <row r="143" spans="1:5" x14ac:dyDescent="0.3">
      <c r="A143" s="9"/>
      <c r="B143" s="9"/>
      <c r="C143" s="9"/>
      <c r="D143" s="9"/>
      <c r="E143" s="9"/>
    </row>
    <row r="144" spans="1:5" x14ac:dyDescent="0.3">
      <c r="A144" s="9"/>
      <c r="B144" s="9"/>
      <c r="C144" s="9"/>
      <c r="D144" s="9"/>
      <c r="E144" s="9"/>
    </row>
    <row r="145" spans="1:5" x14ac:dyDescent="0.3">
      <c r="A145" s="9"/>
      <c r="B145" s="9"/>
      <c r="C145" s="9"/>
      <c r="D145" s="9"/>
      <c r="E145" s="9"/>
    </row>
    <row r="146" spans="1:5" x14ac:dyDescent="0.3">
      <c r="A146" s="9"/>
      <c r="B146" s="9"/>
      <c r="C146" s="9"/>
      <c r="D146" s="9"/>
      <c r="E146" s="9"/>
    </row>
    <row r="147" spans="1:5" x14ac:dyDescent="0.3">
      <c r="A147" s="9"/>
      <c r="B147" s="9"/>
      <c r="C147" s="9"/>
      <c r="D147" s="9"/>
      <c r="E147" s="9"/>
    </row>
    <row r="148" spans="1:5" x14ac:dyDescent="0.3">
      <c r="A148" s="9"/>
      <c r="B148" s="9"/>
      <c r="C148" s="9"/>
      <c r="D148" s="9"/>
      <c r="E148" s="9"/>
    </row>
    <row r="149" spans="1:5" x14ac:dyDescent="0.3">
      <c r="A149" s="9"/>
      <c r="B149" s="9"/>
      <c r="C149" s="9"/>
      <c r="D149" s="9"/>
      <c r="E149" s="9"/>
    </row>
    <row r="150" spans="1:5" x14ac:dyDescent="0.3">
      <c r="A150" s="9"/>
      <c r="B150" s="9"/>
      <c r="C150" s="9"/>
      <c r="D150" s="9"/>
      <c r="E150" s="9"/>
    </row>
    <row r="151" spans="1:5" x14ac:dyDescent="0.3">
      <c r="A151" s="9"/>
      <c r="B151" s="9"/>
      <c r="C151" s="9"/>
      <c r="D151" s="9"/>
      <c r="E151" s="9"/>
    </row>
    <row r="152" spans="1:5" x14ac:dyDescent="0.3">
      <c r="A152" s="9"/>
      <c r="B152" s="9"/>
      <c r="C152" s="9"/>
      <c r="D152" s="9"/>
      <c r="E152" s="9"/>
    </row>
    <row r="153" spans="1:5" x14ac:dyDescent="0.3">
      <c r="A153" s="9"/>
      <c r="B153" s="9"/>
      <c r="C153" s="9"/>
      <c r="D153" s="9"/>
      <c r="E153" s="9"/>
    </row>
    <row r="154" spans="1:5" x14ac:dyDescent="0.3">
      <c r="A154" s="9"/>
      <c r="B154" s="9"/>
      <c r="C154" s="9"/>
      <c r="D154" s="9"/>
      <c r="E154" s="9"/>
    </row>
  </sheetData>
  <sheetProtection algorithmName="SHA-512" hashValue="8PNa52vwljSjUPGP6lI1dNuUdQdxT7IhxoblsREMSD2u5ZM400Fyct0Ra/jQGgYR6TaiAQASos0bEyMIJgr/Zw==" saltValue="TzHt0cdpEb6dSul9bMhSIg==" spinCount="100000" sheet="1" objects="1" scenarios="1"/>
  <mergeCells count="16">
    <mergeCell ref="A96:E96"/>
    <mergeCell ref="A102:E102"/>
    <mergeCell ref="A5:E5"/>
    <mergeCell ref="A13:E13"/>
    <mergeCell ref="A47:E47"/>
    <mergeCell ref="A53:E53"/>
    <mergeCell ref="A56:E57"/>
    <mergeCell ref="A19:E20"/>
    <mergeCell ref="A59:A60"/>
    <mergeCell ref="B59:B60"/>
    <mergeCell ref="A69:E69"/>
    <mergeCell ref="A71:E71"/>
    <mergeCell ref="A74:E75"/>
    <mergeCell ref="E22:E23"/>
    <mergeCell ref="E59:E61"/>
    <mergeCell ref="E77:E7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82BAE-C7B4-4BDF-A162-9979AEB2AC53}">
  <dimension ref="A1:G157"/>
  <sheetViews>
    <sheetView zoomScale="85" zoomScaleNormal="85" workbookViewId="0">
      <selection activeCell="C31" sqref="C31"/>
    </sheetView>
  </sheetViews>
  <sheetFormatPr baseColWidth="10" defaultRowHeight="14.4" x14ac:dyDescent="0.3"/>
  <cols>
    <col min="1" max="1" width="84" bestFit="1" customWidth="1"/>
    <col min="2" max="2" width="8.21875" bestFit="1" customWidth="1"/>
    <col min="3" max="3" width="142.77734375" customWidth="1"/>
    <col min="4" max="4" width="10" bestFit="1" customWidth="1"/>
    <col min="5" max="5" width="70.109375" bestFit="1" customWidth="1"/>
  </cols>
  <sheetData>
    <row r="1" spans="1:5" ht="15" thickBot="1" x14ac:dyDescent="0.35">
      <c r="A1" t="s">
        <v>135</v>
      </c>
    </row>
    <row r="2" spans="1:5" ht="30" customHeight="1" thickBot="1" x14ac:dyDescent="0.35">
      <c r="A2" s="638" t="s">
        <v>1302</v>
      </c>
      <c r="B2" s="653" t="s">
        <v>142</v>
      </c>
      <c r="C2" s="654" t="s">
        <v>256</v>
      </c>
      <c r="D2" s="655" t="s">
        <v>236</v>
      </c>
      <c r="E2" s="656" t="s">
        <v>212</v>
      </c>
    </row>
    <row r="3" spans="1:5" x14ac:dyDescent="0.3">
      <c r="A3" s="18" t="s">
        <v>2186</v>
      </c>
      <c r="B3" s="18" t="s">
        <v>225</v>
      </c>
      <c r="C3" s="18"/>
      <c r="D3" s="27">
        <f>SUM($D$59,$D$110,$D$148)</f>
        <v>16</v>
      </c>
      <c r="E3" s="22" t="s">
        <v>232</v>
      </c>
    </row>
    <row r="4" spans="1:5" x14ac:dyDescent="0.3">
      <c r="A4" s="18" t="s">
        <v>2178</v>
      </c>
      <c r="B4" s="18" t="s">
        <v>226</v>
      </c>
      <c r="C4" s="18"/>
      <c r="D4" s="138">
        <f>SUM($D$56,$D$107,$D$146*$D$148)</f>
        <v>2995.2</v>
      </c>
      <c r="E4" s="22" t="s">
        <v>232</v>
      </c>
    </row>
    <row r="5" spans="1:5" x14ac:dyDescent="0.3">
      <c r="A5" s="1125" t="s">
        <v>291</v>
      </c>
      <c r="B5" s="1126"/>
      <c r="C5" s="1126"/>
      <c r="D5" s="1126"/>
      <c r="E5" s="1127"/>
    </row>
    <row r="6" spans="1:5" x14ac:dyDescent="0.3">
      <c r="A6" s="285" t="s">
        <v>716</v>
      </c>
      <c r="B6" s="15" t="s">
        <v>132</v>
      </c>
      <c r="C6" s="15" t="s">
        <v>2229</v>
      </c>
      <c r="D6" s="286">
        <f>SUM($D$61,$D$67:$D$69,$D$112,$D$118:$D$120,$D$150,$D$153)</f>
        <v>9.5864357369348271E-2</v>
      </c>
      <c r="E6" s="276" t="s">
        <v>237</v>
      </c>
    </row>
    <row r="7" spans="1:5" x14ac:dyDescent="0.3">
      <c r="A7" s="285" t="s">
        <v>902</v>
      </c>
      <c r="B7" s="15" t="s">
        <v>128</v>
      </c>
      <c r="C7" s="15"/>
      <c r="D7" s="286">
        <f>SUM($D$63,$D$113)</f>
        <v>4.1894656947263987E-3</v>
      </c>
      <c r="E7" s="276" t="s">
        <v>237</v>
      </c>
    </row>
    <row r="8" spans="1:5" x14ac:dyDescent="0.3">
      <c r="A8" s="293" t="s">
        <v>378</v>
      </c>
      <c r="B8" s="15" t="s">
        <v>128</v>
      </c>
      <c r="C8" s="15"/>
      <c r="D8" s="286">
        <f>SUM($D$62,$D$114)</f>
        <v>4.8377779988476293E-3</v>
      </c>
      <c r="E8" s="276" t="s">
        <v>237</v>
      </c>
    </row>
    <row r="9" spans="1:5" x14ac:dyDescent="0.3">
      <c r="A9" s="287" t="s">
        <v>375</v>
      </c>
      <c r="B9" s="15" t="s">
        <v>128</v>
      </c>
      <c r="C9" s="15"/>
      <c r="D9" s="286">
        <f>SUM($D$64,$D$115,$D$151)</f>
        <v>4.3511490666739774E-3</v>
      </c>
      <c r="E9" s="276" t="s">
        <v>237</v>
      </c>
    </row>
    <row r="10" spans="1:5" x14ac:dyDescent="0.3">
      <c r="A10" s="293" t="s">
        <v>962</v>
      </c>
      <c r="B10" s="15" t="s">
        <v>128</v>
      </c>
      <c r="C10" s="15"/>
      <c r="D10" s="286">
        <f>SUM($D$65,$D$116,$D$152)</f>
        <v>3.7604510992663256E-4</v>
      </c>
      <c r="E10" s="276" t="s">
        <v>237</v>
      </c>
    </row>
    <row r="11" spans="1:5" x14ac:dyDescent="0.3">
      <c r="A11" s="293" t="s">
        <v>860</v>
      </c>
      <c r="B11" s="15" t="s">
        <v>128</v>
      </c>
      <c r="C11" s="15"/>
      <c r="D11" s="286">
        <f>SUM($D$66,$D$117)</f>
        <v>2.6841338378633296E-4</v>
      </c>
      <c r="E11" s="276" t="s">
        <v>237</v>
      </c>
    </row>
    <row r="12" spans="1:5" x14ac:dyDescent="0.3">
      <c r="A12" s="1128" t="s">
        <v>292</v>
      </c>
      <c r="B12" s="1129"/>
      <c r="C12" s="1129"/>
      <c r="D12" s="1129"/>
      <c r="E12" s="1130"/>
    </row>
    <row r="13" spans="1:5" x14ac:dyDescent="0.3">
      <c r="A13" s="16" t="s">
        <v>322</v>
      </c>
      <c r="B13" s="18" t="s">
        <v>293</v>
      </c>
      <c r="C13" s="18"/>
      <c r="D13" s="27">
        <v>1</v>
      </c>
      <c r="E13" s="22"/>
    </row>
    <row r="14" spans="1:5" x14ac:dyDescent="0.3">
      <c r="A14" s="284" t="s">
        <v>2252</v>
      </c>
      <c r="B14" s="112" t="s">
        <v>128</v>
      </c>
      <c r="C14" s="113" t="s">
        <v>1912</v>
      </c>
      <c r="D14" s="115">
        <f>SUM($D$72,$D$123)</f>
        <v>2.4188889994238168E-4</v>
      </c>
      <c r="E14" s="282" t="s">
        <v>232</v>
      </c>
    </row>
    <row r="15" spans="1:5" x14ac:dyDescent="0.3">
      <c r="A15" s="312" t="s">
        <v>1429</v>
      </c>
      <c r="B15" s="112" t="s">
        <v>128</v>
      </c>
      <c r="C15" s="113" t="s">
        <v>1912</v>
      </c>
      <c r="D15" s="115">
        <f>SUM($D$73,$D$124)</f>
        <v>2.0947328473632014E-4</v>
      </c>
      <c r="E15" s="282" t="s">
        <v>232</v>
      </c>
    </row>
    <row r="16" spans="1:5" x14ac:dyDescent="0.3">
      <c r="A16" s="723" t="s">
        <v>2228</v>
      </c>
      <c r="B16" s="112" t="s">
        <v>128</v>
      </c>
      <c r="C16" s="113" t="s">
        <v>1912</v>
      </c>
      <c r="D16" s="115">
        <f>SUM($D$74,$D$125,$D$156)</f>
        <v>4.3511490666739774E-3</v>
      </c>
      <c r="E16" s="282" t="s">
        <v>232</v>
      </c>
    </row>
    <row r="17" spans="1:5" x14ac:dyDescent="0.3">
      <c r="A17" s="116" t="s">
        <v>816</v>
      </c>
      <c r="B17" s="112" t="s">
        <v>128</v>
      </c>
      <c r="C17" s="113" t="s">
        <v>1912</v>
      </c>
      <c r="D17" s="115">
        <f>SUM($D$75,$D$126,$D$157)</f>
        <v>3.7604510992663256E-4</v>
      </c>
      <c r="E17" s="282" t="s">
        <v>232</v>
      </c>
    </row>
    <row r="18" spans="1:5" ht="15" thickBot="1" x14ac:dyDescent="0.35">
      <c r="A18" s="726" t="s">
        <v>864</v>
      </c>
      <c r="B18" s="112" t="s">
        <v>128</v>
      </c>
      <c r="C18" s="113" t="s">
        <v>1912</v>
      </c>
      <c r="D18" s="115">
        <f>SUM($D$76,$D$127)</f>
        <v>2.6841338378633296E-4</v>
      </c>
      <c r="E18" s="282" t="s">
        <v>232</v>
      </c>
    </row>
    <row r="19" spans="1:5" x14ac:dyDescent="0.3">
      <c r="A19" s="1140"/>
      <c r="B19" s="1141"/>
      <c r="C19" s="1141"/>
      <c r="D19" s="1141"/>
      <c r="E19" s="1142"/>
    </row>
    <row r="20" spans="1:5" ht="15" thickBot="1" x14ac:dyDescent="0.35">
      <c r="A20" s="1143"/>
      <c r="B20" s="1144"/>
      <c r="C20" s="1144"/>
      <c r="D20" s="1144"/>
      <c r="E20" s="1145"/>
    </row>
    <row r="21" spans="1:5" ht="30" customHeight="1" thickBot="1" x14ac:dyDescent="0.35">
      <c r="A21" s="638" t="s">
        <v>1321</v>
      </c>
      <c r="B21" s="657" t="s">
        <v>142</v>
      </c>
      <c r="C21" s="654" t="s">
        <v>256</v>
      </c>
      <c r="D21" s="655" t="s">
        <v>236</v>
      </c>
      <c r="E21" s="656" t="s">
        <v>212</v>
      </c>
    </row>
    <row r="22" spans="1:5" x14ac:dyDescent="0.3">
      <c r="A22" s="1134" t="s">
        <v>266</v>
      </c>
      <c r="B22" s="1132" t="s">
        <v>225</v>
      </c>
      <c r="C22" s="19" t="s">
        <v>1312</v>
      </c>
      <c r="D22" s="1159" t="s">
        <v>210</v>
      </c>
      <c r="E22" s="1136" t="s">
        <v>2106</v>
      </c>
    </row>
    <row r="23" spans="1:5" x14ac:dyDescent="0.3">
      <c r="A23" s="1146"/>
      <c r="B23" s="1139"/>
      <c r="C23" s="18" t="s">
        <v>1690</v>
      </c>
      <c r="D23" s="1160"/>
      <c r="E23" s="1137"/>
    </row>
    <row r="24" spans="1:5" x14ac:dyDescent="0.3">
      <c r="A24" s="1146"/>
      <c r="B24" s="1139"/>
      <c r="C24" s="18" t="s">
        <v>1689</v>
      </c>
      <c r="D24" s="1161"/>
      <c r="E24" s="1138"/>
    </row>
    <row r="25" spans="1:5" x14ac:dyDescent="0.3">
      <c r="A25" s="16" t="s">
        <v>2028</v>
      </c>
      <c r="B25" s="18" t="s">
        <v>225</v>
      </c>
      <c r="C25" s="18" t="s">
        <v>2084</v>
      </c>
      <c r="D25" s="27" t="s">
        <v>210</v>
      </c>
      <c r="E25" s="22" t="s">
        <v>2106</v>
      </c>
    </row>
    <row r="26" spans="1:5" x14ac:dyDescent="0.3">
      <c r="A26" s="16" t="s">
        <v>268</v>
      </c>
      <c r="B26" s="18" t="s">
        <v>274</v>
      </c>
      <c r="C26" s="18" t="s">
        <v>298</v>
      </c>
      <c r="D26" s="27" t="s">
        <v>299</v>
      </c>
      <c r="E26" s="22" t="s">
        <v>2106</v>
      </c>
    </row>
    <row r="27" spans="1:5" x14ac:dyDescent="0.3">
      <c r="A27" s="16" t="s">
        <v>269</v>
      </c>
      <c r="B27" s="18" t="s">
        <v>270</v>
      </c>
      <c r="C27" s="18"/>
      <c r="D27" s="27" t="s">
        <v>1314</v>
      </c>
      <c r="E27" s="22" t="s">
        <v>2106</v>
      </c>
    </row>
    <row r="28" spans="1:5" x14ac:dyDescent="0.3">
      <c r="A28" s="16" t="s">
        <v>1315</v>
      </c>
      <c r="B28" s="18" t="s">
        <v>281</v>
      </c>
      <c r="C28" s="18" t="s">
        <v>1327</v>
      </c>
      <c r="D28" s="27">
        <v>200</v>
      </c>
      <c r="E28" s="22" t="s">
        <v>2109</v>
      </c>
    </row>
    <row r="29" spans="1:5" x14ac:dyDescent="0.3">
      <c r="A29" s="16" t="s">
        <v>1313</v>
      </c>
      <c r="B29" s="18" t="s">
        <v>271</v>
      </c>
      <c r="C29" s="18"/>
      <c r="D29" s="27">
        <v>200</v>
      </c>
      <c r="E29" s="22" t="s">
        <v>2173</v>
      </c>
    </row>
    <row r="30" spans="1:5" x14ac:dyDescent="0.3">
      <c r="A30" s="16" t="s">
        <v>1316</v>
      </c>
      <c r="B30" s="18" t="s">
        <v>281</v>
      </c>
      <c r="C30" s="18" t="s">
        <v>1329</v>
      </c>
      <c r="D30" s="27">
        <v>650</v>
      </c>
      <c r="E30" s="22" t="s">
        <v>2109</v>
      </c>
    </row>
    <row r="31" spans="1:5" x14ac:dyDescent="0.3">
      <c r="A31" s="16" t="s">
        <v>1317</v>
      </c>
      <c r="B31" s="18" t="s">
        <v>271</v>
      </c>
      <c r="C31" s="18"/>
      <c r="D31" s="27">
        <v>1000</v>
      </c>
      <c r="E31" s="22" t="s">
        <v>855</v>
      </c>
    </row>
    <row r="32" spans="1:5" x14ac:dyDescent="0.3">
      <c r="A32" s="16" t="s">
        <v>1318</v>
      </c>
      <c r="B32" s="18" t="s">
        <v>281</v>
      </c>
      <c r="C32" s="18" t="s">
        <v>1328</v>
      </c>
      <c r="D32" s="27">
        <v>770</v>
      </c>
      <c r="E32" s="22" t="s">
        <v>2109</v>
      </c>
    </row>
    <row r="33" spans="1:5" x14ac:dyDescent="0.3">
      <c r="A33" s="16" t="s">
        <v>1319</v>
      </c>
      <c r="B33" s="18" t="s">
        <v>271</v>
      </c>
      <c r="C33" s="18"/>
      <c r="D33" s="27">
        <v>500</v>
      </c>
      <c r="E33" s="22" t="s">
        <v>855</v>
      </c>
    </row>
    <row r="34" spans="1:5" x14ac:dyDescent="0.3">
      <c r="A34" s="16" t="s">
        <v>804</v>
      </c>
      <c r="B34" s="18" t="s">
        <v>531</v>
      </c>
      <c r="C34" t="s">
        <v>1337</v>
      </c>
      <c r="D34" s="27">
        <v>50</v>
      </c>
      <c r="E34" s="22" t="s">
        <v>2106</v>
      </c>
    </row>
    <row r="35" spans="1:5" x14ac:dyDescent="0.3">
      <c r="A35" s="16" t="s">
        <v>805</v>
      </c>
      <c r="B35" s="18" t="s">
        <v>806</v>
      </c>
      <c r="C35" s="18"/>
      <c r="D35" s="134">
        <f>'25. CHEM. &amp; MAT.'!$F$44</f>
        <v>6.17</v>
      </c>
      <c r="E35" s="22" t="s">
        <v>1581</v>
      </c>
    </row>
    <row r="36" spans="1:5" x14ac:dyDescent="0.3">
      <c r="A36" s="16" t="s">
        <v>903</v>
      </c>
      <c r="B36" s="18" t="s">
        <v>531</v>
      </c>
      <c r="C36" s="18"/>
      <c r="D36" s="27">
        <v>50</v>
      </c>
      <c r="E36" s="22" t="s">
        <v>2106</v>
      </c>
    </row>
    <row r="37" spans="1:5" x14ac:dyDescent="0.3">
      <c r="A37" s="16" t="s">
        <v>904</v>
      </c>
      <c r="B37" s="18" t="s">
        <v>806</v>
      </c>
      <c r="C37" s="18"/>
      <c r="D37" s="134">
        <f>'25. CHEM. &amp; MAT.'!$F$42</f>
        <v>2.9460000000000002</v>
      </c>
      <c r="E37" s="22" t="s">
        <v>1581</v>
      </c>
    </row>
    <row r="38" spans="1:5" x14ac:dyDescent="0.3">
      <c r="A38" s="16" t="s">
        <v>807</v>
      </c>
      <c r="B38" s="18" t="s">
        <v>531</v>
      </c>
      <c r="C38" s="18" t="s">
        <v>1335</v>
      </c>
      <c r="D38" s="27">
        <v>50</v>
      </c>
      <c r="E38" s="22" t="s">
        <v>2106</v>
      </c>
    </row>
    <row r="39" spans="1:5" x14ac:dyDescent="0.3">
      <c r="A39" s="16" t="s">
        <v>808</v>
      </c>
      <c r="B39" s="18" t="s">
        <v>806</v>
      </c>
      <c r="C39" s="18"/>
      <c r="D39" s="134">
        <f>'25. CHEM. &amp; MAT.'!$F$13</f>
        <v>1.429</v>
      </c>
      <c r="E39" s="22" t="s">
        <v>1581</v>
      </c>
    </row>
    <row r="40" spans="1:5" x14ac:dyDescent="0.3">
      <c r="A40" s="16" t="s">
        <v>853</v>
      </c>
      <c r="B40" s="18" t="s">
        <v>531</v>
      </c>
      <c r="C40" s="18" t="s">
        <v>1330</v>
      </c>
      <c r="D40" s="27">
        <v>10</v>
      </c>
      <c r="E40" s="22" t="s">
        <v>2106</v>
      </c>
    </row>
    <row r="41" spans="1:5" x14ac:dyDescent="0.3">
      <c r="A41" s="16" t="s">
        <v>859</v>
      </c>
      <c r="B41" s="18" t="s">
        <v>806</v>
      </c>
      <c r="C41" s="18"/>
      <c r="D41" s="134">
        <f>'25. CHEM. &amp; MAT.'!$F$14</f>
        <v>1.25</v>
      </c>
      <c r="E41" s="22" t="s">
        <v>1581</v>
      </c>
    </row>
    <row r="42" spans="1:5" x14ac:dyDescent="0.3">
      <c r="A42" s="16" t="s">
        <v>862</v>
      </c>
      <c r="B42" s="18" t="s">
        <v>531</v>
      </c>
      <c r="C42" s="18" t="s">
        <v>1331</v>
      </c>
      <c r="D42" s="27">
        <v>50</v>
      </c>
      <c r="E42" s="22" t="s">
        <v>2106</v>
      </c>
    </row>
    <row r="43" spans="1:5" x14ac:dyDescent="0.3">
      <c r="A43" s="16" t="s">
        <v>861</v>
      </c>
      <c r="B43" s="18" t="s">
        <v>806</v>
      </c>
      <c r="C43" s="18"/>
      <c r="D43" s="134">
        <f>'25. CHEM. &amp; MAT.'!F16</f>
        <v>0.17849999999999999</v>
      </c>
      <c r="E43" s="22" t="s">
        <v>1581</v>
      </c>
    </row>
    <row r="44" spans="1:5" x14ac:dyDescent="0.3">
      <c r="A44" s="16" t="s">
        <v>863</v>
      </c>
      <c r="B44" s="18" t="s">
        <v>226</v>
      </c>
      <c r="C44" s="18"/>
      <c r="D44" s="18">
        <v>60</v>
      </c>
      <c r="E44" s="22" t="s">
        <v>2106</v>
      </c>
    </row>
    <row r="45" spans="1:5" x14ac:dyDescent="0.3">
      <c r="A45" s="16" t="s">
        <v>1322</v>
      </c>
      <c r="B45" s="18" t="s">
        <v>226</v>
      </c>
      <c r="C45" s="18"/>
      <c r="D45" s="18">
        <f>($D$28/$D$29)*60</f>
        <v>60</v>
      </c>
      <c r="E45" s="22" t="s">
        <v>232</v>
      </c>
    </row>
    <row r="46" spans="1:5" x14ac:dyDescent="0.3">
      <c r="A46" s="16" t="s">
        <v>1323</v>
      </c>
      <c r="B46" s="18" t="s">
        <v>226</v>
      </c>
      <c r="C46" s="18"/>
      <c r="D46" s="18">
        <f>($D$30/$D$31)*60</f>
        <v>39</v>
      </c>
      <c r="E46" s="22" t="s">
        <v>232</v>
      </c>
    </row>
    <row r="47" spans="1:5" x14ac:dyDescent="0.3">
      <c r="A47" s="16" t="s">
        <v>1324</v>
      </c>
      <c r="B47" s="18" t="s">
        <v>226</v>
      </c>
      <c r="C47" s="18"/>
      <c r="D47" s="18">
        <f>($D$32/$D$33)*60</f>
        <v>92.4</v>
      </c>
      <c r="E47" s="22" t="s">
        <v>232</v>
      </c>
    </row>
    <row r="48" spans="1:5" x14ac:dyDescent="0.3">
      <c r="A48" s="16" t="s">
        <v>1410</v>
      </c>
      <c r="B48" s="18" t="s">
        <v>226</v>
      </c>
      <c r="C48" s="18" t="s">
        <v>1409</v>
      </c>
      <c r="D48" s="18">
        <v>60</v>
      </c>
      <c r="E48" s="22" t="s">
        <v>2106</v>
      </c>
    </row>
    <row r="49" spans="1:5" x14ac:dyDescent="0.3">
      <c r="A49" s="16" t="s">
        <v>247</v>
      </c>
      <c r="B49" s="18" t="s">
        <v>225</v>
      </c>
      <c r="C49" s="18" t="s">
        <v>339</v>
      </c>
      <c r="D49" s="18">
        <v>1</v>
      </c>
      <c r="E49" s="22" t="s">
        <v>2106</v>
      </c>
    </row>
    <row r="50" spans="1:5" x14ac:dyDescent="0.3">
      <c r="A50" s="16" t="s">
        <v>1833</v>
      </c>
      <c r="B50" s="18" t="s">
        <v>226</v>
      </c>
      <c r="C50" s="18"/>
      <c r="D50" s="144">
        <f>SUM(D44,D45,D48)</f>
        <v>180</v>
      </c>
      <c r="E50" s="22" t="s">
        <v>232</v>
      </c>
    </row>
    <row r="51" spans="1:5" x14ac:dyDescent="0.3">
      <c r="A51" s="16" t="s">
        <v>1836</v>
      </c>
      <c r="B51" s="18" t="s">
        <v>225</v>
      </c>
      <c r="C51" s="18"/>
      <c r="D51" s="144">
        <f>'2. PROCESS RECAP '!$H$22</f>
        <v>1</v>
      </c>
      <c r="E51" s="22" t="s">
        <v>2109</v>
      </c>
    </row>
    <row r="52" spans="1:5" x14ac:dyDescent="0.3">
      <c r="A52" s="16" t="s">
        <v>1832</v>
      </c>
      <c r="B52" s="18" t="s">
        <v>226</v>
      </c>
      <c r="C52" s="18"/>
      <c r="D52" s="144">
        <f>SUM(D44,D46,D48)</f>
        <v>159</v>
      </c>
      <c r="E52" s="22" t="s">
        <v>232</v>
      </c>
    </row>
    <row r="53" spans="1:5" x14ac:dyDescent="0.3">
      <c r="A53" s="16" t="s">
        <v>1837</v>
      </c>
      <c r="B53" s="18" t="s">
        <v>225</v>
      </c>
      <c r="C53" s="18"/>
      <c r="D53" s="144">
        <f>'2. PROCESS RECAP '!$H$20</f>
        <v>2</v>
      </c>
      <c r="E53" s="22" t="s">
        <v>2109</v>
      </c>
    </row>
    <row r="54" spans="1:5" x14ac:dyDescent="0.3">
      <c r="A54" s="16" t="s">
        <v>1834</v>
      </c>
      <c r="B54" s="18" t="s">
        <v>226</v>
      </c>
      <c r="C54" s="18"/>
      <c r="D54" s="144">
        <f>SUM(D44,D47,D48)</f>
        <v>212.4</v>
      </c>
      <c r="E54" s="22" t="s">
        <v>232</v>
      </c>
    </row>
    <row r="55" spans="1:5" x14ac:dyDescent="0.3">
      <c r="A55" s="16" t="s">
        <v>1835</v>
      </c>
      <c r="B55" s="18" t="s">
        <v>225</v>
      </c>
      <c r="C55" s="18"/>
      <c r="D55" s="144">
        <f>'2. PROCESS RECAP '!$H$23</f>
        <v>3</v>
      </c>
      <c r="E55" s="22" t="s">
        <v>2109</v>
      </c>
    </row>
    <row r="56" spans="1:5" x14ac:dyDescent="0.3">
      <c r="A56" s="16" t="s">
        <v>858</v>
      </c>
      <c r="B56" s="18" t="s">
        <v>226</v>
      </c>
      <c r="C56" s="18"/>
      <c r="D56" s="138">
        <f>SUM(D50*D51,D52*D53,D54*D55)</f>
        <v>1135.2</v>
      </c>
      <c r="E56" s="22" t="s">
        <v>232</v>
      </c>
    </row>
    <row r="57" spans="1:5" x14ac:dyDescent="0.3">
      <c r="A57" s="578" t="s">
        <v>2317</v>
      </c>
      <c r="B57" s="543" t="s">
        <v>214</v>
      </c>
      <c r="C57" s="543"/>
      <c r="D57" s="781">
        <f>'1. USER INPUTS'!$E$30</f>
        <v>0.95</v>
      </c>
      <c r="E57" s="579" t="s">
        <v>398</v>
      </c>
    </row>
    <row r="58" spans="1:5" x14ac:dyDescent="0.3">
      <c r="A58" s="578" t="s">
        <v>351</v>
      </c>
      <c r="B58" s="543" t="s">
        <v>131</v>
      </c>
      <c r="C58" s="543"/>
      <c r="D58" s="693">
        <f>'2. PROCESS RECAP '!$E$20</f>
        <v>21.8</v>
      </c>
      <c r="E58" s="579" t="s">
        <v>2208</v>
      </c>
    </row>
    <row r="59" spans="1:5" ht="15" thickBot="1" x14ac:dyDescent="0.35">
      <c r="A59" s="634" t="s">
        <v>246</v>
      </c>
      <c r="B59" s="635" t="s">
        <v>225</v>
      </c>
      <c r="C59" s="635"/>
      <c r="D59" s="636">
        <f>SUM($D$51,$D$53,$D$55)</f>
        <v>6</v>
      </c>
      <c r="E59" s="637" t="s">
        <v>2209</v>
      </c>
    </row>
    <row r="60" spans="1:5" x14ac:dyDescent="0.3">
      <c r="A60" s="1122" t="s">
        <v>291</v>
      </c>
      <c r="B60" s="1123"/>
      <c r="C60" s="1123"/>
      <c r="D60" s="1123"/>
      <c r="E60" s="1124"/>
    </row>
    <row r="61" spans="1:5" x14ac:dyDescent="0.3">
      <c r="A61" s="285" t="s">
        <v>716</v>
      </c>
      <c r="B61" s="15" t="s">
        <v>132</v>
      </c>
      <c r="C61" s="15" t="s">
        <v>1038</v>
      </c>
      <c r="D61" s="286">
        <f>($D$58*(($D$56+$D$56/3)/3600))*'1. USER INPUTS'!$E$23</f>
        <v>3.9378848649851327E-2</v>
      </c>
      <c r="E61" s="276" t="s">
        <v>237</v>
      </c>
    </row>
    <row r="62" spans="1:5" x14ac:dyDescent="0.3">
      <c r="A62" s="293" t="s">
        <v>378</v>
      </c>
      <c r="B62" s="15" t="s">
        <v>128</v>
      </c>
      <c r="C62" s="15"/>
      <c r="D62" s="286">
        <f>((($D$34*(SUM($D$45:$D$46)/60))*($D$35/1000))/$D$49)*'1. USER INPUTS'!$E$23</f>
        <v>2.1869407392050926E-3</v>
      </c>
      <c r="E62" s="276" t="s">
        <v>237</v>
      </c>
    </row>
    <row r="63" spans="1:5" x14ac:dyDescent="0.3">
      <c r="A63" s="285" t="s">
        <v>902</v>
      </c>
      <c r="B63" s="15" t="s">
        <v>128</v>
      </c>
      <c r="C63" s="15"/>
      <c r="D63" s="286">
        <f>((($D$36*($D$47/60))*($D$37/1000))/$D$49)*$D$55*'1. USER INPUTS'!$E$23</f>
        <v>2.9237660890688764E-3</v>
      </c>
      <c r="E63" s="276" t="s">
        <v>237</v>
      </c>
    </row>
    <row r="64" spans="1:5" x14ac:dyDescent="0.3">
      <c r="A64" s="287" t="s">
        <v>375</v>
      </c>
      <c r="B64" s="15" t="s">
        <v>128</v>
      </c>
      <c r="C64" s="15"/>
      <c r="D64" s="286">
        <f>(($D$38*(($D$56-($D$59*$D$49))/60))*0.001*'1. USER INPUTS'!$E$23)</f>
        <v>4.0428490459053917E-3</v>
      </c>
      <c r="E64" s="276" t="s">
        <v>237</v>
      </c>
    </row>
    <row r="65" spans="1:7" x14ac:dyDescent="0.3">
      <c r="A65" s="293" t="s">
        <v>962</v>
      </c>
      <c r="B65" s="15" t="s">
        <v>128</v>
      </c>
      <c r="C65" s="15"/>
      <c r="D65" s="286">
        <f>(($D$40*(($D$44*$D$59)/60))*$D$41*0.001)*'1. USER INPUTS'!$E$23</f>
        <v>3.222249505238091E-4</v>
      </c>
      <c r="E65" s="276" t="s">
        <v>237</v>
      </c>
    </row>
    <row r="66" spans="1:7" x14ac:dyDescent="0.3">
      <c r="A66" s="316" t="s">
        <v>860</v>
      </c>
      <c r="B66" s="15" t="s">
        <v>128</v>
      </c>
      <c r="C66" s="15"/>
      <c r="D66" s="286">
        <f>(($D$42*(($D$44*$D$59)/60))*$D$43*0.001)*'1. USER INPUTS'!$E$23</f>
        <v>2.3006861467399968E-4</v>
      </c>
      <c r="E66" s="276" t="s">
        <v>237</v>
      </c>
    </row>
    <row r="67" spans="1:7" x14ac:dyDescent="0.3">
      <c r="A67" s="262" t="s">
        <v>716</v>
      </c>
      <c r="B67" s="39" t="s">
        <v>132</v>
      </c>
      <c r="C67" s="15" t="s">
        <v>905</v>
      </c>
      <c r="D67" s="286">
        <f>(5*(($D$56+$D$56/3)/3600))*'1. USER INPUTS'!$E$23</f>
        <v>9.0318460206081034E-3</v>
      </c>
      <c r="E67" s="276" t="s">
        <v>237</v>
      </c>
    </row>
    <row r="68" spans="1:7" x14ac:dyDescent="0.3">
      <c r="A68" s="262" t="s">
        <v>716</v>
      </c>
      <c r="B68" s="39" t="s">
        <v>132</v>
      </c>
      <c r="C68" s="15" t="s">
        <v>906</v>
      </c>
      <c r="D68" s="286">
        <f>(5*(($D$56+$D$56/3)/3600))*'1. USER INPUTS'!$E$23</f>
        <v>9.0318460206081034E-3</v>
      </c>
      <c r="E68" s="276" t="s">
        <v>237</v>
      </c>
    </row>
    <row r="69" spans="1:7" x14ac:dyDescent="0.3">
      <c r="A69" s="262" t="s">
        <v>716</v>
      </c>
      <c r="B69" s="39" t="s">
        <v>132</v>
      </c>
      <c r="C69" s="15" t="s">
        <v>2251</v>
      </c>
      <c r="D69" s="286">
        <f>(11*(($D$56+$D$56/3)/3600))*'1. USER INPUTS'!$E$23</f>
        <v>1.9870061245337824E-2</v>
      </c>
      <c r="E69" s="276" t="s">
        <v>237</v>
      </c>
    </row>
    <row r="70" spans="1:7" x14ac:dyDescent="0.3">
      <c r="A70" s="1128" t="s">
        <v>292</v>
      </c>
      <c r="B70" s="1129"/>
      <c r="C70" s="1129"/>
      <c r="D70" s="1129"/>
      <c r="E70" s="1130"/>
    </row>
    <row r="71" spans="1:7" x14ac:dyDescent="0.3">
      <c r="A71" s="16" t="s">
        <v>322</v>
      </c>
      <c r="B71" s="18" t="s">
        <v>293</v>
      </c>
      <c r="C71" s="18"/>
      <c r="D71" s="27">
        <v>1</v>
      </c>
      <c r="E71" s="22"/>
    </row>
    <row r="72" spans="1:7" x14ac:dyDescent="0.3">
      <c r="A72" s="284" t="s">
        <v>2252</v>
      </c>
      <c r="B72" s="113" t="s">
        <v>128</v>
      </c>
      <c r="C72" s="113" t="s">
        <v>1912</v>
      </c>
      <c r="D72" s="124">
        <f>(1-$D$57)*$D$62</f>
        <v>1.0934703696025473E-4</v>
      </c>
      <c r="E72" s="291" t="s">
        <v>232</v>
      </c>
    </row>
    <row r="73" spans="1:7" x14ac:dyDescent="0.3">
      <c r="A73" s="312" t="s">
        <v>1429</v>
      </c>
      <c r="B73" s="113" t="s">
        <v>128</v>
      </c>
      <c r="C73" s="113" t="s">
        <v>1912</v>
      </c>
      <c r="D73" s="124">
        <f>(1-$D$57)*$D$63</f>
        <v>1.4618830445344396E-4</v>
      </c>
      <c r="E73" s="291" t="s">
        <v>232</v>
      </c>
    </row>
    <row r="74" spans="1:7" x14ac:dyDescent="0.3">
      <c r="A74" s="723" t="s">
        <v>2228</v>
      </c>
      <c r="B74" s="113" t="s">
        <v>128</v>
      </c>
      <c r="C74" s="113" t="s">
        <v>1912</v>
      </c>
      <c r="D74" s="124">
        <f>$D$64</f>
        <v>4.0428490459053917E-3</v>
      </c>
      <c r="E74" s="291" t="s">
        <v>232</v>
      </c>
      <c r="G74" s="2"/>
    </row>
    <row r="75" spans="1:7" x14ac:dyDescent="0.3">
      <c r="A75" s="116" t="s">
        <v>816</v>
      </c>
      <c r="B75" s="113" t="s">
        <v>128</v>
      </c>
      <c r="C75" s="113" t="s">
        <v>1912</v>
      </c>
      <c r="D75" s="124">
        <f>$D$65</f>
        <v>3.222249505238091E-4</v>
      </c>
      <c r="E75" s="291" t="s">
        <v>232</v>
      </c>
    </row>
    <row r="76" spans="1:7" ht="15" thickBot="1" x14ac:dyDescent="0.35">
      <c r="A76" s="726" t="s">
        <v>864</v>
      </c>
      <c r="B76" s="113" t="s">
        <v>128</v>
      </c>
      <c r="C76" s="113" t="s">
        <v>1912</v>
      </c>
      <c r="D76" s="124">
        <f>$D$66</f>
        <v>2.3006861467399968E-4</v>
      </c>
      <c r="E76" s="291" t="s">
        <v>232</v>
      </c>
    </row>
    <row r="77" spans="1:7" x14ac:dyDescent="0.3">
      <c r="A77" s="1140"/>
      <c r="B77" s="1141"/>
      <c r="C77" s="1141"/>
      <c r="D77" s="1141"/>
      <c r="E77" s="1142"/>
    </row>
    <row r="78" spans="1:7" ht="15" thickBot="1" x14ac:dyDescent="0.35">
      <c r="A78" s="1143"/>
      <c r="B78" s="1144"/>
      <c r="C78" s="1144"/>
      <c r="D78" s="1144"/>
      <c r="E78" s="1145"/>
    </row>
    <row r="79" spans="1:7" ht="30" customHeight="1" thickBot="1" x14ac:dyDescent="0.35">
      <c r="A79" s="644" t="s">
        <v>1348</v>
      </c>
      <c r="B79" s="657" t="s">
        <v>142</v>
      </c>
      <c r="C79" s="654" t="s">
        <v>256</v>
      </c>
      <c r="D79" s="655" t="s">
        <v>236</v>
      </c>
      <c r="E79" s="656" t="s">
        <v>212</v>
      </c>
    </row>
    <row r="80" spans="1:7" x14ac:dyDescent="0.3">
      <c r="A80" s="1134" t="s">
        <v>266</v>
      </c>
      <c r="B80" s="1132" t="s">
        <v>225</v>
      </c>
      <c r="C80" s="155" t="s">
        <v>304</v>
      </c>
      <c r="D80" s="1159" t="s">
        <v>210</v>
      </c>
      <c r="E80" s="1136" t="s">
        <v>2106</v>
      </c>
    </row>
    <row r="81" spans="1:5" x14ac:dyDescent="0.3">
      <c r="A81" s="1146"/>
      <c r="B81" s="1139"/>
      <c r="C81" s="156" t="s">
        <v>1336</v>
      </c>
      <c r="D81" s="1160"/>
      <c r="E81" s="1137"/>
    </row>
    <row r="82" spans="1:5" x14ac:dyDescent="0.3">
      <c r="A82" s="1146"/>
      <c r="B82" s="1139"/>
      <c r="C82" s="18" t="s">
        <v>302</v>
      </c>
      <c r="D82" s="1160"/>
      <c r="E82" s="1137"/>
    </row>
    <row r="83" spans="1:5" x14ac:dyDescent="0.3">
      <c r="A83" s="1146"/>
      <c r="B83" s="1139"/>
      <c r="C83" s="18" t="s">
        <v>301</v>
      </c>
      <c r="D83" s="1160"/>
      <c r="E83" s="1137"/>
    </row>
    <row r="84" spans="1:5" x14ac:dyDescent="0.3">
      <c r="A84" s="1135"/>
      <c r="B84" s="1133"/>
      <c r="C84" s="18" t="s">
        <v>303</v>
      </c>
      <c r="D84" s="1161"/>
      <c r="E84" s="1138"/>
    </row>
    <row r="85" spans="1:5" x14ac:dyDescent="0.3">
      <c r="A85" s="16" t="s">
        <v>2028</v>
      </c>
      <c r="B85" s="18" t="s">
        <v>225</v>
      </c>
      <c r="C85" s="18" t="s">
        <v>1118</v>
      </c>
      <c r="D85" s="27" t="s">
        <v>210</v>
      </c>
      <c r="E85" s="22" t="s">
        <v>2106</v>
      </c>
    </row>
    <row r="86" spans="1:5" x14ac:dyDescent="0.3">
      <c r="A86" s="16" t="s">
        <v>268</v>
      </c>
      <c r="B86" s="18" t="s">
        <v>274</v>
      </c>
      <c r="C86" s="18" t="s">
        <v>298</v>
      </c>
      <c r="D86" s="27" t="s">
        <v>299</v>
      </c>
      <c r="E86" s="22" t="s">
        <v>2106</v>
      </c>
    </row>
    <row r="87" spans="1:5" x14ac:dyDescent="0.3">
      <c r="A87" s="16" t="s">
        <v>269</v>
      </c>
      <c r="B87" s="18" t="s">
        <v>270</v>
      </c>
      <c r="C87" s="18"/>
      <c r="D87" s="27" t="s">
        <v>1314</v>
      </c>
      <c r="E87" s="22" t="s">
        <v>2106</v>
      </c>
    </row>
    <row r="88" spans="1:5" x14ac:dyDescent="0.3">
      <c r="A88" s="16" t="s">
        <v>1339</v>
      </c>
      <c r="B88" s="18" t="s">
        <v>261</v>
      </c>
      <c r="C88" s="18" t="s">
        <v>453</v>
      </c>
      <c r="D88" s="27">
        <v>5</v>
      </c>
      <c r="E88" s="22" t="s">
        <v>2109</v>
      </c>
    </row>
    <row r="89" spans="1:5" x14ac:dyDescent="0.3">
      <c r="A89" s="16" t="s">
        <v>1340</v>
      </c>
      <c r="B89" s="18" t="s">
        <v>261</v>
      </c>
      <c r="C89" s="18"/>
      <c r="D89" s="27">
        <v>1</v>
      </c>
      <c r="E89" s="22" t="s">
        <v>2109</v>
      </c>
    </row>
    <row r="90" spans="1:5" x14ac:dyDescent="0.3">
      <c r="A90" s="16" t="s">
        <v>356</v>
      </c>
      <c r="B90" s="18" t="s">
        <v>225</v>
      </c>
      <c r="C90" s="18"/>
      <c r="D90" s="183" t="s">
        <v>1341</v>
      </c>
      <c r="E90" s="22" t="s">
        <v>232</v>
      </c>
    </row>
    <row r="91" spans="1:5" x14ac:dyDescent="0.3">
      <c r="A91" s="16" t="s">
        <v>1317</v>
      </c>
      <c r="B91" s="18" t="s">
        <v>296</v>
      </c>
      <c r="C91" s="18"/>
      <c r="D91" s="27">
        <v>2.5</v>
      </c>
      <c r="E91" s="22" t="s">
        <v>1320</v>
      </c>
    </row>
    <row r="92" spans="1:5" x14ac:dyDescent="0.3">
      <c r="A92" s="16" t="s">
        <v>903</v>
      </c>
      <c r="B92" s="18" t="s">
        <v>531</v>
      </c>
      <c r="C92" s="18" t="s">
        <v>1342</v>
      </c>
      <c r="D92" s="27">
        <v>50</v>
      </c>
      <c r="E92" s="22" t="s">
        <v>2106</v>
      </c>
    </row>
    <row r="93" spans="1:5" x14ac:dyDescent="0.3">
      <c r="A93" s="16" t="s">
        <v>904</v>
      </c>
      <c r="B93" s="18" t="s">
        <v>806</v>
      </c>
      <c r="C93" s="18"/>
      <c r="D93" s="134">
        <f>'25. CHEM. &amp; MAT.'!$F$42</f>
        <v>2.9460000000000002</v>
      </c>
      <c r="E93" s="22" t="s">
        <v>1581</v>
      </c>
    </row>
    <row r="94" spans="1:5" x14ac:dyDescent="0.3">
      <c r="A94" s="16" t="s">
        <v>804</v>
      </c>
      <c r="B94" s="18" t="s">
        <v>531</v>
      </c>
      <c r="C94" t="s">
        <v>1337</v>
      </c>
      <c r="D94" s="27">
        <v>50</v>
      </c>
      <c r="E94" s="22" t="s">
        <v>2106</v>
      </c>
    </row>
    <row r="95" spans="1:5" x14ac:dyDescent="0.3">
      <c r="A95" s="16" t="s">
        <v>805</v>
      </c>
      <c r="B95" s="18" t="s">
        <v>806</v>
      </c>
      <c r="C95" s="18"/>
      <c r="D95" s="134">
        <f>'25. CHEM. &amp; MAT.'!$F$44</f>
        <v>6.17</v>
      </c>
      <c r="E95" s="22" t="s">
        <v>1581</v>
      </c>
    </row>
    <row r="96" spans="1:5" x14ac:dyDescent="0.3">
      <c r="A96" s="16" t="s">
        <v>1338</v>
      </c>
      <c r="B96" s="18" t="s">
        <v>225</v>
      </c>
      <c r="C96" s="18"/>
      <c r="D96" s="138">
        <f>D94/D92</f>
        <v>1</v>
      </c>
      <c r="E96" s="22" t="s">
        <v>2106</v>
      </c>
    </row>
    <row r="97" spans="1:5" x14ac:dyDescent="0.3">
      <c r="A97" s="16" t="s">
        <v>807</v>
      </c>
      <c r="B97" s="18" t="s">
        <v>531</v>
      </c>
      <c r="C97" s="18" t="s">
        <v>1343</v>
      </c>
      <c r="D97" s="27">
        <v>50</v>
      </c>
      <c r="E97" s="22" t="s">
        <v>2106</v>
      </c>
    </row>
    <row r="98" spans="1:5" x14ac:dyDescent="0.3">
      <c r="A98" s="16" t="s">
        <v>808</v>
      </c>
      <c r="B98" s="18" t="s">
        <v>806</v>
      </c>
      <c r="C98" s="18"/>
      <c r="D98" s="134">
        <f>'25. CHEM. &amp; MAT.'!$F$13</f>
        <v>1.429</v>
      </c>
      <c r="E98" s="22" t="s">
        <v>1581</v>
      </c>
    </row>
    <row r="99" spans="1:5" x14ac:dyDescent="0.3">
      <c r="A99" s="16" t="s">
        <v>853</v>
      </c>
      <c r="B99" s="18" t="s">
        <v>531</v>
      </c>
      <c r="C99" s="18" t="s">
        <v>1330</v>
      </c>
      <c r="D99" s="27">
        <v>10</v>
      </c>
      <c r="E99" s="22" t="s">
        <v>2106</v>
      </c>
    </row>
    <row r="100" spans="1:5" x14ac:dyDescent="0.3">
      <c r="A100" s="16" t="s">
        <v>859</v>
      </c>
      <c r="B100" s="18" t="s">
        <v>806</v>
      </c>
      <c r="C100" s="18"/>
      <c r="D100" s="134">
        <f>'25. CHEM. &amp; MAT.'!$F$14</f>
        <v>1.25</v>
      </c>
      <c r="E100" s="22" t="s">
        <v>1581</v>
      </c>
    </row>
    <row r="101" spans="1:5" x14ac:dyDescent="0.3">
      <c r="A101" s="16" t="s">
        <v>862</v>
      </c>
      <c r="B101" s="18" t="s">
        <v>531</v>
      </c>
      <c r="C101" s="18" t="s">
        <v>1331</v>
      </c>
      <c r="D101" s="27">
        <v>50</v>
      </c>
      <c r="E101" s="22" t="s">
        <v>2106</v>
      </c>
    </row>
    <row r="102" spans="1:5" x14ac:dyDescent="0.3">
      <c r="A102" s="16" t="s">
        <v>861</v>
      </c>
      <c r="B102" s="18" t="s">
        <v>806</v>
      </c>
      <c r="C102" s="18"/>
      <c r="D102" s="134">
        <f>'25. CHEM. &amp; MAT.'!$F$16</f>
        <v>0.17849999999999999</v>
      </c>
      <c r="E102" s="22" t="s">
        <v>1581</v>
      </c>
    </row>
    <row r="103" spans="1:5" x14ac:dyDescent="0.3">
      <c r="A103" s="16" t="s">
        <v>863</v>
      </c>
      <c r="B103" s="18" t="s">
        <v>226</v>
      </c>
      <c r="C103" s="18"/>
      <c r="D103" s="18">
        <v>60</v>
      </c>
      <c r="E103" s="22" t="s">
        <v>2106</v>
      </c>
    </row>
    <row r="104" spans="1:5" x14ac:dyDescent="0.3">
      <c r="A104" s="16" t="s">
        <v>1323</v>
      </c>
      <c r="B104" s="18" t="s">
        <v>226</v>
      </c>
      <c r="C104" s="18"/>
      <c r="D104" s="18">
        <f>($D$88/$D$91)*60</f>
        <v>120</v>
      </c>
      <c r="E104" s="22" t="s">
        <v>232</v>
      </c>
    </row>
    <row r="105" spans="1:5" x14ac:dyDescent="0.3">
      <c r="A105" s="16" t="s">
        <v>1410</v>
      </c>
      <c r="B105" s="18" t="s">
        <v>226</v>
      </c>
      <c r="C105" s="18" t="s">
        <v>1409</v>
      </c>
      <c r="D105" s="18">
        <v>60</v>
      </c>
      <c r="E105" s="22" t="s">
        <v>2106</v>
      </c>
    </row>
    <row r="106" spans="1:5" x14ac:dyDescent="0.3">
      <c r="A106" s="16" t="s">
        <v>247</v>
      </c>
      <c r="B106" s="18" t="s">
        <v>225</v>
      </c>
      <c r="C106" s="18" t="s">
        <v>339</v>
      </c>
      <c r="D106" s="18">
        <v>1</v>
      </c>
      <c r="E106" s="22" t="s">
        <v>2106</v>
      </c>
    </row>
    <row r="107" spans="1:5" x14ac:dyDescent="0.3">
      <c r="A107" s="16" t="s">
        <v>2117</v>
      </c>
      <c r="B107" s="18" t="s">
        <v>226</v>
      </c>
      <c r="C107" s="18"/>
      <c r="D107" s="138">
        <f>SUM(D103:D105)</f>
        <v>240</v>
      </c>
      <c r="E107" s="22" t="s">
        <v>232</v>
      </c>
    </row>
    <row r="108" spans="1:5" x14ac:dyDescent="0.3">
      <c r="A108" s="578" t="s">
        <v>2317</v>
      </c>
      <c r="B108" s="543" t="s">
        <v>214</v>
      </c>
      <c r="C108" s="543"/>
      <c r="D108" s="781">
        <f>'1. USER INPUTS'!$E$30</f>
        <v>0.95</v>
      </c>
      <c r="E108" s="579" t="s">
        <v>398</v>
      </c>
    </row>
    <row r="109" spans="1:5" x14ac:dyDescent="0.3">
      <c r="A109" s="578" t="s">
        <v>351</v>
      </c>
      <c r="B109" s="543" t="s">
        <v>131</v>
      </c>
      <c r="C109" s="543"/>
      <c r="D109" s="693">
        <f>'2. PROCESS RECAP '!$E$21</f>
        <v>21.8</v>
      </c>
      <c r="E109" s="579" t="s">
        <v>2208</v>
      </c>
    </row>
    <row r="110" spans="1:5" ht="15" thickBot="1" x14ac:dyDescent="0.35">
      <c r="A110" s="634" t="s">
        <v>246</v>
      </c>
      <c r="B110" s="635" t="s">
        <v>225</v>
      </c>
      <c r="C110" s="635"/>
      <c r="D110" s="636">
        <f>'2. PROCESS RECAP '!$H$21</f>
        <v>1</v>
      </c>
      <c r="E110" s="637" t="s">
        <v>2209</v>
      </c>
    </row>
    <row r="111" spans="1:5" x14ac:dyDescent="0.3">
      <c r="A111" s="1122" t="s">
        <v>291</v>
      </c>
      <c r="B111" s="1123"/>
      <c r="C111" s="1123"/>
      <c r="D111" s="1123"/>
      <c r="E111" s="1124"/>
    </row>
    <row r="112" spans="1:5" x14ac:dyDescent="0.3">
      <c r="A112" s="285" t="s">
        <v>716</v>
      </c>
      <c r="B112" s="15" t="s">
        <v>132</v>
      </c>
      <c r="C112" s="15" t="s">
        <v>1038</v>
      </c>
      <c r="D112" s="286">
        <f>($D$109*(($D$107+$D$107/3)/3600))*'1. USER INPUTS'!$E$23*$D$110</f>
        <v>8.3253379809410822E-3</v>
      </c>
      <c r="E112" s="276" t="s">
        <v>237</v>
      </c>
    </row>
    <row r="113" spans="1:5" x14ac:dyDescent="0.3">
      <c r="A113" s="285" t="s">
        <v>902</v>
      </c>
      <c r="B113" s="15" t="s">
        <v>128</v>
      </c>
      <c r="C113" s="15"/>
      <c r="D113" s="286">
        <f>(($D$92*($D$104/60))*$D$93*0.001)*'1. USER INPUTS'!$E$23*$D$110</f>
        <v>1.2656996056575223E-3</v>
      </c>
      <c r="E113" s="276"/>
    </row>
    <row r="114" spans="1:5" x14ac:dyDescent="0.3">
      <c r="A114" s="293" t="s">
        <v>378</v>
      </c>
      <c r="B114" s="15" t="s">
        <v>128</v>
      </c>
      <c r="C114" s="15"/>
      <c r="D114" s="286">
        <f>(($D$94*($D$104/60))*$D$95*0.001)*'1. USER INPUTS'!$E$23*$D$110</f>
        <v>2.6508372596425363E-3</v>
      </c>
      <c r="E114" s="276" t="s">
        <v>237</v>
      </c>
    </row>
    <row r="115" spans="1:5" x14ac:dyDescent="0.3">
      <c r="A115" s="287" t="s">
        <v>375</v>
      </c>
      <c r="B115" s="15" t="s">
        <v>128</v>
      </c>
      <c r="C115" s="15"/>
      <c r="D115" s="286">
        <f>(($D$97*($D$105/60))*$D$98*0.001)*'1. USER INPUTS'!$E$23*$D$110</f>
        <v>3.069729695323488E-4</v>
      </c>
      <c r="E115" s="276" t="s">
        <v>237</v>
      </c>
    </row>
    <row r="116" spans="1:5" x14ac:dyDescent="0.3">
      <c r="A116" s="293" t="s">
        <v>962</v>
      </c>
      <c r="B116" s="15" t="s">
        <v>128</v>
      </c>
      <c r="C116" s="15"/>
      <c r="D116" s="286">
        <f>(($D$99*($D$103/60))*$D$100*0.001)*'1. USER INPUTS'!$E$23*$D$110</f>
        <v>5.3704158420634852E-5</v>
      </c>
      <c r="E116" s="276" t="s">
        <v>237</v>
      </c>
    </row>
    <row r="117" spans="1:5" x14ac:dyDescent="0.3">
      <c r="A117" s="316" t="s">
        <v>860</v>
      </c>
      <c r="B117" s="15" t="s">
        <v>128</v>
      </c>
      <c r="C117" s="15"/>
      <c r="D117" s="286">
        <f>(($D$101*($D$103/60))*$D$102*0.001)*'1. USER INPUTS'!$E$23*$D$110</f>
        <v>3.834476911233328E-5</v>
      </c>
      <c r="E117" s="276" t="s">
        <v>237</v>
      </c>
    </row>
    <row r="118" spans="1:5" x14ac:dyDescent="0.3">
      <c r="A118" s="262" t="s">
        <v>716</v>
      </c>
      <c r="B118" s="39" t="s">
        <v>132</v>
      </c>
      <c r="C118" s="15" t="s">
        <v>905</v>
      </c>
      <c r="D118" s="286">
        <f>(5*(($D$107+$D$107/3)/3600))*'1. USER INPUTS'!$E$23*$D$110</f>
        <v>1.9094811882892392E-3</v>
      </c>
      <c r="E118" s="276" t="s">
        <v>237</v>
      </c>
    </row>
    <row r="119" spans="1:5" x14ac:dyDescent="0.3">
      <c r="A119" s="262" t="s">
        <v>716</v>
      </c>
      <c r="B119" s="39" t="s">
        <v>132</v>
      </c>
      <c r="C119" s="15" t="s">
        <v>906</v>
      </c>
      <c r="D119" s="286">
        <f>(5*(($D$107+$D$107/3)/3600))*'1. USER INPUTS'!$E$23*$D$110</f>
        <v>1.9094811882892392E-3</v>
      </c>
      <c r="E119" s="276" t="s">
        <v>237</v>
      </c>
    </row>
    <row r="120" spans="1:5" x14ac:dyDescent="0.3">
      <c r="A120" s="262" t="s">
        <v>716</v>
      </c>
      <c r="B120" s="39" t="s">
        <v>132</v>
      </c>
      <c r="C120" s="15" t="s">
        <v>2251</v>
      </c>
      <c r="D120" s="286">
        <f>(11*(($D$107+$D$107/3)/3600))*'1. USER INPUTS'!$E$23*$D$110</f>
        <v>4.2008586142363259E-3</v>
      </c>
      <c r="E120" s="276" t="s">
        <v>237</v>
      </c>
    </row>
    <row r="121" spans="1:5" x14ac:dyDescent="0.3">
      <c r="A121" s="1128" t="s">
        <v>292</v>
      </c>
      <c r="B121" s="1129"/>
      <c r="C121" s="1129"/>
      <c r="D121" s="1129"/>
      <c r="E121" s="1130"/>
    </row>
    <row r="122" spans="1:5" x14ac:dyDescent="0.3">
      <c r="A122" s="16" t="s">
        <v>322</v>
      </c>
      <c r="B122" s="18" t="s">
        <v>293</v>
      </c>
      <c r="C122" s="18"/>
      <c r="D122" s="27">
        <v>1</v>
      </c>
      <c r="E122" s="22"/>
    </row>
    <row r="123" spans="1:5" x14ac:dyDescent="0.3">
      <c r="A123" s="284" t="s">
        <v>2252</v>
      </c>
      <c r="B123" s="113" t="s">
        <v>128</v>
      </c>
      <c r="C123" s="113" t="s">
        <v>1912</v>
      </c>
      <c r="D123" s="124">
        <f>(1-$D$108)*$D$114</f>
        <v>1.3254186298212694E-4</v>
      </c>
      <c r="E123" s="291" t="s">
        <v>232</v>
      </c>
    </row>
    <row r="124" spans="1:5" x14ac:dyDescent="0.3">
      <c r="A124" s="312" t="s">
        <v>1429</v>
      </c>
      <c r="B124" s="113" t="s">
        <v>128</v>
      </c>
      <c r="C124" s="113" t="s">
        <v>1912</v>
      </c>
      <c r="D124" s="124">
        <f>(1-$D$108)*$D$113</f>
        <v>6.3284980282876167E-5</v>
      </c>
      <c r="E124" s="291" t="s">
        <v>232</v>
      </c>
    </row>
    <row r="125" spans="1:5" x14ac:dyDescent="0.3">
      <c r="A125" s="723" t="s">
        <v>2228</v>
      </c>
      <c r="B125" s="113" t="s">
        <v>128</v>
      </c>
      <c r="C125" s="113" t="s">
        <v>1912</v>
      </c>
      <c r="D125" s="124">
        <f>$D$115</f>
        <v>3.069729695323488E-4</v>
      </c>
      <c r="E125" s="291" t="s">
        <v>232</v>
      </c>
    </row>
    <row r="126" spans="1:5" x14ac:dyDescent="0.3">
      <c r="A126" s="116" t="s">
        <v>816</v>
      </c>
      <c r="B126" s="113" t="s">
        <v>128</v>
      </c>
      <c r="C126" s="113" t="s">
        <v>1912</v>
      </c>
      <c r="D126" s="124">
        <f>$D$116</f>
        <v>5.3704158420634852E-5</v>
      </c>
      <c r="E126" s="291" t="s">
        <v>232</v>
      </c>
    </row>
    <row r="127" spans="1:5" ht="15" thickBot="1" x14ac:dyDescent="0.35">
      <c r="A127" s="726" t="s">
        <v>864</v>
      </c>
      <c r="B127" s="113" t="s">
        <v>128</v>
      </c>
      <c r="C127" s="113" t="s">
        <v>1912</v>
      </c>
      <c r="D127" s="124">
        <f>$D$117</f>
        <v>3.834476911233328E-5</v>
      </c>
      <c r="E127" s="291" t="s">
        <v>232</v>
      </c>
    </row>
    <row r="128" spans="1:5" x14ac:dyDescent="0.3">
      <c r="A128" s="1140"/>
      <c r="B128" s="1141"/>
      <c r="C128" s="1141"/>
      <c r="D128" s="1141"/>
      <c r="E128" s="1142"/>
    </row>
    <row r="129" spans="1:7" ht="15" thickBot="1" x14ac:dyDescent="0.35">
      <c r="A129" s="1143"/>
      <c r="B129" s="1144"/>
      <c r="C129" s="1144"/>
      <c r="D129" s="1144"/>
      <c r="E129" s="1145"/>
    </row>
    <row r="130" spans="1:7" ht="30" customHeight="1" thickBot="1" x14ac:dyDescent="0.35">
      <c r="A130" s="638" t="s">
        <v>1303</v>
      </c>
      <c r="B130" s="657" t="s">
        <v>142</v>
      </c>
      <c r="C130" s="654" t="s">
        <v>256</v>
      </c>
      <c r="D130" s="655" t="s">
        <v>236</v>
      </c>
      <c r="E130" s="656" t="s">
        <v>212</v>
      </c>
    </row>
    <row r="131" spans="1:7" x14ac:dyDescent="0.3">
      <c r="A131" s="1134" t="s">
        <v>266</v>
      </c>
      <c r="B131" s="1132" t="s">
        <v>225</v>
      </c>
      <c r="C131" s="135" t="s">
        <v>1311</v>
      </c>
      <c r="D131" s="318" t="s">
        <v>210</v>
      </c>
      <c r="E131" s="1136" t="s">
        <v>2106</v>
      </c>
      <c r="G131" s="309"/>
    </row>
    <row r="132" spans="1:7" x14ac:dyDescent="0.3">
      <c r="A132" s="1135"/>
      <c r="B132" s="1133"/>
      <c r="C132" s="18" t="s">
        <v>2049</v>
      </c>
      <c r="D132" s="27" t="s">
        <v>210</v>
      </c>
      <c r="E132" s="1137"/>
    </row>
    <row r="133" spans="1:7" x14ac:dyDescent="0.3">
      <c r="A133" s="16" t="s">
        <v>2028</v>
      </c>
      <c r="B133" s="18" t="s">
        <v>225</v>
      </c>
      <c r="C133" s="317" t="s">
        <v>2060</v>
      </c>
      <c r="D133" s="27" t="s">
        <v>210</v>
      </c>
      <c r="E133" s="1138"/>
    </row>
    <row r="134" spans="1:7" x14ac:dyDescent="0.3">
      <c r="A134" s="16" t="s">
        <v>268</v>
      </c>
      <c r="B134" s="18" t="s">
        <v>274</v>
      </c>
      <c r="C134" s="18"/>
      <c r="D134" s="27" t="s">
        <v>283</v>
      </c>
      <c r="E134" s="22" t="s">
        <v>2106</v>
      </c>
    </row>
    <row r="135" spans="1:7" x14ac:dyDescent="0.3">
      <c r="A135" s="16" t="s">
        <v>269</v>
      </c>
      <c r="B135" s="18" t="s">
        <v>270</v>
      </c>
      <c r="C135" s="18"/>
      <c r="D135" s="27" t="s">
        <v>2059</v>
      </c>
      <c r="E135" s="22" t="s">
        <v>2106</v>
      </c>
    </row>
    <row r="136" spans="1:7" x14ac:dyDescent="0.3">
      <c r="A136" s="16" t="s">
        <v>755</v>
      </c>
      <c r="B136" s="18" t="s">
        <v>131</v>
      </c>
      <c r="C136" s="44" t="s">
        <v>764</v>
      </c>
      <c r="D136" s="27">
        <v>0.6</v>
      </c>
      <c r="E136" s="22" t="s">
        <v>855</v>
      </c>
    </row>
    <row r="137" spans="1:7" x14ac:dyDescent="0.3">
      <c r="A137" s="16" t="s">
        <v>807</v>
      </c>
      <c r="B137" s="18" t="s">
        <v>531</v>
      </c>
      <c r="C137" s="44" t="s">
        <v>769</v>
      </c>
      <c r="D137" s="27">
        <v>300</v>
      </c>
      <c r="E137" s="22" t="s">
        <v>855</v>
      </c>
    </row>
    <row r="138" spans="1:7" x14ac:dyDescent="0.3">
      <c r="A138" s="16" t="s">
        <v>808</v>
      </c>
      <c r="B138" s="18" t="s">
        <v>129</v>
      </c>
      <c r="C138" s="44"/>
      <c r="D138" s="27">
        <v>1.43</v>
      </c>
      <c r="E138" s="22" t="s">
        <v>1581</v>
      </c>
    </row>
    <row r="139" spans="1:7" x14ac:dyDescent="0.3">
      <c r="A139" s="16" t="s">
        <v>853</v>
      </c>
      <c r="B139" s="18" t="s">
        <v>531</v>
      </c>
      <c r="C139" s="44" t="s">
        <v>769</v>
      </c>
      <c r="D139" s="27">
        <f>D137/10</f>
        <v>30</v>
      </c>
      <c r="E139" s="22" t="s">
        <v>855</v>
      </c>
    </row>
    <row r="140" spans="1:7" x14ac:dyDescent="0.3">
      <c r="A140" s="16" t="s">
        <v>859</v>
      </c>
      <c r="B140" s="18" t="s">
        <v>129</v>
      </c>
      <c r="C140" s="44"/>
      <c r="D140" s="27">
        <v>1.25</v>
      </c>
      <c r="E140" s="22" t="s">
        <v>1581</v>
      </c>
    </row>
    <row r="141" spans="1:7" x14ac:dyDescent="0.3">
      <c r="A141" s="16" t="s">
        <v>1005</v>
      </c>
      <c r="B141" s="18" t="s">
        <v>130</v>
      </c>
      <c r="C141" s="44" t="s">
        <v>1310</v>
      </c>
      <c r="D141" s="137">
        <v>9.9999999999999995E-7</v>
      </c>
      <c r="E141" s="22" t="s">
        <v>2106</v>
      </c>
    </row>
    <row r="142" spans="1:7" x14ac:dyDescent="0.3">
      <c r="A142" s="16" t="s">
        <v>774</v>
      </c>
      <c r="B142" s="18" t="s">
        <v>271</v>
      </c>
      <c r="C142" s="32"/>
      <c r="D142" s="27">
        <v>500</v>
      </c>
      <c r="E142" s="22" t="s">
        <v>2106</v>
      </c>
    </row>
    <row r="143" spans="1:7" x14ac:dyDescent="0.3">
      <c r="A143" s="16" t="s">
        <v>890</v>
      </c>
      <c r="B143" s="18" t="s">
        <v>226</v>
      </c>
      <c r="C143" s="18"/>
      <c r="D143" s="27">
        <v>60</v>
      </c>
      <c r="E143" s="22" t="s">
        <v>2106</v>
      </c>
    </row>
    <row r="144" spans="1:7" x14ac:dyDescent="0.3">
      <c r="A144" s="16" t="s">
        <v>907</v>
      </c>
      <c r="B144" s="18" t="s">
        <v>226</v>
      </c>
      <c r="C144" s="18"/>
      <c r="D144" s="138">
        <f>(($D$141*1000000000)/$D$142)*60</f>
        <v>120</v>
      </c>
      <c r="E144" s="22" t="s">
        <v>2106</v>
      </c>
    </row>
    <row r="145" spans="1:5" x14ac:dyDescent="0.3">
      <c r="A145" s="16" t="s">
        <v>247</v>
      </c>
      <c r="B145" s="18" t="s">
        <v>225</v>
      </c>
      <c r="C145" s="18" t="s">
        <v>1309</v>
      </c>
      <c r="D145" s="18">
        <v>25</v>
      </c>
      <c r="E145" s="22" t="s">
        <v>2106</v>
      </c>
    </row>
    <row r="146" spans="1:5" x14ac:dyDescent="0.3">
      <c r="A146" s="16" t="s">
        <v>2117</v>
      </c>
      <c r="B146" s="18" t="s">
        <v>226</v>
      </c>
      <c r="C146" s="18"/>
      <c r="D146" s="138">
        <f>SUM(D143:D144)</f>
        <v>180</v>
      </c>
      <c r="E146" s="22" t="s">
        <v>232</v>
      </c>
    </row>
    <row r="147" spans="1:5" x14ac:dyDescent="0.3">
      <c r="A147" s="578" t="s">
        <v>351</v>
      </c>
      <c r="B147" s="543" t="s">
        <v>131</v>
      </c>
      <c r="C147" s="543"/>
      <c r="D147" s="693">
        <f>'2. PROCESS RECAP '!$E$19</f>
        <v>6.4</v>
      </c>
      <c r="E147" s="579" t="s">
        <v>2208</v>
      </c>
    </row>
    <row r="148" spans="1:5" ht="15" thickBot="1" x14ac:dyDescent="0.35">
      <c r="A148" s="634" t="s">
        <v>246</v>
      </c>
      <c r="B148" s="635" t="s">
        <v>225</v>
      </c>
      <c r="C148" s="635"/>
      <c r="D148" s="636">
        <f>'2. PROCESS RECAP '!$H$19</f>
        <v>9</v>
      </c>
      <c r="E148" s="637" t="s">
        <v>2209</v>
      </c>
    </row>
    <row r="149" spans="1:5" x14ac:dyDescent="0.3">
      <c r="A149" s="1122" t="s">
        <v>291</v>
      </c>
      <c r="B149" s="1123"/>
      <c r="C149" s="1123"/>
      <c r="D149" s="1123"/>
      <c r="E149" s="1124"/>
    </row>
    <row r="150" spans="1:5" x14ac:dyDescent="0.3">
      <c r="A150" s="285" t="s">
        <v>716</v>
      </c>
      <c r="B150" s="15" t="s">
        <v>132</v>
      </c>
      <c r="C150" s="15" t="s">
        <v>1038</v>
      </c>
      <c r="D150" s="286">
        <f>($D$147*(($D$146+$D$146/3)/3600)*$D$148/$D$145)*'1. USER INPUTS'!$E$23</f>
        <v>6.5991669867276111E-4</v>
      </c>
      <c r="E150" s="276" t="s">
        <v>232</v>
      </c>
    </row>
    <row r="151" spans="1:5" x14ac:dyDescent="0.3">
      <c r="A151" s="287" t="s">
        <v>375</v>
      </c>
      <c r="B151" s="15" t="s">
        <v>128</v>
      </c>
      <c r="C151" s="15" t="s">
        <v>282</v>
      </c>
      <c r="D151" s="286">
        <f>(($D$137/(1000000)*($D$144/60)*$D$138)/$D$145)*$D$148*'1. USER INPUTS'!$E$23</f>
        <v>1.3270512362372553E-6</v>
      </c>
      <c r="E151" s="276" t="s">
        <v>232</v>
      </c>
    </row>
    <row r="152" spans="1:5" x14ac:dyDescent="0.3">
      <c r="A152" s="293" t="s">
        <v>962</v>
      </c>
      <c r="B152" s="15" t="s">
        <v>128</v>
      </c>
      <c r="C152" s="15" t="s">
        <v>710</v>
      </c>
      <c r="D152" s="286">
        <f>(($D$139/(1000000)*($D$144/60)*$D$140)/$D$145)*$D$148*'1. USER INPUTS'!$E$23</f>
        <v>1.1600098218857127E-7</v>
      </c>
      <c r="E152" s="276" t="s">
        <v>232</v>
      </c>
    </row>
    <row r="153" spans="1:5" x14ac:dyDescent="0.3">
      <c r="A153" s="285" t="s">
        <v>716</v>
      </c>
      <c r="B153" s="39" t="s">
        <v>132</v>
      </c>
      <c r="C153" s="15" t="s">
        <v>1307</v>
      </c>
      <c r="D153" s="286">
        <f>(5*(($D$143+$D$143/3)/3600)*$D$148/$D$145)*'1. USER INPUTS'!$E$23*$D$148</f>
        <v>1.5466797625142837E-3</v>
      </c>
      <c r="E153" s="276" t="s">
        <v>232</v>
      </c>
    </row>
    <row r="154" spans="1:5" x14ac:dyDescent="0.3">
      <c r="A154" s="1128" t="s">
        <v>292</v>
      </c>
      <c r="B154" s="1129"/>
      <c r="C154" s="1129"/>
      <c r="D154" s="1129"/>
      <c r="E154" s="1130"/>
    </row>
    <row r="155" spans="1:5" x14ac:dyDescent="0.3">
      <c r="A155" s="132" t="s">
        <v>322</v>
      </c>
      <c r="B155" s="271" t="s">
        <v>293</v>
      </c>
      <c r="C155" s="272"/>
      <c r="D155" s="273">
        <v>1</v>
      </c>
      <c r="E155" s="22"/>
    </row>
    <row r="156" spans="1:5" x14ac:dyDescent="0.3">
      <c r="A156" s="284" t="s">
        <v>2228</v>
      </c>
      <c r="B156" s="113" t="s">
        <v>128</v>
      </c>
      <c r="C156" s="113" t="s">
        <v>1912</v>
      </c>
      <c r="D156" s="124">
        <f>D151</f>
        <v>1.3270512362372553E-6</v>
      </c>
      <c r="E156" s="291" t="s">
        <v>232</v>
      </c>
    </row>
    <row r="157" spans="1:5" ht="15" thickBot="1" x14ac:dyDescent="0.35">
      <c r="A157" s="110" t="s">
        <v>816</v>
      </c>
      <c r="B157" s="111" t="s">
        <v>128</v>
      </c>
      <c r="C157" s="111" t="s">
        <v>1912</v>
      </c>
      <c r="D157" s="114">
        <f>D152</f>
        <v>1.1600098218857127E-7</v>
      </c>
      <c r="E157" s="283" t="s">
        <v>232</v>
      </c>
    </row>
  </sheetData>
  <sheetProtection algorithmName="SHA-512" hashValue="bjEmAaCn/L16WthRl4bNng/K/iKszvUyjNZXww74Qt1gw7G965+Pe9yZZPYxKNEs3X/QULZ2oDnOw4UpAZBH0w==" saltValue="3d5AjYuNWaPxwa2hM/LYpg==" spinCount="100000" sheet="1" objects="1" scenarios="1"/>
  <mergeCells count="22">
    <mergeCell ref="A149:E149"/>
    <mergeCell ref="A154:E154"/>
    <mergeCell ref="A131:A132"/>
    <mergeCell ref="A60:E60"/>
    <mergeCell ref="A70:E70"/>
    <mergeCell ref="B131:B132"/>
    <mergeCell ref="A111:E111"/>
    <mergeCell ref="A121:E121"/>
    <mergeCell ref="A128:E129"/>
    <mergeCell ref="A80:A84"/>
    <mergeCell ref="B80:B84"/>
    <mergeCell ref="D80:D84"/>
    <mergeCell ref="A77:E78"/>
    <mergeCell ref="E80:E84"/>
    <mergeCell ref="E131:E133"/>
    <mergeCell ref="A19:E20"/>
    <mergeCell ref="A5:E5"/>
    <mergeCell ref="A12:E12"/>
    <mergeCell ref="A22:A24"/>
    <mergeCell ref="B22:B24"/>
    <mergeCell ref="D22:D24"/>
    <mergeCell ref="E22:E24"/>
  </mergeCells>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64C58-8FD3-4347-BC3B-3FC206B66346}">
  <dimension ref="A1:H196"/>
  <sheetViews>
    <sheetView zoomScale="85" zoomScaleNormal="85" workbookViewId="0">
      <selection activeCell="C20" sqref="C20"/>
    </sheetView>
  </sheetViews>
  <sheetFormatPr baseColWidth="10" defaultRowHeight="14.4" x14ac:dyDescent="0.3"/>
  <cols>
    <col min="1" max="1" width="96" customWidth="1"/>
    <col min="2" max="2" width="6.5546875" bestFit="1" customWidth="1"/>
    <col min="3" max="3" width="119.44140625" customWidth="1"/>
    <col min="5" max="5" width="51" customWidth="1"/>
  </cols>
  <sheetData>
    <row r="1" spans="1:5" ht="15" thickBot="1" x14ac:dyDescent="0.35">
      <c r="A1" t="s">
        <v>135</v>
      </c>
    </row>
    <row r="2" spans="1:5" ht="30" customHeight="1" thickBot="1" x14ac:dyDescent="0.35">
      <c r="A2" s="638" t="s">
        <v>1027</v>
      </c>
      <c r="B2" s="657" t="s">
        <v>142</v>
      </c>
      <c r="C2" s="654" t="s">
        <v>256</v>
      </c>
      <c r="D2" s="658"/>
      <c r="E2" s="659"/>
    </row>
    <row r="3" spans="1:5" x14ac:dyDescent="0.3">
      <c r="A3" s="18" t="s">
        <v>2186</v>
      </c>
      <c r="B3" s="19" t="s">
        <v>225</v>
      </c>
      <c r="C3" s="19"/>
      <c r="D3" s="136">
        <f>SUM($D$32,$D$59,$D$95,$D$125,$D$150,$D$173,$D$191)</f>
        <v>10</v>
      </c>
      <c r="E3" s="24" t="s">
        <v>232</v>
      </c>
    </row>
    <row r="4" spans="1:5" x14ac:dyDescent="0.3">
      <c r="A4" s="18" t="s">
        <v>2178</v>
      </c>
      <c r="B4" s="18" t="s">
        <v>226</v>
      </c>
      <c r="C4" s="18"/>
      <c r="D4" s="138">
        <f>SUM($D$30,$D$57,$D$93,$D$122,$D$148,$D$171,$D$189)</f>
        <v>38170.996938995748</v>
      </c>
      <c r="E4" s="22" t="s">
        <v>232</v>
      </c>
    </row>
    <row r="5" spans="1:5" x14ac:dyDescent="0.3">
      <c r="A5" s="1125" t="s">
        <v>291</v>
      </c>
      <c r="B5" s="1126"/>
      <c r="C5" s="1126"/>
      <c r="D5" s="1126"/>
      <c r="E5" s="1127"/>
    </row>
    <row r="6" spans="1:5" x14ac:dyDescent="0.3">
      <c r="A6" s="285" t="s">
        <v>716</v>
      </c>
      <c r="B6" s="15" t="s">
        <v>132</v>
      </c>
      <c r="C6" s="15" t="s">
        <v>2229</v>
      </c>
      <c r="D6" s="286">
        <f>SUM($D$34,$D$36:$D$37,$D$61,$D$65:$D$66,$D$97,$D$100:$D$101,$D$128,$D$130,$D$152,$D$154,$D$175,$D$193)</f>
        <v>0.11336064059254561</v>
      </c>
      <c r="E6" s="276" t="s">
        <v>232</v>
      </c>
    </row>
    <row r="7" spans="1:5" x14ac:dyDescent="0.3">
      <c r="A7" s="287" t="s">
        <v>375</v>
      </c>
      <c r="B7" s="15" t="s">
        <v>128</v>
      </c>
      <c r="C7" s="15" t="s">
        <v>2239</v>
      </c>
      <c r="D7" s="107">
        <f>SUM($D$35,$D$62,$D$98)</f>
        <v>3.0753718585034926E-2</v>
      </c>
      <c r="E7" s="276" t="s">
        <v>232</v>
      </c>
    </row>
    <row r="8" spans="1:5" x14ac:dyDescent="0.3">
      <c r="A8" s="287" t="s">
        <v>962</v>
      </c>
      <c r="B8" s="15" t="s">
        <v>128</v>
      </c>
      <c r="C8" s="15" t="s">
        <v>2233</v>
      </c>
      <c r="D8" s="107">
        <f>SUM($D$129,$D$153)</f>
        <v>2.0121158021597856E-2</v>
      </c>
      <c r="E8" s="276" t="s">
        <v>232</v>
      </c>
    </row>
    <row r="9" spans="1:5" x14ac:dyDescent="0.3">
      <c r="A9" s="293" t="s">
        <v>699</v>
      </c>
      <c r="B9" s="15" t="s">
        <v>128</v>
      </c>
      <c r="C9" s="15" t="s">
        <v>2240</v>
      </c>
      <c r="D9" s="107">
        <f>$D$99</f>
        <v>1.3576610819625769E-2</v>
      </c>
      <c r="E9" s="276" t="s">
        <v>232</v>
      </c>
    </row>
    <row r="10" spans="1:5" x14ac:dyDescent="0.3">
      <c r="A10" s="1128" t="s">
        <v>292</v>
      </c>
      <c r="B10" s="1129"/>
      <c r="C10" s="1129"/>
      <c r="D10" s="1129"/>
      <c r="E10" s="1130"/>
    </row>
    <row r="11" spans="1:5" x14ac:dyDescent="0.3">
      <c r="A11" s="16" t="s">
        <v>322</v>
      </c>
      <c r="B11" s="18" t="s">
        <v>293</v>
      </c>
      <c r="C11" s="18"/>
      <c r="D11" s="27">
        <v>1</v>
      </c>
      <c r="E11" s="22"/>
    </row>
    <row r="12" spans="1:5" x14ac:dyDescent="0.3">
      <c r="A12" s="284" t="s">
        <v>816</v>
      </c>
      <c r="B12" s="113" t="s">
        <v>128</v>
      </c>
      <c r="C12" s="113" t="s">
        <v>2255</v>
      </c>
      <c r="D12" s="124">
        <f>SUM(D133,D157)</f>
        <v>2.0121158021597856E-2</v>
      </c>
      <c r="E12" s="291" t="s">
        <v>232</v>
      </c>
    </row>
    <row r="13" spans="1:5" ht="15" thickBot="1" x14ac:dyDescent="0.35">
      <c r="A13" s="110" t="s">
        <v>1947</v>
      </c>
      <c r="B13" s="111" t="s">
        <v>128</v>
      </c>
      <c r="C13" s="111" t="s">
        <v>2255</v>
      </c>
      <c r="D13" s="117">
        <f>D105</f>
        <v>1.3576610819625769E-2</v>
      </c>
      <c r="E13" s="283" t="s">
        <v>232</v>
      </c>
    </row>
    <row r="14" spans="1:5" x14ac:dyDescent="0.3">
      <c r="A14" s="1140"/>
      <c r="B14" s="1141"/>
      <c r="C14" s="1141"/>
      <c r="D14" s="1141"/>
      <c r="E14" s="1142"/>
    </row>
    <row r="15" spans="1:5" ht="15" thickBot="1" x14ac:dyDescent="0.35">
      <c r="A15" s="1143"/>
      <c r="B15" s="1144"/>
      <c r="C15" s="1144"/>
      <c r="D15" s="1144"/>
      <c r="E15" s="1145"/>
    </row>
    <row r="16" spans="1:5" ht="30" customHeight="1" thickBot="1" x14ac:dyDescent="0.35">
      <c r="A16" s="638" t="s">
        <v>2149</v>
      </c>
      <c r="B16" s="657" t="s">
        <v>142</v>
      </c>
      <c r="C16" s="654" t="s">
        <v>256</v>
      </c>
      <c r="D16" s="655" t="s">
        <v>236</v>
      </c>
      <c r="E16" s="656" t="s">
        <v>212</v>
      </c>
    </row>
    <row r="17" spans="1:5" x14ac:dyDescent="0.3">
      <c r="A17" s="1134" t="s">
        <v>266</v>
      </c>
      <c r="B17" s="1132" t="s">
        <v>225</v>
      </c>
      <c r="C17" s="650" t="s">
        <v>2166</v>
      </c>
      <c r="D17" s="1159" t="s">
        <v>210</v>
      </c>
      <c r="E17" s="1136" t="s">
        <v>2106</v>
      </c>
    </row>
    <row r="18" spans="1:5" x14ac:dyDescent="0.3">
      <c r="A18" s="1135"/>
      <c r="B18" s="1133"/>
      <c r="C18" s="156" t="s">
        <v>2146</v>
      </c>
      <c r="D18" s="1160"/>
      <c r="E18" s="1137"/>
    </row>
    <row r="19" spans="1:5" x14ac:dyDescent="0.3">
      <c r="A19" s="119" t="s">
        <v>2028</v>
      </c>
      <c r="B19" s="103" t="s">
        <v>225</v>
      </c>
      <c r="C19" s="156" t="s">
        <v>2147</v>
      </c>
      <c r="D19" s="1161"/>
      <c r="E19" s="1138"/>
    </row>
    <row r="20" spans="1:5" x14ac:dyDescent="0.3">
      <c r="A20" s="119" t="s">
        <v>454</v>
      </c>
      <c r="B20" s="18" t="s">
        <v>238</v>
      </c>
      <c r="C20" s="156" t="s">
        <v>1228</v>
      </c>
      <c r="D20" s="141">
        <v>500</v>
      </c>
      <c r="E20" s="33" t="s">
        <v>2106</v>
      </c>
    </row>
    <row r="21" spans="1:5" x14ac:dyDescent="0.3">
      <c r="A21" s="16" t="s">
        <v>268</v>
      </c>
      <c r="B21" s="18" t="s">
        <v>274</v>
      </c>
      <c r="C21" s="18" t="s">
        <v>298</v>
      </c>
      <c r="D21" s="27" t="s">
        <v>299</v>
      </c>
      <c r="E21" s="33" t="s">
        <v>2106</v>
      </c>
    </row>
    <row r="22" spans="1:5" x14ac:dyDescent="0.3">
      <c r="A22" s="16" t="s">
        <v>269</v>
      </c>
      <c r="B22" s="18" t="s">
        <v>270</v>
      </c>
      <c r="C22" s="18"/>
      <c r="D22" s="27">
        <v>900</v>
      </c>
      <c r="E22" s="22" t="s">
        <v>216</v>
      </c>
    </row>
    <row r="23" spans="1:5" x14ac:dyDescent="0.3">
      <c r="A23" s="16" t="s">
        <v>1032</v>
      </c>
      <c r="B23" s="18" t="s">
        <v>898</v>
      </c>
      <c r="C23" s="18" t="s">
        <v>1250</v>
      </c>
      <c r="D23" s="27">
        <v>500</v>
      </c>
      <c r="E23" s="22" t="s">
        <v>216</v>
      </c>
    </row>
    <row r="24" spans="1:5" x14ac:dyDescent="0.3">
      <c r="A24" s="16" t="s">
        <v>1236</v>
      </c>
      <c r="B24" s="18" t="s">
        <v>434</v>
      </c>
      <c r="C24" s="18" t="s">
        <v>1233</v>
      </c>
      <c r="D24" s="137">
        <f>14.7*$D$20</f>
        <v>7350</v>
      </c>
      <c r="E24" s="22" t="s">
        <v>216</v>
      </c>
    </row>
    <row r="25" spans="1:5" x14ac:dyDescent="0.3">
      <c r="A25" s="16" t="s">
        <v>808</v>
      </c>
      <c r="B25" s="18" t="s">
        <v>129</v>
      </c>
      <c r="C25" s="18"/>
      <c r="D25" s="134">
        <f>'25. CHEM. &amp; MAT.'!$F$13</f>
        <v>1.429</v>
      </c>
      <c r="E25" s="33" t="s">
        <v>1581</v>
      </c>
    </row>
    <row r="26" spans="1:5" x14ac:dyDescent="0.3">
      <c r="A26" s="16" t="s">
        <v>890</v>
      </c>
      <c r="B26" s="18" t="s">
        <v>226</v>
      </c>
      <c r="C26" s="18" t="s">
        <v>980</v>
      </c>
      <c r="D26" s="18">
        <v>120</v>
      </c>
      <c r="E26" s="33" t="s">
        <v>2106</v>
      </c>
    </row>
    <row r="27" spans="1:5" x14ac:dyDescent="0.3">
      <c r="A27" s="16" t="s">
        <v>979</v>
      </c>
      <c r="B27" s="18" t="s">
        <v>226</v>
      </c>
      <c r="C27" s="18" t="s">
        <v>1229</v>
      </c>
      <c r="D27">
        <f>20*60</f>
        <v>1200</v>
      </c>
      <c r="E27" s="33" t="s">
        <v>2106</v>
      </c>
    </row>
    <row r="28" spans="1:5" x14ac:dyDescent="0.3">
      <c r="A28" s="16" t="s">
        <v>978</v>
      </c>
      <c r="B28" s="18" t="s">
        <v>226</v>
      </c>
      <c r="C28" s="18"/>
      <c r="D28" s="18">
        <f>($D$20/$D$23)*3600</f>
        <v>3600</v>
      </c>
      <c r="E28" s="22" t="s">
        <v>216</v>
      </c>
    </row>
    <row r="29" spans="1:5" x14ac:dyDescent="0.3">
      <c r="A29" s="16" t="s">
        <v>247</v>
      </c>
      <c r="B29" s="18" t="s">
        <v>225</v>
      </c>
      <c r="C29" s="18" t="s">
        <v>1025</v>
      </c>
      <c r="D29" s="18">
        <v>100</v>
      </c>
      <c r="E29" s="33" t="s">
        <v>2106</v>
      </c>
    </row>
    <row r="30" spans="1:5" x14ac:dyDescent="0.3">
      <c r="A30" s="16" t="s">
        <v>2117</v>
      </c>
      <c r="B30" s="18" t="s">
        <v>226</v>
      </c>
      <c r="C30" s="4"/>
      <c r="D30">
        <f>SUM($D$26:$D$28)</f>
        <v>4920</v>
      </c>
      <c r="E30" s="22" t="s">
        <v>232</v>
      </c>
    </row>
    <row r="31" spans="1:5" x14ac:dyDescent="0.3">
      <c r="A31" s="578" t="s">
        <v>351</v>
      </c>
      <c r="B31" s="543" t="s">
        <v>131</v>
      </c>
      <c r="C31" s="543"/>
      <c r="D31" s="543">
        <f>'2. PROCESS RECAP '!$E$29</f>
        <v>7.5</v>
      </c>
      <c r="E31" s="579" t="s">
        <v>2208</v>
      </c>
    </row>
    <row r="32" spans="1:5" ht="15" thickBot="1" x14ac:dyDescent="0.35">
      <c r="A32" s="634" t="s">
        <v>246</v>
      </c>
      <c r="B32" s="635" t="s">
        <v>225</v>
      </c>
      <c r="C32" s="635"/>
      <c r="D32" s="636">
        <f>'2. PROCESS RECAP '!$H$29</f>
        <v>1</v>
      </c>
      <c r="E32" s="637" t="s">
        <v>2209</v>
      </c>
    </row>
    <row r="33" spans="1:5" x14ac:dyDescent="0.3">
      <c r="A33" s="1122" t="s">
        <v>291</v>
      </c>
      <c r="B33" s="1123"/>
      <c r="C33" s="1123"/>
      <c r="D33" s="1123"/>
      <c r="E33" s="1124"/>
    </row>
    <row r="34" spans="1:5" x14ac:dyDescent="0.3">
      <c r="A34" s="285" t="s">
        <v>716</v>
      </c>
      <c r="B34" s="15" t="s">
        <v>132</v>
      </c>
      <c r="C34" s="15" t="s">
        <v>1038</v>
      </c>
      <c r="D34" s="286">
        <f>($D$31*(($D$30+$D$30/3)/3600)/$D$29)*$D$32*'1. USER INPUTS'!$E$23</f>
        <v>5.8716546539894102E-4</v>
      </c>
      <c r="E34" s="276" t="s">
        <v>232</v>
      </c>
    </row>
    <row r="35" spans="1:5" x14ac:dyDescent="0.3">
      <c r="A35" s="287" t="s">
        <v>375</v>
      </c>
      <c r="B35" s="15" t="s">
        <v>128</v>
      </c>
      <c r="C35" s="15" t="s">
        <v>137</v>
      </c>
      <c r="D35" s="107">
        <f>($D$24*0.000001)*$D$25*'1. USER INPUTS'!$E$23</f>
        <v>4.512502652125527E-5</v>
      </c>
      <c r="E35" s="276" t="s">
        <v>232</v>
      </c>
    </row>
    <row r="36" spans="1:5" x14ac:dyDescent="0.3">
      <c r="A36" s="285" t="s">
        <v>716</v>
      </c>
      <c r="B36" s="39" t="s">
        <v>132</v>
      </c>
      <c r="C36" s="15" t="s">
        <v>905</v>
      </c>
      <c r="D36" s="107">
        <f>((5*(($D$26+$D$26/3)/3600))/$D$29)*$D$32*'1. USER INPUTS'!$E$23</f>
        <v>9.5474059414461955E-6</v>
      </c>
      <c r="E36" s="276" t="s">
        <v>232</v>
      </c>
    </row>
    <row r="37" spans="1:5" x14ac:dyDescent="0.3">
      <c r="A37" s="285" t="s">
        <v>716</v>
      </c>
      <c r="B37" s="39" t="s">
        <v>132</v>
      </c>
      <c r="C37" s="15" t="s">
        <v>906</v>
      </c>
      <c r="D37" s="107">
        <f>((5*(($D$30+$D$30/3)/3600))/$D$29)*$D$32*'1. USER INPUTS'!$E$23</f>
        <v>3.9144364359929398E-4</v>
      </c>
      <c r="E37" s="276" t="s">
        <v>232</v>
      </c>
    </row>
    <row r="38" spans="1:5" x14ac:dyDescent="0.3">
      <c r="A38" s="1128" t="s">
        <v>292</v>
      </c>
      <c r="B38" s="1129"/>
      <c r="C38" s="1129"/>
      <c r="D38" s="1129"/>
      <c r="E38" s="1130"/>
    </row>
    <row r="39" spans="1:5" x14ac:dyDescent="0.3">
      <c r="A39" s="16" t="s">
        <v>322</v>
      </c>
      <c r="B39" s="18" t="s">
        <v>293</v>
      </c>
      <c r="C39" s="18"/>
      <c r="D39" s="27">
        <v>1</v>
      </c>
      <c r="E39" s="22"/>
    </row>
    <row r="40" spans="1:5" ht="15" thickBot="1" x14ac:dyDescent="0.35">
      <c r="A40" s="110" t="s">
        <v>2228</v>
      </c>
      <c r="B40" s="111" t="s">
        <v>128</v>
      </c>
      <c r="C40" s="111" t="s">
        <v>2253</v>
      </c>
      <c r="D40" s="117" t="s">
        <v>210</v>
      </c>
      <c r="E40" s="283" t="s">
        <v>210</v>
      </c>
    </row>
    <row r="41" spans="1:5" x14ac:dyDescent="0.3">
      <c r="A41" s="1140"/>
      <c r="B41" s="1141"/>
      <c r="C41" s="1141"/>
      <c r="D41" s="1141"/>
      <c r="E41" s="1142"/>
    </row>
    <row r="42" spans="1:5" ht="15" thickBot="1" x14ac:dyDescent="0.35">
      <c r="A42" s="1143"/>
      <c r="B42" s="1144"/>
      <c r="C42" s="1144"/>
      <c r="D42" s="1144"/>
      <c r="E42" s="1145"/>
    </row>
    <row r="43" spans="1:5" ht="30" customHeight="1" thickBot="1" x14ac:dyDescent="0.35">
      <c r="A43" s="638" t="s">
        <v>2150</v>
      </c>
      <c r="B43" s="657" t="s">
        <v>142</v>
      </c>
      <c r="C43" s="654" t="s">
        <v>256</v>
      </c>
      <c r="D43" s="655" t="s">
        <v>236</v>
      </c>
      <c r="E43" s="656" t="s">
        <v>212</v>
      </c>
    </row>
    <row r="44" spans="1:5" x14ac:dyDescent="0.3">
      <c r="A44" s="1134" t="s">
        <v>266</v>
      </c>
      <c r="B44" s="1132" t="s">
        <v>225</v>
      </c>
      <c r="C44" s="155" t="s">
        <v>2167</v>
      </c>
      <c r="D44" s="1159" t="s">
        <v>210</v>
      </c>
      <c r="E44" s="1136" t="s">
        <v>2106</v>
      </c>
    </row>
    <row r="45" spans="1:5" x14ac:dyDescent="0.3">
      <c r="A45" s="1135"/>
      <c r="B45" s="1133"/>
      <c r="C45" s="156" t="s">
        <v>2146</v>
      </c>
      <c r="D45" s="1160"/>
      <c r="E45" s="1137"/>
    </row>
    <row r="46" spans="1:5" x14ac:dyDescent="0.3">
      <c r="A46" s="119" t="s">
        <v>2028</v>
      </c>
      <c r="B46" s="103" t="s">
        <v>225</v>
      </c>
      <c r="C46" s="156" t="s">
        <v>2147</v>
      </c>
      <c r="D46" s="1161"/>
      <c r="E46" s="1138"/>
    </row>
    <row r="47" spans="1:5" x14ac:dyDescent="0.3">
      <c r="A47" s="16" t="s">
        <v>454</v>
      </c>
      <c r="B47" s="18" t="s">
        <v>238</v>
      </c>
      <c r="C47" s="308" t="s">
        <v>440</v>
      </c>
      <c r="D47" s="27">
        <v>1200</v>
      </c>
      <c r="E47" s="22" t="s">
        <v>1050</v>
      </c>
    </row>
    <row r="48" spans="1:5" x14ac:dyDescent="0.3">
      <c r="A48" s="16" t="s">
        <v>268</v>
      </c>
      <c r="B48" s="18" t="s">
        <v>274</v>
      </c>
      <c r="C48" s="18" t="s">
        <v>298</v>
      </c>
      <c r="D48" s="27" t="s">
        <v>299</v>
      </c>
      <c r="E48" s="185" t="s">
        <v>1049</v>
      </c>
    </row>
    <row r="49" spans="1:5" x14ac:dyDescent="0.3">
      <c r="A49" s="16" t="s">
        <v>269</v>
      </c>
      <c r="B49" s="18" t="s">
        <v>270</v>
      </c>
      <c r="C49" s="18"/>
      <c r="D49" s="27">
        <v>1000</v>
      </c>
      <c r="E49" s="22" t="s">
        <v>216</v>
      </c>
    </row>
    <row r="50" spans="1:5" x14ac:dyDescent="0.3">
      <c r="A50" s="16" t="s">
        <v>1032</v>
      </c>
      <c r="B50" s="18" t="s">
        <v>898</v>
      </c>
      <c r="C50" s="18" t="s">
        <v>1250</v>
      </c>
      <c r="D50" s="27">
        <v>500</v>
      </c>
      <c r="E50" s="22" t="s">
        <v>216</v>
      </c>
    </row>
    <row r="51" spans="1:5" x14ac:dyDescent="0.3">
      <c r="A51" s="16" t="s">
        <v>1236</v>
      </c>
      <c r="B51" s="18" t="s">
        <v>434</v>
      </c>
      <c r="C51" s="18" t="s">
        <v>1233</v>
      </c>
      <c r="D51" s="137">
        <f>14.7*$D$47</f>
        <v>17640</v>
      </c>
      <c r="E51" s="22" t="s">
        <v>216</v>
      </c>
    </row>
    <row r="52" spans="1:5" x14ac:dyDescent="0.3">
      <c r="A52" s="16" t="s">
        <v>808</v>
      </c>
      <c r="B52" s="18" t="s">
        <v>129</v>
      </c>
      <c r="C52" s="18"/>
      <c r="D52" s="134">
        <f>'25. CHEM. &amp; MAT.'!$F$13</f>
        <v>1.429</v>
      </c>
      <c r="E52" s="33" t="s">
        <v>1581</v>
      </c>
    </row>
    <row r="53" spans="1:5" x14ac:dyDescent="0.3">
      <c r="A53" s="16" t="s">
        <v>890</v>
      </c>
      <c r="B53" s="18" t="s">
        <v>226</v>
      </c>
      <c r="C53" s="18" t="s">
        <v>980</v>
      </c>
      <c r="D53" s="18">
        <v>120</v>
      </c>
      <c r="E53" s="185" t="s">
        <v>1049</v>
      </c>
    </row>
    <row r="54" spans="1:5" x14ac:dyDescent="0.3">
      <c r="A54" s="16" t="s">
        <v>979</v>
      </c>
      <c r="B54" s="18" t="s">
        <v>226</v>
      </c>
      <c r="C54" s="18" t="s">
        <v>1234</v>
      </c>
      <c r="D54">
        <f>20*60</f>
        <v>1200</v>
      </c>
      <c r="E54" s="185" t="s">
        <v>1049</v>
      </c>
    </row>
    <row r="55" spans="1:5" x14ac:dyDescent="0.3">
      <c r="A55" s="16" t="s">
        <v>978</v>
      </c>
      <c r="B55" s="18" t="s">
        <v>226</v>
      </c>
      <c r="C55" s="18" t="s">
        <v>1250</v>
      </c>
      <c r="D55" s="18">
        <f>($D$47/$D$50)*3600</f>
        <v>8640</v>
      </c>
      <c r="E55" s="22" t="s">
        <v>232</v>
      </c>
    </row>
    <row r="56" spans="1:5" x14ac:dyDescent="0.3">
      <c r="A56" s="16" t="s">
        <v>247</v>
      </c>
      <c r="B56" s="18" t="s">
        <v>225</v>
      </c>
      <c r="C56" s="18" t="s">
        <v>1025</v>
      </c>
      <c r="D56" s="18">
        <v>100</v>
      </c>
      <c r="E56" s="185" t="s">
        <v>1049</v>
      </c>
    </row>
    <row r="57" spans="1:5" x14ac:dyDescent="0.3">
      <c r="A57" s="16" t="s">
        <v>2117</v>
      </c>
      <c r="B57" s="18" t="s">
        <v>226</v>
      </c>
      <c r="C57" s="18"/>
      <c r="D57" s="18">
        <f>SUM(D53:D55)</f>
        <v>9960</v>
      </c>
      <c r="E57" s="22" t="s">
        <v>232</v>
      </c>
    </row>
    <row r="58" spans="1:5" x14ac:dyDescent="0.3">
      <c r="A58" s="578" t="s">
        <v>351</v>
      </c>
      <c r="B58" s="543" t="s">
        <v>131</v>
      </c>
      <c r="C58" s="543"/>
      <c r="D58" s="543">
        <f>'2. PROCESS RECAP '!$E$30</f>
        <v>7.5</v>
      </c>
      <c r="E58" s="579" t="s">
        <v>2208</v>
      </c>
    </row>
    <row r="59" spans="1:5" ht="15" thickBot="1" x14ac:dyDescent="0.35">
      <c r="A59" s="634" t="s">
        <v>246</v>
      </c>
      <c r="B59" s="635" t="s">
        <v>225</v>
      </c>
      <c r="C59" s="635"/>
      <c r="D59" s="636">
        <f>'2. PROCESS RECAP '!$H$30</f>
        <v>1</v>
      </c>
      <c r="E59" s="637" t="s">
        <v>2209</v>
      </c>
    </row>
    <row r="60" spans="1:5" x14ac:dyDescent="0.3">
      <c r="A60" s="1122" t="s">
        <v>291</v>
      </c>
      <c r="B60" s="1123"/>
      <c r="C60" s="1123"/>
      <c r="D60" s="1123"/>
      <c r="E60" s="1124"/>
    </row>
    <row r="61" spans="1:5" x14ac:dyDescent="0.3">
      <c r="A61" s="285" t="s">
        <v>716</v>
      </c>
      <c r="B61" s="15" t="s">
        <v>132</v>
      </c>
      <c r="C61" s="15" t="s">
        <v>1038</v>
      </c>
      <c r="D61" s="286">
        <f>($D$58*(($D$57+$D$57/3)/3600)/$D$56)*$D$59*'1. USER INPUTS'!$E$23</f>
        <v>1.1886520397100513E-3</v>
      </c>
      <c r="E61" s="276" t="s">
        <v>232</v>
      </c>
    </row>
    <row r="62" spans="1:5" x14ac:dyDescent="0.3">
      <c r="A62" s="287" t="s">
        <v>375</v>
      </c>
      <c r="B62" s="15" t="s">
        <v>128</v>
      </c>
      <c r="C62" s="15" t="s">
        <v>137</v>
      </c>
      <c r="D62" s="286">
        <f>($D$51*0.000001)*$D$52*'1. USER INPUTS'!$E$23</f>
        <v>1.0830006365101266E-4</v>
      </c>
      <c r="E62" s="276" t="s">
        <v>232</v>
      </c>
    </row>
    <row r="63" spans="1:5" x14ac:dyDescent="0.3">
      <c r="A63" s="597" t="s">
        <v>382</v>
      </c>
      <c r="B63" s="598" t="s">
        <v>128</v>
      </c>
      <c r="C63" s="598" t="s">
        <v>803</v>
      </c>
      <c r="D63" s="599" t="s">
        <v>210</v>
      </c>
      <c r="E63" s="600" t="s">
        <v>2148</v>
      </c>
    </row>
    <row r="64" spans="1:5" x14ac:dyDescent="0.3">
      <c r="A64" s="597" t="s">
        <v>377</v>
      </c>
      <c r="B64" s="598" t="s">
        <v>128</v>
      </c>
      <c r="C64" s="598" t="s">
        <v>136</v>
      </c>
      <c r="D64" s="599" t="s">
        <v>210</v>
      </c>
      <c r="E64" s="600" t="s">
        <v>2148</v>
      </c>
    </row>
    <row r="65" spans="1:5" x14ac:dyDescent="0.3">
      <c r="A65" s="285" t="s">
        <v>716</v>
      </c>
      <c r="B65" s="39" t="s">
        <v>132</v>
      </c>
      <c r="C65" s="15" t="s">
        <v>905</v>
      </c>
      <c r="D65" s="107">
        <f>((5*(($D$53+$D$53/3)/3600))/$D$56)*'1. USER INPUTS'!$E$23</f>
        <v>9.5474059414461955E-6</v>
      </c>
      <c r="E65" s="276" t="s">
        <v>232</v>
      </c>
    </row>
    <row r="66" spans="1:5" x14ac:dyDescent="0.3">
      <c r="A66" s="285" t="s">
        <v>716</v>
      </c>
      <c r="B66" s="39" t="s">
        <v>132</v>
      </c>
      <c r="C66" s="15" t="s">
        <v>906</v>
      </c>
      <c r="D66" s="107">
        <f>((5*(($D$57+$D$57/3)/3600))/$D$56)*'1. USER INPUTS'!$E$23</f>
        <v>7.9243469314003426E-4</v>
      </c>
      <c r="E66" s="276" t="s">
        <v>232</v>
      </c>
    </row>
    <row r="67" spans="1:5" x14ac:dyDescent="0.3">
      <c r="A67" s="1128" t="s">
        <v>292</v>
      </c>
      <c r="B67" s="1129"/>
      <c r="C67" s="1129"/>
      <c r="D67" s="1129"/>
      <c r="E67" s="1130"/>
    </row>
    <row r="68" spans="1:5" x14ac:dyDescent="0.3">
      <c r="A68" s="16" t="s">
        <v>322</v>
      </c>
      <c r="B68" s="18" t="s">
        <v>293</v>
      </c>
      <c r="C68" s="18"/>
      <c r="D68" s="27">
        <v>1</v>
      </c>
      <c r="E68" s="22"/>
    </row>
    <row r="69" spans="1:5" ht="15" thickBot="1" x14ac:dyDescent="0.35">
      <c r="A69" s="110" t="s">
        <v>2228</v>
      </c>
      <c r="B69" s="111" t="s">
        <v>128</v>
      </c>
      <c r="C69" s="111" t="s">
        <v>2253</v>
      </c>
      <c r="D69" s="117" t="s">
        <v>210</v>
      </c>
      <c r="E69" s="310" t="s">
        <v>210</v>
      </c>
    </row>
    <row r="70" spans="1:5" x14ac:dyDescent="0.3">
      <c r="A70" s="1140"/>
      <c r="B70" s="1141"/>
      <c r="C70" s="1141"/>
      <c r="D70" s="1141"/>
      <c r="E70" s="1142"/>
    </row>
    <row r="71" spans="1:5" ht="15" thickBot="1" x14ac:dyDescent="0.35">
      <c r="A71" s="1143"/>
      <c r="B71" s="1144"/>
      <c r="C71" s="1144"/>
      <c r="D71" s="1144"/>
      <c r="E71" s="1145"/>
    </row>
    <row r="72" spans="1:5" ht="30" customHeight="1" thickBot="1" x14ac:dyDescent="0.35">
      <c r="A72" s="638" t="s">
        <v>2151</v>
      </c>
      <c r="B72" s="657" t="s">
        <v>142</v>
      </c>
      <c r="C72" s="654" t="s">
        <v>256</v>
      </c>
      <c r="D72" s="655" t="s">
        <v>236</v>
      </c>
      <c r="E72" s="656" t="s">
        <v>212</v>
      </c>
    </row>
    <row r="73" spans="1:5" x14ac:dyDescent="0.3">
      <c r="A73" s="1134" t="s">
        <v>266</v>
      </c>
      <c r="B73" s="1132" t="s">
        <v>225</v>
      </c>
      <c r="C73" s="155" t="s">
        <v>2168</v>
      </c>
      <c r="D73" s="1159" t="s">
        <v>210</v>
      </c>
      <c r="E73" s="1136" t="s">
        <v>2106</v>
      </c>
    </row>
    <row r="74" spans="1:5" x14ac:dyDescent="0.3">
      <c r="A74" s="1135"/>
      <c r="B74" s="1133"/>
      <c r="C74" s="156" t="s">
        <v>2254</v>
      </c>
      <c r="D74" s="1160"/>
      <c r="E74" s="1137"/>
    </row>
    <row r="75" spans="1:5" x14ac:dyDescent="0.3">
      <c r="A75" s="119" t="s">
        <v>2028</v>
      </c>
      <c r="B75" s="103" t="s">
        <v>225</v>
      </c>
      <c r="C75" s="156" t="s">
        <v>2147</v>
      </c>
      <c r="D75" s="1161"/>
      <c r="E75" s="1138"/>
    </row>
    <row r="76" spans="1:5" x14ac:dyDescent="0.3">
      <c r="A76" s="119" t="s">
        <v>454</v>
      </c>
      <c r="B76" s="18" t="s">
        <v>238</v>
      </c>
      <c r="C76" s="156" t="s">
        <v>455</v>
      </c>
      <c r="D76" s="141">
        <v>10000</v>
      </c>
      <c r="E76" s="22" t="s">
        <v>2163</v>
      </c>
    </row>
    <row r="77" spans="1:5" x14ac:dyDescent="0.3">
      <c r="A77" s="16" t="s">
        <v>268</v>
      </c>
      <c r="B77" s="18" t="s">
        <v>274</v>
      </c>
      <c r="C77" s="18" t="s">
        <v>298</v>
      </c>
      <c r="D77" s="27" t="s">
        <v>299</v>
      </c>
      <c r="E77" s="33" t="s">
        <v>855</v>
      </c>
    </row>
    <row r="78" spans="1:5" x14ac:dyDescent="0.3">
      <c r="A78" s="16" t="s">
        <v>269</v>
      </c>
      <c r="B78" s="18" t="s">
        <v>270</v>
      </c>
      <c r="C78" s="18"/>
      <c r="D78" s="27" t="s">
        <v>354</v>
      </c>
      <c r="E78" s="33" t="s">
        <v>855</v>
      </c>
    </row>
    <row r="79" spans="1:5" x14ac:dyDescent="0.3">
      <c r="A79" s="16" t="s">
        <v>1032</v>
      </c>
      <c r="B79" s="18" t="s">
        <v>898</v>
      </c>
      <c r="C79" s="18" t="s">
        <v>1305</v>
      </c>
      <c r="D79" s="27">
        <v>5000</v>
      </c>
      <c r="E79" s="22" t="s">
        <v>216</v>
      </c>
    </row>
    <row r="80" spans="1:5" x14ac:dyDescent="0.3">
      <c r="A80" s="16" t="s">
        <v>1236</v>
      </c>
      <c r="B80" s="18" t="s">
        <v>1231</v>
      </c>
      <c r="C80" s="18" t="s">
        <v>1243</v>
      </c>
      <c r="D80" s="134">
        <f>($D$76*$D$76*0.0000001)-(0.00009*$D$76)+26</f>
        <v>35.1</v>
      </c>
      <c r="E80" s="33" t="s">
        <v>216</v>
      </c>
    </row>
    <row r="81" spans="1:5" x14ac:dyDescent="0.3">
      <c r="A81" s="16" t="s">
        <v>808</v>
      </c>
      <c r="B81" s="18" t="s">
        <v>129</v>
      </c>
      <c r="C81" s="18"/>
      <c r="D81" s="134">
        <f>'25. CHEM. &amp; MAT.'!$F$13</f>
        <v>1.429</v>
      </c>
      <c r="E81" s="33" t="s">
        <v>1581</v>
      </c>
    </row>
    <row r="82" spans="1:5" x14ac:dyDescent="0.3">
      <c r="A82" s="16" t="s">
        <v>1237</v>
      </c>
      <c r="B82" s="18" t="s">
        <v>899</v>
      </c>
      <c r="C82" s="18"/>
      <c r="D82" s="134">
        <f>'25. CHEM. &amp; MAT.'!G13</f>
        <v>31.998999999999999</v>
      </c>
      <c r="E82" s="33" t="s">
        <v>1581</v>
      </c>
    </row>
    <row r="83" spans="1:5" x14ac:dyDescent="0.3">
      <c r="A83" s="16" t="s">
        <v>1238</v>
      </c>
      <c r="B83" s="18" t="s">
        <v>1242</v>
      </c>
      <c r="C83" s="18"/>
      <c r="D83" s="134">
        <f>(D80/1000)*(D81*1000)/D82</f>
        <v>1.5674833588549641</v>
      </c>
      <c r="E83" s="33" t="s">
        <v>1581</v>
      </c>
    </row>
    <row r="84" spans="1:5" x14ac:dyDescent="0.3">
      <c r="A84" s="16" t="s">
        <v>1235</v>
      </c>
      <c r="B84" s="18" t="s">
        <v>225</v>
      </c>
      <c r="C84" s="4" t="s">
        <v>1245</v>
      </c>
      <c r="D84" s="4">
        <v>2</v>
      </c>
      <c r="E84" s="33" t="s">
        <v>855</v>
      </c>
    </row>
    <row r="85" spans="1:5" x14ac:dyDescent="0.3">
      <c r="A85" s="16" t="s">
        <v>1239</v>
      </c>
      <c r="B85" s="18" t="s">
        <v>1242</v>
      </c>
      <c r="C85" s="18"/>
      <c r="D85" s="134">
        <f>$D$84*$D$83</f>
        <v>3.1349667177099283</v>
      </c>
      <c r="E85" s="33" t="s">
        <v>232</v>
      </c>
    </row>
    <row r="86" spans="1:5" x14ac:dyDescent="0.3">
      <c r="A86" s="16" t="s">
        <v>1240</v>
      </c>
      <c r="B86" s="18" t="s">
        <v>899</v>
      </c>
      <c r="C86" s="18"/>
      <c r="D86" s="134">
        <f>'25. CHEM. &amp; MAT.'!G12</f>
        <v>1.008</v>
      </c>
      <c r="E86" s="33" t="s">
        <v>1581</v>
      </c>
    </row>
    <row r="87" spans="1:5" x14ac:dyDescent="0.3">
      <c r="A87" s="16" t="s">
        <v>1241</v>
      </c>
      <c r="B87" s="18" t="s">
        <v>129</v>
      </c>
      <c r="C87" s="18"/>
      <c r="D87" s="134">
        <f>'25. CHEM. &amp; MAT.'!F12</f>
        <v>0.09</v>
      </c>
      <c r="E87" s="33" t="s">
        <v>1581</v>
      </c>
    </row>
    <row r="88" spans="1:5" x14ac:dyDescent="0.3">
      <c r="A88" s="16" t="s">
        <v>981</v>
      </c>
      <c r="B88" s="18" t="s">
        <v>128</v>
      </c>
      <c r="C88" s="18" t="s">
        <v>1244</v>
      </c>
      <c r="D88" s="134">
        <f>($D$85*$D$86)</f>
        <v>3.1600464514516076</v>
      </c>
      <c r="E88" s="33" t="s">
        <v>232</v>
      </c>
    </row>
    <row r="89" spans="1:5" x14ac:dyDescent="0.3">
      <c r="A89" s="16" t="s">
        <v>890</v>
      </c>
      <c r="B89" s="18" t="s">
        <v>226</v>
      </c>
      <c r="C89" s="18" t="s">
        <v>980</v>
      </c>
      <c r="D89" s="18">
        <v>120</v>
      </c>
      <c r="E89" s="33" t="s">
        <v>2112</v>
      </c>
    </row>
    <row r="90" spans="1:5" x14ac:dyDescent="0.3">
      <c r="A90" s="16" t="s">
        <v>979</v>
      </c>
      <c r="B90" s="18" t="s">
        <v>226</v>
      </c>
      <c r="C90" s="18" t="s">
        <v>1234</v>
      </c>
      <c r="D90">
        <f>20*60</f>
        <v>1200</v>
      </c>
      <c r="E90" s="33" t="s">
        <v>2112</v>
      </c>
    </row>
    <row r="91" spans="1:5" x14ac:dyDescent="0.3">
      <c r="A91" s="16" t="s">
        <v>978</v>
      </c>
      <c r="B91" s="18" t="s">
        <v>226</v>
      </c>
      <c r="C91" s="18"/>
      <c r="D91" s="18">
        <f>($D$76/$D$79)*3600</f>
        <v>7200</v>
      </c>
      <c r="E91" s="22" t="s">
        <v>232</v>
      </c>
    </row>
    <row r="92" spans="1:5" x14ac:dyDescent="0.3">
      <c r="A92" s="16" t="s">
        <v>247</v>
      </c>
      <c r="B92" s="18" t="s">
        <v>225</v>
      </c>
      <c r="C92" s="18" t="s">
        <v>1025</v>
      </c>
      <c r="D92" s="18">
        <v>100</v>
      </c>
      <c r="E92" s="33" t="s">
        <v>2106</v>
      </c>
    </row>
    <row r="93" spans="1:5" x14ac:dyDescent="0.3">
      <c r="A93" s="16" t="s">
        <v>2117</v>
      </c>
      <c r="B93" s="18" t="s">
        <v>226</v>
      </c>
      <c r="C93" s="4"/>
      <c r="D93" s="4">
        <f>SUM(D89:D91)</f>
        <v>8520</v>
      </c>
      <c r="E93" s="22" t="s">
        <v>232</v>
      </c>
    </row>
    <row r="94" spans="1:5" x14ac:dyDescent="0.3">
      <c r="A94" s="642" t="s">
        <v>351</v>
      </c>
      <c r="B94" s="643" t="s">
        <v>131</v>
      </c>
      <c r="C94" s="643"/>
      <c r="D94" s="643">
        <f>'2. PROCESS RECAP '!$E$31</f>
        <v>7.5</v>
      </c>
      <c r="E94" s="579" t="s">
        <v>2208</v>
      </c>
    </row>
    <row r="95" spans="1:5" ht="15" thickBot="1" x14ac:dyDescent="0.35">
      <c r="A95" s="634" t="s">
        <v>246</v>
      </c>
      <c r="B95" s="635" t="s">
        <v>225</v>
      </c>
      <c r="C95" s="635"/>
      <c r="D95" s="636">
        <f>'2. PROCESS RECAP '!$H$31</f>
        <v>1</v>
      </c>
      <c r="E95" s="637" t="s">
        <v>2209</v>
      </c>
    </row>
    <row r="96" spans="1:5" x14ac:dyDescent="0.3">
      <c r="A96" s="1122" t="s">
        <v>291</v>
      </c>
      <c r="B96" s="1123"/>
      <c r="C96" s="1123"/>
      <c r="D96" s="1123"/>
      <c r="E96" s="1124"/>
    </row>
    <row r="97" spans="1:5" x14ac:dyDescent="0.3">
      <c r="A97" s="285" t="s">
        <v>716</v>
      </c>
      <c r="B97" s="15" t="s">
        <v>132</v>
      </c>
      <c r="C97" s="15" t="s">
        <v>1038</v>
      </c>
      <c r="D97" s="286">
        <f>(($D$94*(($D$93+$D$93/3)/3600)*$D$95)/$D$92)*'1. USER INPUTS'!$E$23</f>
        <v>1.0167987327640196E-3</v>
      </c>
      <c r="E97" s="276" t="s">
        <v>232</v>
      </c>
    </row>
    <row r="98" spans="1:5" x14ac:dyDescent="0.3">
      <c r="A98" s="287" t="s">
        <v>375</v>
      </c>
      <c r="B98" s="15" t="s">
        <v>128</v>
      </c>
      <c r="C98" s="15" t="s">
        <v>137</v>
      </c>
      <c r="D98" s="107">
        <f>(($D$80*($D$93/60))*($D$81/1000))*$D$95*'1. USER INPUTS'!$E$23</f>
        <v>3.0600293494862658E-2</v>
      </c>
      <c r="E98" s="276" t="s">
        <v>232</v>
      </c>
    </row>
    <row r="99" spans="1:5" x14ac:dyDescent="0.3">
      <c r="A99" s="293" t="s">
        <v>802</v>
      </c>
      <c r="B99" s="15" t="s">
        <v>128</v>
      </c>
      <c r="C99" s="15" t="s">
        <v>1246</v>
      </c>
      <c r="D99" s="107">
        <f>$D$88*$D$95*'1. USER INPUTS'!$E$23</f>
        <v>1.3576610819625769E-2</v>
      </c>
      <c r="E99" s="276" t="s">
        <v>232</v>
      </c>
    </row>
    <row r="100" spans="1:5" x14ac:dyDescent="0.3">
      <c r="A100" s="285" t="s">
        <v>716</v>
      </c>
      <c r="B100" s="39" t="s">
        <v>132</v>
      </c>
      <c r="C100" s="15" t="s">
        <v>905</v>
      </c>
      <c r="D100" s="107">
        <f>((5*(($D$89+$D$89/3)/3600))/$D$92)*$D$95*'1. USER INPUTS'!$E$23</f>
        <v>9.5474059414461955E-6</v>
      </c>
      <c r="E100" s="276" t="s">
        <v>232</v>
      </c>
    </row>
    <row r="101" spans="1:5" x14ac:dyDescent="0.3">
      <c r="A101" s="285" t="s">
        <v>716</v>
      </c>
      <c r="B101" s="39" t="s">
        <v>132</v>
      </c>
      <c r="C101" s="15" t="s">
        <v>906</v>
      </c>
      <c r="D101" s="107">
        <f>((5*(($D$89+$D$89/3)/3600))/$D$92)*$D$95*'1. USER INPUTS'!$E$23</f>
        <v>9.5474059414461955E-6</v>
      </c>
      <c r="E101" s="276" t="s">
        <v>232</v>
      </c>
    </row>
    <row r="102" spans="1:5" x14ac:dyDescent="0.3">
      <c r="A102" s="1128" t="s">
        <v>292</v>
      </c>
      <c r="B102" s="1129"/>
      <c r="C102" s="1129"/>
      <c r="D102" s="1129"/>
      <c r="E102" s="1130"/>
    </row>
    <row r="103" spans="1:5" x14ac:dyDescent="0.3">
      <c r="A103" s="16" t="s">
        <v>322</v>
      </c>
      <c r="B103" s="18" t="s">
        <v>293</v>
      </c>
      <c r="C103" s="18"/>
      <c r="D103" s="27">
        <v>1</v>
      </c>
      <c r="E103" s="22"/>
    </row>
    <row r="104" spans="1:5" x14ac:dyDescent="0.3">
      <c r="A104" s="284" t="s">
        <v>2228</v>
      </c>
      <c r="B104" s="113" t="s">
        <v>128</v>
      </c>
      <c r="C104" s="113" t="s">
        <v>2253</v>
      </c>
      <c r="D104" s="725" t="s">
        <v>210</v>
      </c>
      <c r="E104" s="291" t="s">
        <v>210</v>
      </c>
    </row>
    <row r="105" spans="1:5" ht="15" thickBot="1" x14ac:dyDescent="0.35">
      <c r="A105" s="110" t="s">
        <v>1947</v>
      </c>
      <c r="B105" s="111" t="s">
        <v>128</v>
      </c>
      <c r="C105" s="111" t="s">
        <v>2253</v>
      </c>
      <c r="D105" s="117">
        <f>$D$99</f>
        <v>1.3576610819625769E-2</v>
      </c>
      <c r="E105" s="283" t="s">
        <v>232</v>
      </c>
    </row>
    <row r="106" spans="1:5" x14ac:dyDescent="0.3">
      <c r="A106" s="1140"/>
      <c r="B106" s="1141"/>
      <c r="C106" s="1141"/>
      <c r="D106" s="1141"/>
      <c r="E106" s="1142"/>
    </row>
    <row r="107" spans="1:5" ht="15" thickBot="1" x14ac:dyDescent="0.35">
      <c r="A107" s="1143"/>
      <c r="B107" s="1144"/>
      <c r="C107" s="1144"/>
      <c r="D107" s="1144"/>
      <c r="E107" s="1145"/>
    </row>
    <row r="108" spans="1:5" ht="30" customHeight="1" thickBot="1" x14ac:dyDescent="0.35">
      <c r="A108" s="638" t="s">
        <v>2152</v>
      </c>
      <c r="B108" s="657" t="s">
        <v>142</v>
      </c>
      <c r="C108" s="654" t="s">
        <v>256</v>
      </c>
      <c r="D108" s="655" t="s">
        <v>236</v>
      </c>
      <c r="E108" s="656" t="s">
        <v>212</v>
      </c>
    </row>
    <row r="109" spans="1:5" x14ac:dyDescent="0.3">
      <c r="A109" s="29" t="s">
        <v>266</v>
      </c>
      <c r="B109" s="151" t="s">
        <v>225</v>
      </c>
      <c r="C109" s="155" t="s">
        <v>2161</v>
      </c>
      <c r="D109" s="1159" t="s">
        <v>210</v>
      </c>
      <c r="E109" s="1136" t="s">
        <v>2106</v>
      </c>
    </row>
    <row r="110" spans="1:5" x14ac:dyDescent="0.3">
      <c r="A110" s="119" t="s">
        <v>2028</v>
      </c>
      <c r="B110" s="18" t="s">
        <v>225</v>
      </c>
      <c r="C110" s="156" t="s">
        <v>2153</v>
      </c>
      <c r="D110" s="1161"/>
      <c r="E110" s="1138"/>
    </row>
    <row r="111" spans="1:5" x14ac:dyDescent="0.3">
      <c r="A111" s="16" t="s">
        <v>268</v>
      </c>
      <c r="B111" s="18" t="s">
        <v>274</v>
      </c>
      <c r="C111" s="18" t="s">
        <v>298</v>
      </c>
      <c r="D111" s="27" t="s">
        <v>299</v>
      </c>
      <c r="E111" s="185" t="s">
        <v>2106</v>
      </c>
    </row>
    <row r="112" spans="1:5" x14ac:dyDescent="0.3">
      <c r="A112" s="16" t="s">
        <v>269</v>
      </c>
      <c r="B112" s="18" t="s">
        <v>270</v>
      </c>
      <c r="C112" s="18"/>
      <c r="D112" s="27">
        <v>1100</v>
      </c>
      <c r="E112" s="185" t="s">
        <v>2106</v>
      </c>
    </row>
    <row r="113" spans="1:8" x14ac:dyDescent="0.3">
      <c r="A113" s="16" t="s">
        <v>984</v>
      </c>
      <c r="B113" s="18" t="s">
        <v>869</v>
      </c>
      <c r="C113" s="18"/>
      <c r="D113" s="27">
        <v>50</v>
      </c>
      <c r="E113" s="185" t="s">
        <v>2106</v>
      </c>
    </row>
    <row r="114" spans="1:8" x14ac:dyDescent="0.3">
      <c r="A114" s="16" t="s">
        <v>853</v>
      </c>
      <c r="B114" s="18" t="s">
        <v>531</v>
      </c>
      <c r="C114" s="18"/>
      <c r="D114" s="27">
        <v>200</v>
      </c>
      <c r="E114" s="185" t="s">
        <v>2106</v>
      </c>
    </row>
    <row r="115" spans="1:8" x14ac:dyDescent="0.3">
      <c r="A115" s="16" t="s">
        <v>859</v>
      </c>
      <c r="B115" s="18" t="s">
        <v>129</v>
      </c>
      <c r="C115" s="18"/>
      <c r="D115" s="134">
        <f>'25. CHEM. &amp; MAT.'!$F$14</f>
        <v>1.25</v>
      </c>
      <c r="E115" s="33" t="s">
        <v>1581</v>
      </c>
      <c r="H115" s="309"/>
    </row>
    <row r="116" spans="1:8" x14ac:dyDescent="0.3">
      <c r="A116" s="16" t="s">
        <v>890</v>
      </c>
      <c r="B116" s="18" t="s">
        <v>226</v>
      </c>
      <c r="C116" s="18" t="s">
        <v>983</v>
      </c>
      <c r="D116" s="27">
        <v>60</v>
      </c>
      <c r="E116" s="185" t="s">
        <v>2106</v>
      </c>
    </row>
    <row r="117" spans="1:8" x14ac:dyDescent="0.3">
      <c r="A117" s="16" t="s">
        <v>979</v>
      </c>
      <c r="B117" s="18" t="s">
        <v>226</v>
      </c>
      <c r="C117" s="18"/>
      <c r="D117" s="138">
        <f>D112/D113</f>
        <v>22</v>
      </c>
      <c r="E117" s="185" t="s">
        <v>2106</v>
      </c>
    </row>
    <row r="118" spans="1:8" x14ac:dyDescent="0.3">
      <c r="A118" s="16" t="s">
        <v>1260</v>
      </c>
      <c r="B118" s="18" t="s">
        <v>226</v>
      </c>
      <c r="C118" s="18"/>
      <c r="D118" s="27">
        <v>120</v>
      </c>
      <c r="E118" s="185" t="s">
        <v>2106</v>
      </c>
    </row>
    <row r="119" spans="1:8" x14ac:dyDescent="0.3">
      <c r="A119" s="16" t="s">
        <v>2082</v>
      </c>
      <c r="B119" s="18" t="s">
        <v>226</v>
      </c>
      <c r="C119" s="18"/>
      <c r="D119" s="27">
        <v>1200</v>
      </c>
      <c r="E119" s="185" t="s">
        <v>2106</v>
      </c>
    </row>
    <row r="120" spans="1:8" x14ac:dyDescent="0.3">
      <c r="A120" s="16" t="s">
        <v>1252</v>
      </c>
      <c r="B120" s="18" t="s">
        <v>226</v>
      </c>
      <c r="C120" s="18" t="s">
        <v>1253</v>
      </c>
      <c r="D120" s="27">
        <f>13*60</f>
        <v>780</v>
      </c>
      <c r="E120" s="185" t="s">
        <v>2106</v>
      </c>
    </row>
    <row r="121" spans="1:8" x14ac:dyDescent="0.3">
      <c r="A121" s="16" t="s">
        <v>247</v>
      </c>
      <c r="B121" s="18" t="s">
        <v>225</v>
      </c>
      <c r="C121" s="18" t="s">
        <v>339</v>
      </c>
      <c r="D121" s="27">
        <v>1</v>
      </c>
      <c r="E121" s="185" t="s">
        <v>2106</v>
      </c>
    </row>
    <row r="122" spans="1:8" x14ac:dyDescent="0.3">
      <c r="A122" s="16" t="s">
        <v>2136</v>
      </c>
      <c r="B122" s="18" t="s">
        <v>226</v>
      </c>
      <c r="C122" s="4" t="s">
        <v>2122</v>
      </c>
      <c r="D122" s="235">
        <f>SUM(D116:D118,D120)</f>
        <v>982</v>
      </c>
      <c r="E122" s="22" t="s">
        <v>2162</v>
      </c>
    </row>
    <row r="123" spans="1:8" x14ac:dyDescent="0.3">
      <c r="A123" s="16" t="s">
        <v>2137</v>
      </c>
      <c r="B123" s="18" t="s">
        <v>226</v>
      </c>
      <c r="C123" s="4" t="s">
        <v>2121</v>
      </c>
      <c r="D123" s="235">
        <f>SUM(D116:D117,D119,D120)</f>
        <v>2062</v>
      </c>
      <c r="E123" s="22" t="s">
        <v>2162</v>
      </c>
    </row>
    <row r="124" spans="1:8" x14ac:dyDescent="0.3">
      <c r="A124" s="578" t="s">
        <v>351</v>
      </c>
      <c r="B124" s="543" t="s">
        <v>131</v>
      </c>
      <c r="C124" s="543"/>
      <c r="D124" s="639">
        <f>'2. PROCESS RECAP '!$E$32</f>
        <v>7.5</v>
      </c>
      <c r="E124" s="579" t="s">
        <v>2208</v>
      </c>
    </row>
    <row r="125" spans="1:8" x14ac:dyDescent="0.3">
      <c r="A125" s="578" t="s">
        <v>2138</v>
      </c>
      <c r="B125" s="543" t="s">
        <v>225</v>
      </c>
      <c r="C125" s="543"/>
      <c r="D125" s="639">
        <f>'2. PROCESS RECAP '!$H$32</f>
        <v>3</v>
      </c>
      <c r="E125" s="579" t="s">
        <v>2209</v>
      </c>
    </row>
    <row r="126" spans="1:8" ht="15" thickBot="1" x14ac:dyDescent="0.35">
      <c r="A126" s="634" t="s">
        <v>2179</v>
      </c>
      <c r="B126" s="635" t="s">
        <v>225</v>
      </c>
      <c r="C126" s="635"/>
      <c r="D126" s="636">
        <f>'2. PROCESS RECAP '!$H$33</f>
        <v>1</v>
      </c>
      <c r="E126" s="722" t="s">
        <v>2209</v>
      </c>
    </row>
    <row r="127" spans="1:8" x14ac:dyDescent="0.3">
      <c r="A127" s="1122" t="s">
        <v>291</v>
      </c>
      <c r="B127" s="1123"/>
      <c r="C127" s="1123"/>
      <c r="D127" s="1123"/>
      <c r="E127" s="1124"/>
    </row>
    <row r="128" spans="1:8" x14ac:dyDescent="0.3">
      <c r="A128" s="285" t="s">
        <v>716</v>
      </c>
      <c r="B128" s="15" t="s">
        <v>132</v>
      </c>
      <c r="C128" s="15" t="s">
        <v>1038</v>
      </c>
      <c r="D128" s="286">
        <f>$D$124*((SUM($D$122,$D$123)+(SUM($D$122,$D$123)/3))/3600)*'1. USER INPUTS'!$E$23</f>
        <v>3.6327879607202775E-2</v>
      </c>
      <c r="E128" s="276" t="s">
        <v>232</v>
      </c>
    </row>
    <row r="129" spans="1:5" x14ac:dyDescent="0.3">
      <c r="A129" s="287" t="s">
        <v>962</v>
      </c>
      <c r="B129" s="15" t="s">
        <v>128</v>
      </c>
      <c r="C129" s="15" t="s">
        <v>136</v>
      </c>
      <c r="D129" s="107">
        <f>($D$114*($D$122/60))*($D$115/1000)*'1. USER INPUTS'!$E$23</f>
        <v>1.7579161189687807E-2</v>
      </c>
      <c r="E129" s="276" t="s">
        <v>232</v>
      </c>
    </row>
    <row r="130" spans="1:5" x14ac:dyDescent="0.3">
      <c r="A130" s="262" t="s">
        <v>716</v>
      </c>
      <c r="B130" s="39" t="s">
        <v>132</v>
      </c>
      <c r="C130" s="15" t="s">
        <v>905</v>
      </c>
      <c r="D130" s="107">
        <f>((5*(($D$116+$D$116/3)/3600))/$D$121)*$D$125*'1. USER INPUTS'!$E$23</f>
        <v>1.4321108912169294E-3</v>
      </c>
      <c r="E130" s="276" t="s">
        <v>232</v>
      </c>
    </row>
    <row r="131" spans="1:5" x14ac:dyDescent="0.3">
      <c r="A131" s="1128" t="s">
        <v>292</v>
      </c>
      <c r="B131" s="1129"/>
      <c r="C131" s="1129"/>
      <c r="D131" s="1129"/>
      <c r="E131" s="1162"/>
    </row>
    <row r="132" spans="1:5" x14ac:dyDescent="0.3">
      <c r="A132" s="16" t="s">
        <v>322</v>
      </c>
      <c r="B132" s="18" t="s">
        <v>293</v>
      </c>
      <c r="C132" s="18"/>
      <c r="D132" s="27">
        <v>1</v>
      </c>
      <c r="E132" s="22"/>
    </row>
    <row r="133" spans="1:5" ht="15" thickBot="1" x14ac:dyDescent="0.35">
      <c r="A133" s="110" t="s">
        <v>816</v>
      </c>
      <c r="B133" s="111" t="s">
        <v>128</v>
      </c>
      <c r="C133" s="111" t="s">
        <v>2253</v>
      </c>
      <c r="D133" s="117">
        <f>$D$129</f>
        <v>1.7579161189687807E-2</v>
      </c>
      <c r="E133" s="283" t="s">
        <v>232</v>
      </c>
    </row>
    <row r="134" spans="1:5" x14ac:dyDescent="0.3">
      <c r="A134" s="1140"/>
      <c r="B134" s="1141"/>
      <c r="C134" s="1141"/>
      <c r="D134" s="1141"/>
      <c r="E134" s="1142"/>
    </row>
    <row r="135" spans="1:5" ht="15" thickBot="1" x14ac:dyDescent="0.35">
      <c r="A135" s="1143"/>
      <c r="B135" s="1144"/>
      <c r="C135" s="1144"/>
      <c r="D135" s="1144"/>
      <c r="E135" s="1145"/>
    </row>
    <row r="136" spans="1:5" ht="30" customHeight="1" thickBot="1" x14ac:dyDescent="0.35">
      <c r="A136" s="638" t="s">
        <v>2155</v>
      </c>
      <c r="B136" s="657" t="s">
        <v>142</v>
      </c>
      <c r="C136" s="654" t="s">
        <v>256</v>
      </c>
      <c r="D136" s="655" t="s">
        <v>236</v>
      </c>
      <c r="E136" s="656" t="s">
        <v>212</v>
      </c>
    </row>
    <row r="137" spans="1:5" x14ac:dyDescent="0.3">
      <c r="A137" s="29" t="s">
        <v>266</v>
      </c>
      <c r="B137" s="151" t="s">
        <v>225</v>
      </c>
      <c r="C137" s="19" t="s">
        <v>2154</v>
      </c>
      <c r="D137" s="1159" t="s">
        <v>210</v>
      </c>
      <c r="E137" s="1136" t="s">
        <v>2106</v>
      </c>
    </row>
    <row r="138" spans="1:5" x14ac:dyDescent="0.3">
      <c r="A138" s="119" t="s">
        <v>2028</v>
      </c>
      <c r="B138" s="18" t="s">
        <v>225</v>
      </c>
      <c r="C138" s="156" t="s">
        <v>2147</v>
      </c>
      <c r="D138" s="1161"/>
      <c r="E138" s="1138"/>
    </row>
    <row r="139" spans="1:5" x14ac:dyDescent="0.3">
      <c r="A139" s="16" t="s">
        <v>268</v>
      </c>
      <c r="B139" s="18" t="s">
        <v>274</v>
      </c>
      <c r="C139" s="18" t="s">
        <v>298</v>
      </c>
      <c r="D139" s="27" t="s">
        <v>299</v>
      </c>
      <c r="E139" s="185" t="s">
        <v>2106</v>
      </c>
    </row>
    <row r="140" spans="1:5" x14ac:dyDescent="0.3">
      <c r="A140" s="16" t="s">
        <v>269</v>
      </c>
      <c r="B140" s="18" t="s">
        <v>270</v>
      </c>
      <c r="C140" s="18"/>
      <c r="D140" s="27">
        <v>1100</v>
      </c>
      <c r="E140" s="185" t="s">
        <v>2106</v>
      </c>
    </row>
    <row r="141" spans="1:5" x14ac:dyDescent="0.3">
      <c r="A141" s="16" t="s">
        <v>984</v>
      </c>
      <c r="B141" s="18" t="s">
        <v>869</v>
      </c>
      <c r="C141" s="18"/>
      <c r="D141" s="27">
        <f>($D$140-20)/$D$145</f>
        <v>0.9</v>
      </c>
      <c r="E141" s="185" t="s">
        <v>2106</v>
      </c>
    </row>
    <row r="142" spans="1:5" x14ac:dyDescent="0.3">
      <c r="A142" s="16" t="s">
        <v>853</v>
      </c>
      <c r="B142" s="18" t="s">
        <v>531</v>
      </c>
      <c r="C142" s="18"/>
      <c r="D142" s="27">
        <v>200</v>
      </c>
      <c r="E142" s="185" t="s">
        <v>2106</v>
      </c>
    </row>
    <row r="143" spans="1:5" x14ac:dyDescent="0.3">
      <c r="A143" s="16" t="s">
        <v>859</v>
      </c>
      <c r="B143" s="18" t="s">
        <v>129</v>
      </c>
      <c r="C143" s="18"/>
      <c r="D143" s="134">
        <f>'25. CHEM. &amp; MAT.'!$F$14</f>
        <v>1.25</v>
      </c>
      <c r="E143" s="33" t="s">
        <v>1581</v>
      </c>
    </row>
    <row r="144" spans="1:5" x14ac:dyDescent="0.3">
      <c r="A144" s="16" t="s">
        <v>890</v>
      </c>
      <c r="B144" s="18" t="s">
        <v>226</v>
      </c>
      <c r="C144" s="18" t="s">
        <v>983</v>
      </c>
      <c r="D144" s="27">
        <v>60</v>
      </c>
      <c r="E144" s="185" t="s">
        <v>2106</v>
      </c>
    </row>
    <row r="145" spans="1:5" x14ac:dyDescent="0.3">
      <c r="A145" s="16" t="s">
        <v>979</v>
      </c>
      <c r="B145" s="18" t="s">
        <v>226</v>
      </c>
      <c r="C145" s="18" t="s">
        <v>1234</v>
      </c>
      <c r="D145">
        <f>20*60</f>
        <v>1200</v>
      </c>
      <c r="E145" s="185" t="s">
        <v>2106</v>
      </c>
    </row>
    <row r="146" spans="1:5" x14ac:dyDescent="0.3">
      <c r="A146" s="16" t="s">
        <v>982</v>
      </c>
      <c r="B146" s="18" t="s">
        <v>226</v>
      </c>
      <c r="C146" s="18" t="s">
        <v>1251</v>
      </c>
      <c r="D146" s="27">
        <v>3600</v>
      </c>
      <c r="E146" s="185" t="s">
        <v>2106</v>
      </c>
    </row>
    <row r="147" spans="1:5" x14ac:dyDescent="0.3">
      <c r="A147" s="16" t="s">
        <v>247</v>
      </c>
      <c r="B147" s="18" t="s">
        <v>225</v>
      </c>
      <c r="C147" s="18" t="s">
        <v>1025</v>
      </c>
      <c r="D147" s="27">
        <v>100</v>
      </c>
      <c r="E147" s="185" t="s">
        <v>2106</v>
      </c>
    </row>
    <row r="148" spans="1:5" x14ac:dyDescent="0.3">
      <c r="A148" s="16" t="s">
        <v>858</v>
      </c>
      <c r="B148" s="18" t="s">
        <v>226</v>
      </c>
      <c r="C148" s="4"/>
      <c r="D148" s="235">
        <f>SUM($D$144:$D$146)</f>
        <v>4860</v>
      </c>
      <c r="E148" s="33" t="s">
        <v>232</v>
      </c>
    </row>
    <row r="149" spans="1:5" x14ac:dyDescent="0.3">
      <c r="A149" s="578" t="s">
        <v>351</v>
      </c>
      <c r="B149" s="543" t="s">
        <v>131</v>
      </c>
      <c r="C149" s="543"/>
      <c r="D149" s="639">
        <f>'2. PROCESS RECAP '!$E$34</f>
        <v>7.5</v>
      </c>
      <c r="E149" s="579" t="s">
        <v>2208</v>
      </c>
    </row>
    <row r="150" spans="1:5" ht="15" thickBot="1" x14ac:dyDescent="0.35">
      <c r="A150" s="634" t="s">
        <v>246</v>
      </c>
      <c r="B150" s="635" t="s">
        <v>225</v>
      </c>
      <c r="C150" s="635"/>
      <c r="D150" s="636">
        <f>'2. PROCESS RECAP '!$H$34</f>
        <v>1</v>
      </c>
      <c r="E150" s="637" t="s">
        <v>2209</v>
      </c>
    </row>
    <row r="151" spans="1:5" x14ac:dyDescent="0.3">
      <c r="A151" s="1122" t="s">
        <v>291</v>
      </c>
      <c r="B151" s="1123"/>
      <c r="C151" s="1123"/>
      <c r="D151" s="1123"/>
      <c r="E151" s="1124"/>
    </row>
    <row r="152" spans="1:5" x14ac:dyDescent="0.3">
      <c r="A152" s="285" t="s">
        <v>716</v>
      </c>
      <c r="B152" s="15" t="s">
        <v>132</v>
      </c>
      <c r="C152" s="15" t="s">
        <v>1038</v>
      </c>
      <c r="D152" s="286">
        <f>($D$149*(($D$148+$D$148/3)/3600)/$D$147)*'1. USER INPUTS'!$E$23</f>
        <v>5.8000491094285637E-4</v>
      </c>
      <c r="E152" s="276" t="s">
        <v>232</v>
      </c>
    </row>
    <row r="153" spans="1:5" x14ac:dyDescent="0.3">
      <c r="A153" s="287" t="s">
        <v>962</v>
      </c>
      <c r="B153" s="15" t="s">
        <v>128</v>
      </c>
      <c r="C153" s="15" t="s">
        <v>136</v>
      </c>
      <c r="D153" s="107">
        <f>($D$114*(SUM($D$117,$D$118)/60))*($D$115/1000)*'1. USER INPUTS'!$E$23</f>
        <v>2.5419968319100495E-3</v>
      </c>
      <c r="E153" s="276" t="s">
        <v>232</v>
      </c>
    </row>
    <row r="154" spans="1:5" x14ac:dyDescent="0.3">
      <c r="A154" s="262" t="s">
        <v>716</v>
      </c>
      <c r="B154" s="39" t="s">
        <v>132</v>
      </c>
      <c r="C154" s="15" t="s">
        <v>905</v>
      </c>
      <c r="D154" s="107">
        <f>((5*(($D$144+$D$144/3)/3600))/$D$147)*$D$150*'1. USER INPUTS'!$E$23</f>
        <v>4.7737029707230977E-6</v>
      </c>
      <c r="E154" s="276" t="s">
        <v>232</v>
      </c>
    </row>
    <row r="155" spans="1:5" x14ac:dyDescent="0.3">
      <c r="A155" s="1128" t="s">
        <v>292</v>
      </c>
      <c r="B155" s="1129"/>
      <c r="C155" s="1129"/>
      <c r="D155" s="1129"/>
      <c r="E155" s="1162"/>
    </row>
    <row r="156" spans="1:5" x14ac:dyDescent="0.3">
      <c r="A156" s="16" t="s">
        <v>322</v>
      </c>
      <c r="B156" s="18" t="s">
        <v>293</v>
      </c>
      <c r="C156" s="18"/>
      <c r="D156" s="27">
        <v>1</v>
      </c>
      <c r="E156" s="22"/>
    </row>
    <row r="157" spans="1:5" ht="15" thickBot="1" x14ac:dyDescent="0.35">
      <c r="A157" s="110" t="s">
        <v>816</v>
      </c>
      <c r="B157" s="111" t="s">
        <v>128</v>
      </c>
      <c r="C157" s="111" t="s">
        <v>2253</v>
      </c>
      <c r="D157" s="117">
        <f>$D$153</f>
        <v>2.5419968319100495E-3</v>
      </c>
      <c r="E157" s="283" t="s">
        <v>232</v>
      </c>
    </row>
    <row r="158" spans="1:5" x14ac:dyDescent="0.3">
      <c r="A158" s="1140"/>
      <c r="B158" s="1141"/>
      <c r="C158" s="1141"/>
      <c r="D158" s="1141"/>
      <c r="E158" s="1142"/>
    </row>
    <row r="159" spans="1:5" ht="15" thickBot="1" x14ac:dyDescent="0.35">
      <c r="A159" s="1143"/>
      <c r="B159" s="1144"/>
      <c r="C159" s="1144"/>
      <c r="D159" s="1144"/>
      <c r="E159" s="1145"/>
    </row>
    <row r="160" spans="1:5" ht="30" customHeight="1" thickBot="1" x14ac:dyDescent="0.35">
      <c r="A160" s="638" t="s">
        <v>2158</v>
      </c>
      <c r="B160" s="657" t="s">
        <v>142</v>
      </c>
      <c r="C160" s="654" t="s">
        <v>256</v>
      </c>
      <c r="D160" s="655" t="s">
        <v>236</v>
      </c>
      <c r="E160" s="656" t="s">
        <v>212</v>
      </c>
    </row>
    <row r="161" spans="1:5" x14ac:dyDescent="0.3">
      <c r="A161" s="29" t="s">
        <v>266</v>
      </c>
      <c r="B161" s="151" t="s">
        <v>225</v>
      </c>
      <c r="C161" s="19" t="s">
        <v>2156</v>
      </c>
      <c r="D161" s="1159" t="s">
        <v>210</v>
      </c>
      <c r="E161" s="1136" t="s">
        <v>2106</v>
      </c>
    </row>
    <row r="162" spans="1:5" x14ac:dyDescent="0.3">
      <c r="A162" s="119" t="s">
        <v>2028</v>
      </c>
      <c r="B162" s="18" t="s">
        <v>225</v>
      </c>
      <c r="C162" s="175" t="s">
        <v>2157</v>
      </c>
      <c r="D162" s="1161"/>
      <c r="E162" s="1138"/>
    </row>
    <row r="163" spans="1:5" x14ac:dyDescent="0.3">
      <c r="A163" s="16" t="s">
        <v>269</v>
      </c>
      <c r="B163" s="18" t="s">
        <v>270</v>
      </c>
      <c r="C163" s="18"/>
      <c r="D163" s="27" t="s">
        <v>1093</v>
      </c>
      <c r="E163" s="185" t="s">
        <v>2106</v>
      </c>
    </row>
    <row r="164" spans="1:5" x14ac:dyDescent="0.3">
      <c r="A164" s="16" t="s">
        <v>188</v>
      </c>
      <c r="B164" s="18" t="s">
        <v>309</v>
      </c>
      <c r="C164" s="18"/>
      <c r="D164" s="27">
        <f>'1. USER INPUTS'!E12</f>
        <v>200</v>
      </c>
      <c r="E164" s="33" t="s">
        <v>398</v>
      </c>
    </row>
    <row r="165" spans="1:5" x14ac:dyDescent="0.3">
      <c r="A165" s="75" t="s">
        <v>235</v>
      </c>
      <c r="B165" s="47" t="s">
        <v>757</v>
      </c>
      <c r="C165" s="47"/>
      <c r="D165" s="2">
        <f>(PI()*(($D$164/1000)/2)^2)*1000*1000</f>
        <v>31415.926535897936</v>
      </c>
      <c r="E165" s="22" t="s">
        <v>232</v>
      </c>
    </row>
    <row r="166" spans="1:5" x14ac:dyDescent="0.3">
      <c r="A166" s="16" t="s">
        <v>1820</v>
      </c>
      <c r="B166" s="18" t="s">
        <v>309</v>
      </c>
      <c r="C166" s="18"/>
      <c r="D166" s="27">
        <v>0.08</v>
      </c>
      <c r="E166" s="185" t="s">
        <v>2106</v>
      </c>
    </row>
    <row r="167" spans="1:5" x14ac:dyDescent="0.3">
      <c r="A167" s="16" t="s">
        <v>1821</v>
      </c>
      <c r="B167" s="18" t="s">
        <v>309</v>
      </c>
      <c r="C167" s="18"/>
      <c r="D167" s="27">
        <v>3.5</v>
      </c>
      <c r="E167" s="185" t="s">
        <v>2106</v>
      </c>
    </row>
    <row r="168" spans="1:5" x14ac:dyDescent="0.3">
      <c r="A168" s="16" t="s">
        <v>1254</v>
      </c>
      <c r="B168" s="18" t="s">
        <v>225</v>
      </c>
      <c r="C168" s="18"/>
      <c r="D168" s="138">
        <f>$D$165/($D$166*$D$167)</f>
        <v>112199.7376282069</v>
      </c>
      <c r="E168" s="33" t="s">
        <v>232</v>
      </c>
    </row>
    <row r="169" spans="1:5" x14ac:dyDescent="0.3">
      <c r="A169" s="16" t="s">
        <v>1255</v>
      </c>
      <c r="B169" s="18" t="s">
        <v>278</v>
      </c>
      <c r="C169" s="18"/>
      <c r="D169" s="27">
        <v>300</v>
      </c>
      <c r="E169" s="185" t="s">
        <v>2106</v>
      </c>
    </row>
    <row r="170" spans="1:5" x14ac:dyDescent="0.3">
      <c r="A170" s="16" t="s">
        <v>247</v>
      </c>
      <c r="B170" s="18" t="s">
        <v>225</v>
      </c>
      <c r="C170" s="18" t="s">
        <v>339</v>
      </c>
      <c r="D170" s="27">
        <v>1</v>
      </c>
      <c r="E170" s="185" t="s">
        <v>2106</v>
      </c>
    </row>
    <row r="171" spans="1:5" x14ac:dyDescent="0.3">
      <c r="A171" s="16" t="s">
        <v>858</v>
      </c>
      <c r="B171" s="18" t="s">
        <v>226</v>
      </c>
      <c r="C171" s="18"/>
      <c r="D171" s="138">
        <f>($D$168*$D$167)/$D$169</f>
        <v>1308.9969389957473</v>
      </c>
      <c r="E171" s="33" t="s">
        <v>232</v>
      </c>
    </row>
    <row r="172" spans="1:5" x14ac:dyDescent="0.3">
      <c r="A172" s="578" t="s">
        <v>351</v>
      </c>
      <c r="B172" s="543" t="s">
        <v>131</v>
      </c>
      <c r="C172" s="543"/>
      <c r="D172" s="639">
        <f>'2. PROCESS RECAP '!$E$35</f>
        <v>17</v>
      </c>
      <c r="E172" s="579" t="s">
        <v>2208</v>
      </c>
    </row>
    <row r="173" spans="1:5" ht="15" thickBot="1" x14ac:dyDescent="0.35">
      <c r="A173" s="634" t="s">
        <v>246</v>
      </c>
      <c r="B173" s="635" t="s">
        <v>225</v>
      </c>
      <c r="C173" s="635"/>
      <c r="D173" s="636">
        <f>'2. PROCESS RECAP '!$H$35</f>
        <v>2</v>
      </c>
      <c r="E173" s="637" t="s">
        <v>2209</v>
      </c>
    </row>
    <row r="174" spans="1:5" x14ac:dyDescent="0.3">
      <c r="A174" s="1122" t="s">
        <v>291</v>
      </c>
      <c r="B174" s="1123"/>
      <c r="C174" s="1123"/>
      <c r="D174" s="1123"/>
      <c r="E174" s="1124"/>
    </row>
    <row r="175" spans="1:5" x14ac:dyDescent="0.3">
      <c r="A175" s="285" t="s">
        <v>716</v>
      </c>
      <c r="B175" s="15" t="s">
        <v>132</v>
      </c>
      <c r="C175" s="15" t="s">
        <v>1038</v>
      </c>
      <c r="D175" s="286">
        <f>($D$172*(($D$171+$D$171/3)/3600))*$D$173*'1. USER INPUTS'!$E$23</f>
        <v>7.0819309198649649E-2</v>
      </c>
      <c r="E175" s="276" t="s">
        <v>232</v>
      </c>
    </row>
    <row r="176" spans="1:5" x14ac:dyDescent="0.3">
      <c r="A176" s="1128" t="s">
        <v>292</v>
      </c>
      <c r="B176" s="1129"/>
      <c r="C176" s="1129"/>
      <c r="D176" s="1129"/>
      <c r="E176" s="1130"/>
    </row>
    <row r="177" spans="1:5" x14ac:dyDescent="0.3">
      <c r="A177" s="16" t="s">
        <v>322</v>
      </c>
      <c r="B177" s="18" t="s">
        <v>293</v>
      </c>
      <c r="C177" s="18"/>
      <c r="D177" s="27">
        <v>1</v>
      </c>
      <c r="E177" s="22"/>
    </row>
    <row r="178" spans="1:5" ht="15" thickBot="1" x14ac:dyDescent="0.35">
      <c r="A178" s="110"/>
      <c r="B178" s="111" t="s">
        <v>128</v>
      </c>
      <c r="C178" s="111"/>
      <c r="D178" s="117"/>
      <c r="E178" s="283"/>
    </row>
    <row r="179" spans="1:5" x14ac:dyDescent="0.3">
      <c r="A179" s="1140"/>
      <c r="B179" s="1141"/>
      <c r="C179" s="1141"/>
      <c r="D179" s="1141"/>
      <c r="E179" s="1142"/>
    </row>
    <row r="180" spans="1:5" ht="15" thickBot="1" x14ac:dyDescent="0.35">
      <c r="A180" s="1143"/>
      <c r="B180" s="1144"/>
      <c r="C180" s="1144"/>
      <c r="D180" s="1144"/>
      <c r="E180" s="1145"/>
    </row>
    <row r="181" spans="1:5" ht="30" customHeight="1" thickBot="1" x14ac:dyDescent="0.35">
      <c r="A181" s="638" t="s">
        <v>2159</v>
      </c>
      <c r="B181" s="657" t="s">
        <v>142</v>
      </c>
      <c r="C181" s="654" t="s">
        <v>256</v>
      </c>
      <c r="D181" s="655" t="s">
        <v>236</v>
      </c>
      <c r="E181" s="656" t="s">
        <v>212</v>
      </c>
    </row>
    <row r="182" spans="1:5" x14ac:dyDescent="0.3">
      <c r="A182" s="29" t="s">
        <v>266</v>
      </c>
      <c r="B182" s="151" t="s">
        <v>225</v>
      </c>
      <c r="C182" s="19" t="s">
        <v>2165</v>
      </c>
      <c r="D182" s="1159" t="s">
        <v>210</v>
      </c>
      <c r="E182" s="1136" t="s">
        <v>2106</v>
      </c>
    </row>
    <row r="183" spans="1:5" x14ac:dyDescent="0.3">
      <c r="A183" s="119" t="s">
        <v>2028</v>
      </c>
      <c r="B183" s="18" t="s">
        <v>225</v>
      </c>
      <c r="C183" s="103" t="s">
        <v>2164</v>
      </c>
      <c r="D183" s="1161"/>
      <c r="E183" s="1138"/>
    </row>
    <row r="184" spans="1:5" x14ac:dyDescent="0.3">
      <c r="A184" s="119" t="s">
        <v>1288</v>
      </c>
      <c r="B184" s="140" t="s">
        <v>270</v>
      </c>
      <c r="C184" s="103"/>
      <c r="D184" s="141">
        <v>350</v>
      </c>
      <c r="E184" s="185" t="s">
        <v>2106</v>
      </c>
    </row>
    <row r="185" spans="1:5" x14ac:dyDescent="0.3">
      <c r="A185" s="119" t="s">
        <v>1351</v>
      </c>
      <c r="B185" s="140" t="s">
        <v>1352</v>
      </c>
      <c r="C185" s="103"/>
      <c r="D185" s="141">
        <v>50</v>
      </c>
      <c r="E185" s="185" t="s">
        <v>2106</v>
      </c>
    </row>
    <row r="186" spans="1:5" x14ac:dyDescent="0.3">
      <c r="A186" s="119" t="s">
        <v>1350</v>
      </c>
      <c r="B186" s="140" t="s">
        <v>226</v>
      </c>
      <c r="C186" s="103"/>
      <c r="D186" s="141">
        <f>($D$184/$D$185)*60</f>
        <v>420</v>
      </c>
      <c r="E186" s="185" t="s">
        <v>232</v>
      </c>
    </row>
    <row r="187" spans="1:5" x14ac:dyDescent="0.3">
      <c r="A187" s="119" t="s">
        <v>1289</v>
      </c>
      <c r="B187" s="140" t="s">
        <v>226</v>
      </c>
      <c r="C187" s="103" t="s">
        <v>1349</v>
      </c>
      <c r="D187" s="141">
        <f>7200</f>
        <v>7200</v>
      </c>
      <c r="E187" s="185" t="s">
        <v>2106</v>
      </c>
    </row>
    <row r="188" spans="1:5" x14ac:dyDescent="0.3">
      <c r="A188" s="16" t="s">
        <v>247</v>
      </c>
      <c r="B188" s="18" t="s">
        <v>225</v>
      </c>
      <c r="C188" s="18" t="s">
        <v>1025</v>
      </c>
      <c r="D188" s="27">
        <v>100</v>
      </c>
      <c r="E188" s="185" t="s">
        <v>2106</v>
      </c>
    </row>
    <row r="189" spans="1:5" x14ac:dyDescent="0.3">
      <c r="A189" s="16" t="s">
        <v>858</v>
      </c>
      <c r="B189" s="18" t="s">
        <v>226</v>
      </c>
      <c r="C189" s="4"/>
      <c r="D189" s="247">
        <f>SUM($D$187,$D$186)</f>
        <v>7620</v>
      </c>
      <c r="E189" s="22" t="s">
        <v>232</v>
      </c>
    </row>
    <row r="190" spans="1:5" x14ac:dyDescent="0.3">
      <c r="A190" s="578" t="s">
        <v>351</v>
      </c>
      <c r="B190" s="543" t="s">
        <v>131</v>
      </c>
      <c r="C190" s="543"/>
      <c r="D190" s="543">
        <f>'2. PROCESS RECAP '!$E$36</f>
        <v>1.5</v>
      </c>
      <c r="E190" s="579" t="s">
        <v>2208</v>
      </c>
    </row>
    <row r="191" spans="1:5" ht="15" thickBot="1" x14ac:dyDescent="0.35">
      <c r="A191" s="634" t="s">
        <v>246</v>
      </c>
      <c r="B191" s="635" t="s">
        <v>225</v>
      </c>
      <c r="C191" s="635"/>
      <c r="D191" s="636">
        <f>'2. PROCESS RECAP '!$H$36</f>
        <v>1</v>
      </c>
      <c r="E191" s="637" t="s">
        <v>2209</v>
      </c>
    </row>
    <row r="192" spans="1:5" x14ac:dyDescent="0.3">
      <c r="A192" s="1122" t="s">
        <v>291</v>
      </c>
      <c r="B192" s="1123"/>
      <c r="C192" s="1123"/>
      <c r="D192" s="1123"/>
      <c r="E192" s="1124"/>
    </row>
    <row r="193" spans="1:5" x14ac:dyDescent="0.3">
      <c r="A193" s="285" t="s">
        <v>716</v>
      </c>
      <c r="B193" s="15" t="s">
        <v>132</v>
      </c>
      <c r="C193" s="15" t="s">
        <v>1038</v>
      </c>
      <c r="D193" s="107">
        <f>($D$190*(($D$189+$D$189/3)/3600)/$D$188)*$D$191*'1. USER INPUTS'!$E$23</f>
        <v>1.8187808318455002E-4</v>
      </c>
      <c r="E193" s="276" t="s">
        <v>232</v>
      </c>
    </row>
    <row r="194" spans="1:5" x14ac:dyDescent="0.3">
      <c r="A194" s="1128" t="s">
        <v>292</v>
      </c>
      <c r="B194" s="1129"/>
      <c r="C194" s="1129"/>
      <c r="D194" s="1129"/>
      <c r="E194" s="1130"/>
    </row>
    <row r="195" spans="1:5" x14ac:dyDescent="0.3">
      <c r="A195" s="16" t="s">
        <v>322</v>
      </c>
      <c r="B195" s="18" t="s">
        <v>293</v>
      </c>
      <c r="C195" s="47"/>
      <c r="D195" s="147">
        <v>1</v>
      </c>
      <c r="E195" s="22"/>
    </row>
    <row r="196" spans="1:5" ht="15" thickBot="1" x14ac:dyDescent="0.35">
      <c r="A196" s="110"/>
      <c r="B196" s="111"/>
      <c r="C196" s="111"/>
      <c r="D196" s="114"/>
      <c r="E196" s="283"/>
    </row>
  </sheetData>
  <sheetProtection algorithmName="SHA-512" hashValue="Ucdf4G7MTiX80yEbORIVcTBoSvSnOKWHjSRfyS+IPoYs3at4J9YbASPLm9RAeK7KSFXxrUYrH76x56yvcyJ/OQ==" saltValue="LTfGrdT3gyb4Za+zM34jjQ==" spinCount="100000" sheet="1" objects="1" scenarios="1"/>
  <mergeCells count="43">
    <mergeCell ref="D182:D183"/>
    <mergeCell ref="E137:E138"/>
    <mergeCell ref="E161:E162"/>
    <mergeCell ref="A179:E180"/>
    <mergeCell ref="B44:B45"/>
    <mergeCell ref="D161:D162"/>
    <mergeCell ref="D17:D19"/>
    <mergeCell ref="D44:D46"/>
    <mergeCell ref="D73:D75"/>
    <mergeCell ref="D109:D110"/>
    <mergeCell ref="D137:D138"/>
    <mergeCell ref="B17:B18"/>
    <mergeCell ref="B73:B74"/>
    <mergeCell ref="A73:A74"/>
    <mergeCell ref="A192:E192"/>
    <mergeCell ref="E17:E19"/>
    <mergeCell ref="E182:E183"/>
    <mergeCell ref="E109:E110"/>
    <mergeCell ref="E73:E75"/>
    <mergeCell ref="E44:E46"/>
    <mergeCell ref="A174:E174"/>
    <mergeCell ref="A176:E176"/>
    <mergeCell ref="A131:E131"/>
    <mergeCell ref="A134:E135"/>
    <mergeCell ref="A151:E151"/>
    <mergeCell ref="A155:E155"/>
    <mergeCell ref="A158:E159"/>
    <mergeCell ref="A194:E194"/>
    <mergeCell ref="A5:E5"/>
    <mergeCell ref="A10:E10"/>
    <mergeCell ref="A60:E60"/>
    <mergeCell ref="A67:E67"/>
    <mergeCell ref="A96:E96"/>
    <mergeCell ref="A41:E42"/>
    <mergeCell ref="A106:E107"/>
    <mergeCell ref="A70:E71"/>
    <mergeCell ref="A14:E15"/>
    <mergeCell ref="A33:E33"/>
    <mergeCell ref="A38:E38"/>
    <mergeCell ref="A127:E127"/>
    <mergeCell ref="A102:E102"/>
    <mergeCell ref="A44:A45"/>
    <mergeCell ref="A17:A18"/>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E3082-C884-4420-A0BF-E29577F23C0C}">
  <dimension ref="A1:E119"/>
  <sheetViews>
    <sheetView zoomScale="85" zoomScaleNormal="85" workbookViewId="0">
      <selection activeCell="C18" sqref="C18"/>
    </sheetView>
  </sheetViews>
  <sheetFormatPr baseColWidth="10" defaultRowHeight="14.4" x14ac:dyDescent="0.3"/>
  <cols>
    <col min="1" max="1" width="54.6640625" bestFit="1" customWidth="1"/>
    <col min="2" max="2" width="12.33203125" customWidth="1"/>
    <col min="3" max="3" width="144.33203125" bestFit="1" customWidth="1"/>
    <col min="4" max="4" width="20.21875" customWidth="1"/>
    <col min="5" max="5" width="69.6640625" customWidth="1"/>
  </cols>
  <sheetData>
    <row r="1" spans="1:5" ht="15" thickBot="1" x14ac:dyDescent="0.35">
      <c r="A1" t="s">
        <v>135</v>
      </c>
    </row>
    <row r="2" spans="1:5" ht="30" customHeight="1" thickBot="1" x14ac:dyDescent="0.35">
      <c r="A2" s="638" t="s">
        <v>1265</v>
      </c>
      <c r="B2" s="35" t="s">
        <v>142</v>
      </c>
      <c r="C2" s="21" t="s">
        <v>256</v>
      </c>
      <c r="D2" s="26" t="s">
        <v>236</v>
      </c>
      <c r="E2" s="23" t="s">
        <v>212</v>
      </c>
    </row>
    <row r="3" spans="1:5" x14ac:dyDescent="0.3">
      <c r="A3" s="18" t="s">
        <v>2186</v>
      </c>
      <c r="B3" s="18" t="s">
        <v>225</v>
      </c>
      <c r="C3" s="103" t="s">
        <v>1257</v>
      </c>
      <c r="D3" s="141">
        <f>SUM('17. IMPLANT'!$D$73,'17. IMPLANT'!$D$38,$D$108)</f>
        <v>7</v>
      </c>
      <c r="E3" s="22" t="s">
        <v>232</v>
      </c>
    </row>
    <row r="4" spans="1:5" x14ac:dyDescent="0.3">
      <c r="A4" s="18" t="s">
        <v>2178</v>
      </c>
      <c r="B4" s="18" t="s">
        <v>226</v>
      </c>
      <c r="C4" s="18"/>
      <c r="D4" s="138">
        <f>SUM($D$35*$D$38,$D$70*$D$73,$D$108*$D$105)</f>
        <v>3240</v>
      </c>
      <c r="E4" s="27" t="s">
        <v>232</v>
      </c>
    </row>
    <row r="5" spans="1:5" x14ac:dyDescent="0.3">
      <c r="A5" s="1125" t="s">
        <v>291</v>
      </c>
      <c r="B5" s="1126"/>
      <c r="C5" s="1126"/>
      <c r="D5" s="1126"/>
      <c r="E5" s="1127"/>
    </row>
    <row r="6" spans="1:5" x14ac:dyDescent="0.3">
      <c r="A6" s="285" t="s">
        <v>370</v>
      </c>
      <c r="B6" s="15" t="s">
        <v>132</v>
      </c>
      <c r="C6" s="15" t="s">
        <v>2229</v>
      </c>
      <c r="D6" s="107">
        <f>SUM($D$40,$D$43:$D$45,$D$75,$D$78:$D$80,$D$110,$D$113:$D$115)</f>
        <v>0.10378030258352013</v>
      </c>
      <c r="E6" s="276" t="s">
        <v>232</v>
      </c>
    </row>
    <row r="7" spans="1:5" x14ac:dyDescent="0.3">
      <c r="A7" s="287" t="s">
        <v>379</v>
      </c>
      <c r="B7" s="15" t="s">
        <v>128</v>
      </c>
      <c r="C7" s="15"/>
      <c r="D7" s="107">
        <f>$D$41</f>
        <v>3.5573634537828521E-4</v>
      </c>
      <c r="E7" s="276" t="s">
        <v>232</v>
      </c>
    </row>
    <row r="8" spans="1:5" x14ac:dyDescent="0.3">
      <c r="A8" s="287" t="s">
        <v>865</v>
      </c>
      <c r="B8" s="15" t="s">
        <v>128</v>
      </c>
      <c r="C8" s="15"/>
      <c r="D8" s="107">
        <f>SUM($D$76,$D$111)</f>
        <v>1.2450772088239983E-3</v>
      </c>
      <c r="E8" s="276" t="s">
        <v>232</v>
      </c>
    </row>
    <row r="9" spans="1:5" x14ac:dyDescent="0.3">
      <c r="A9" s="287" t="s">
        <v>962</v>
      </c>
      <c r="B9" s="15" t="s">
        <v>128</v>
      </c>
      <c r="C9" s="15"/>
      <c r="D9" s="286">
        <f>SUM($D$42,$D$77,$D$112)</f>
        <v>4.2963326736507879E-2</v>
      </c>
      <c r="E9" s="276" t="s">
        <v>232</v>
      </c>
    </row>
    <row r="10" spans="1:5" x14ac:dyDescent="0.3">
      <c r="A10" s="1128" t="s">
        <v>292</v>
      </c>
      <c r="B10" s="1129"/>
      <c r="C10" s="1129"/>
      <c r="D10" s="1129"/>
      <c r="E10" s="1162"/>
    </row>
    <row r="11" spans="1:5" x14ac:dyDescent="0.3">
      <c r="A11" s="46" t="s">
        <v>294</v>
      </c>
      <c r="B11" s="47" t="s">
        <v>293</v>
      </c>
      <c r="C11" s="18"/>
      <c r="D11" s="27">
        <v>1</v>
      </c>
      <c r="E11" s="22"/>
    </row>
    <row r="12" spans="1:5" x14ac:dyDescent="0.3">
      <c r="A12" s="736" t="s">
        <v>401</v>
      </c>
      <c r="B12" s="113" t="s">
        <v>128</v>
      </c>
      <c r="C12" s="113" t="s">
        <v>1943</v>
      </c>
      <c r="D12" s="124">
        <f>$D$48</f>
        <v>1.7786817268914276E-5</v>
      </c>
      <c r="E12" s="291" t="s">
        <v>232</v>
      </c>
    </row>
    <row r="13" spans="1:5" x14ac:dyDescent="0.3">
      <c r="A13" s="736" t="s">
        <v>872</v>
      </c>
      <c r="B13" s="113" t="s">
        <v>128</v>
      </c>
      <c r="C13" s="113" t="s">
        <v>1943</v>
      </c>
      <c r="D13" s="124">
        <f>SUM($D$83,$D$118)</f>
        <v>6.2253860441199968E-5</v>
      </c>
      <c r="E13" s="291" t="s">
        <v>232</v>
      </c>
    </row>
    <row r="14" spans="1:5" ht="15" thickBot="1" x14ac:dyDescent="0.35">
      <c r="A14" s="112" t="s">
        <v>816</v>
      </c>
      <c r="B14" s="111" t="s">
        <v>128</v>
      </c>
      <c r="C14" s="111" t="s">
        <v>1943</v>
      </c>
      <c r="D14" s="114">
        <f>SUM($D$49,$D$84,$D$119)</f>
        <v>4.2963326736507879E-2</v>
      </c>
      <c r="E14" s="283" t="s">
        <v>232</v>
      </c>
    </row>
    <row r="15" spans="1:5" x14ac:dyDescent="0.3">
      <c r="A15" s="1140"/>
      <c r="B15" s="1141"/>
      <c r="C15" s="1141"/>
      <c r="D15" s="1141"/>
      <c r="E15" s="1142"/>
    </row>
    <row r="16" spans="1:5" ht="15" thickBot="1" x14ac:dyDescent="0.35">
      <c r="A16" s="1143"/>
      <c r="B16" s="1144"/>
      <c r="C16" s="1144"/>
      <c r="D16" s="1144"/>
      <c r="E16" s="1145"/>
    </row>
    <row r="17" spans="1:5" ht="30" customHeight="1" thickBot="1" x14ac:dyDescent="0.35">
      <c r="A17" s="638" t="s">
        <v>2436</v>
      </c>
      <c r="B17" s="35" t="s">
        <v>142</v>
      </c>
      <c r="C17" s="21" t="s">
        <v>256</v>
      </c>
      <c r="D17" s="26" t="s">
        <v>236</v>
      </c>
      <c r="E17" s="23" t="s">
        <v>212</v>
      </c>
    </row>
    <row r="18" spans="1:5" x14ac:dyDescent="0.3">
      <c r="A18" s="1134" t="s">
        <v>266</v>
      </c>
      <c r="B18" s="1132" t="s">
        <v>225</v>
      </c>
      <c r="C18" s="19" t="s">
        <v>2046</v>
      </c>
      <c r="D18" s="136" t="s">
        <v>210</v>
      </c>
      <c r="E18" s="1136" t="s">
        <v>2106</v>
      </c>
    </row>
    <row r="19" spans="1:5" x14ac:dyDescent="0.3">
      <c r="A19" s="1135"/>
      <c r="B19" s="1133"/>
      <c r="C19" s="18" t="s">
        <v>319</v>
      </c>
      <c r="D19" s="27" t="s">
        <v>210</v>
      </c>
      <c r="E19" s="1137"/>
    </row>
    <row r="20" spans="1:5" x14ac:dyDescent="0.3">
      <c r="A20" s="16" t="s">
        <v>2028</v>
      </c>
      <c r="B20" s="18" t="s">
        <v>225</v>
      </c>
      <c r="C20" s="18" t="s">
        <v>2050</v>
      </c>
      <c r="D20" s="27" t="s">
        <v>210</v>
      </c>
      <c r="E20" s="1138"/>
    </row>
    <row r="21" spans="1:5" x14ac:dyDescent="0.3">
      <c r="A21" s="16" t="s">
        <v>457</v>
      </c>
      <c r="B21" s="18" t="s">
        <v>261</v>
      </c>
      <c r="C21" s="157"/>
      <c r="D21" s="27">
        <v>0.5</v>
      </c>
      <c r="E21" s="313" t="s">
        <v>2249</v>
      </c>
    </row>
    <row r="22" spans="1:5" x14ac:dyDescent="0.3">
      <c r="A22" s="16" t="s">
        <v>458</v>
      </c>
      <c r="B22" s="18" t="s">
        <v>1024</v>
      </c>
      <c r="C22" s="18" t="s">
        <v>866</v>
      </c>
      <c r="D22" s="137">
        <f>1000000000000000000</f>
        <v>1E+18</v>
      </c>
      <c r="E22" s="22" t="s">
        <v>2285</v>
      </c>
    </row>
    <row r="23" spans="1:5" x14ac:dyDescent="0.3">
      <c r="A23" s="16" t="s">
        <v>269</v>
      </c>
      <c r="B23" s="18" t="s">
        <v>270</v>
      </c>
      <c r="C23" s="18" t="s">
        <v>1223</v>
      </c>
      <c r="D23" s="27" t="s">
        <v>1093</v>
      </c>
      <c r="E23" s="22" t="s">
        <v>2286</v>
      </c>
    </row>
    <row r="24" spans="1:5" x14ac:dyDescent="0.3">
      <c r="A24" s="16" t="s">
        <v>1258</v>
      </c>
      <c r="B24" s="18" t="s">
        <v>1259</v>
      </c>
      <c r="C24" s="18"/>
      <c r="D24" s="27">
        <v>100</v>
      </c>
      <c r="E24" s="313" t="s">
        <v>2106</v>
      </c>
    </row>
    <row r="25" spans="1:5" x14ac:dyDescent="0.3">
      <c r="A25" s="16" t="s">
        <v>365</v>
      </c>
      <c r="B25" s="18" t="s">
        <v>366</v>
      </c>
      <c r="C25" s="18"/>
      <c r="D25" s="27">
        <v>300</v>
      </c>
      <c r="E25" s="313" t="s">
        <v>2106</v>
      </c>
    </row>
    <row r="26" spans="1:5" x14ac:dyDescent="0.3">
      <c r="A26" s="16" t="s">
        <v>362</v>
      </c>
      <c r="B26" s="18" t="s">
        <v>225</v>
      </c>
      <c r="C26" s="18"/>
      <c r="D26" s="27" t="s">
        <v>363</v>
      </c>
      <c r="E26" s="22" t="s">
        <v>364</v>
      </c>
    </row>
    <row r="27" spans="1:5" x14ac:dyDescent="0.3">
      <c r="A27" s="16" t="s">
        <v>868</v>
      </c>
      <c r="B27" s="18" t="s">
        <v>531</v>
      </c>
      <c r="C27" s="18" t="s">
        <v>1368</v>
      </c>
      <c r="D27" s="27">
        <v>5</v>
      </c>
      <c r="E27" s="22" t="s">
        <v>855</v>
      </c>
    </row>
    <row r="28" spans="1:5" x14ac:dyDescent="0.3">
      <c r="A28" s="16" t="s">
        <v>870</v>
      </c>
      <c r="B28" s="18" t="s">
        <v>806</v>
      </c>
      <c r="C28" s="18"/>
      <c r="D28" s="134">
        <f>'25. CHEM. &amp; MAT.'!$F$30</f>
        <v>1.38</v>
      </c>
      <c r="E28" s="22" t="s">
        <v>1581</v>
      </c>
    </row>
    <row r="29" spans="1:5" x14ac:dyDescent="0.3">
      <c r="A29" s="16" t="s">
        <v>853</v>
      </c>
      <c r="B29" s="18" t="s">
        <v>531</v>
      </c>
      <c r="C29" s="18" t="s">
        <v>1369</v>
      </c>
      <c r="D29" s="27">
        <v>200</v>
      </c>
      <c r="E29" s="22" t="s">
        <v>855</v>
      </c>
    </row>
    <row r="30" spans="1:5" x14ac:dyDescent="0.3">
      <c r="A30" s="16" t="s">
        <v>859</v>
      </c>
      <c r="B30" s="18" t="s">
        <v>806</v>
      </c>
      <c r="C30" s="18"/>
      <c r="D30" s="134">
        <f>'25. CHEM. &amp; MAT.'!$F$14</f>
        <v>1.25</v>
      </c>
      <c r="E30" s="22" t="s">
        <v>1581</v>
      </c>
    </row>
    <row r="31" spans="1:5" x14ac:dyDescent="0.3">
      <c r="A31" s="16" t="s">
        <v>247</v>
      </c>
      <c r="B31" s="18" t="s">
        <v>225</v>
      </c>
      <c r="C31" s="18" t="s">
        <v>709</v>
      </c>
      <c r="D31" s="18">
        <v>1</v>
      </c>
      <c r="E31" s="313" t="s">
        <v>2106</v>
      </c>
    </row>
    <row r="32" spans="1:5" x14ac:dyDescent="0.3">
      <c r="A32" s="16" t="s">
        <v>890</v>
      </c>
      <c r="B32" s="18" t="s">
        <v>226</v>
      </c>
      <c r="C32" s="18" t="s">
        <v>983</v>
      </c>
      <c r="D32" s="18">
        <v>60</v>
      </c>
      <c r="E32" s="313" t="s">
        <v>2106</v>
      </c>
    </row>
    <row r="33" spans="1:5" x14ac:dyDescent="0.3">
      <c r="A33" s="16" t="s">
        <v>1365</v>
      </c>
      <c r="B33" s="18" t="s">
        <v>226</v>
      </c>
      <c r="C33" s="18" t="s">
        <v>1366</v>
      </c>
      <c r="D33" s="18">
        <v>120</v>
      </c>
      <c r="E33" s="313" t="s">
        <v>2106</v>
      </c>
    </row>
    <row r="34" spans="1:5" x14ac:dyDescent="0.3">
      <c r="A34" s="16" t="s">
        <v>1262</v>
      </c>
      <c r="B34" s="18" t="s">
        <v>226</v>
      </c>
      <c r="C34" s="18" t="s">
        <v>2435</v>
      </c>
      <c r="D34" s="18">
        <f>6*60</f>
        <v>360</v>
      </c>
      <c r="E34" s="313" t="s">
        <v>2106</v>
      </c>
    </row>
    <row r="35" spans="1:5" x14ac:dyDescent="0.3">
      <c r="A35" s="16" t="s">
        <v>858</v>
      </c>
      <c r="B35" s="18" t="s">
        <v>226</v>
      </c>
      <c r="C35" s="18"/>
      <c r="D35" s="18">
        <f>SUM($D$32:$D$34)</f>
        <v>540</v>
      </c>
      <c r="E35" s="22" t="s">
        <v>232</v>
      </c>
    </row>
    <row r="36" spans="1:5" x14ac:dyDescent="0.3">
      <c r="A36" s="578" t="s">
        <v>2317</v>
      </c>
      <c r="B36" s="543" t="s">
        <v>214</v>
      </c>
      <c r="C36" s="543"/>
      <c r="D36" s="781">
        <f>'1. USER INPUTS'!$E$30</f>
        <v>0.95</v>
      </c>
      <c r="E36" s="579" t="s">
        <v>398</v>
      </c>
    </row>
    <row r="37" spans="1:5" x14ac:dyDescent="0.3">
      <c r="A37" s="578" t="s">
        <v>351</v>
      </c>
      <c r="B37" s="543" t="s">
        <v>131</v>
      </c>
      <c r="C37" s="543"/>
      <c r="D37" s="543">
        <f>'2. PROCESS RECAP '!$E$27</f>
        <v>12.5</v>
      </c>
      <c r="E37" s="579" t="s">
        <v>2208</v>
      </c>
    </row>
    <row r="38" spans="1:5" ht="15" thickBot="1" x14ac:dyDescent="0.35">
      <c r="A38" s="634" t="s">
        <v>246</v>
      </c>
      <c r="B38" s="635" t="s">
        <v>225</v>
      </c>
      <c r="C38" s="635" t="s">
        <v>318</v>
      </c>
      <c r="D38" s="636">
        <f>'2. PROCESS RECAP '!$H$27</f>
        <v>2</v>
      </c>
      <c r="E38" s="637" t="s">
        <v>2209</v>
      </c>
    </row>
    <row r="39" spans="1:5" x14ac:dyDescent="0.3">
      <c r="A39" s="1122" t="s">
        <v>291</v>
      </c>
      <c r="B39" s="1123"/>
      <c r="C39" s="1123"/>
      <c r="D39" s="1123"/>
      <c r="E39" s="1124"/>
    </row>
    <row r="40" spans="1:5" x14ac:dyDescent="0.3">
      <c r="A40" s="285" t="s">
        <v>716</v>
      </c>
      <c r="B40" s="15" t="s">
        <v>132</v>
      </c>
      <c r="C40" s="15" t="s">
        <v>1038</v>
      </c>
      <c r="D40" s="107">
        <f>($D$37*(($D$34+$D$34/3)/3600))*$D$38*'1. USER INPUTS'!E23</f>
        <v>1.4321108912169294E-2</v>
      </c>
      <c r="E40" s="276" t="s">
        <v>232</v>
      </c>
    </row>
    <row r="41" spans="1:5" x14ac:dyDescent="0.3">
      <c r="A41" s="287" t="s">
        <v>379</v>
      </c>
      <c r="B41" s="15" t="s">
        <v>128</v>
      </c>
      <c r="C41" s="15" t="s">
        <v>1261</v>
      </c>
      <c r="D41" s="107">
        <f>($D$27*($D$34/60)*$D$28*0.001)*$D$38*'1. USER INPUTS'!$E$23</f>
        <v>3.5573634537828521E-4</v>
      </c>
      <c r="E41" s="276" t="s">
        <v>232</v>
      </c>
    </row>
    <row r="42" spans="1:5" x14ac:dyDescent="0.3">
      <c r="A42" s="287" t="s">
        <v>962</v>
      </c>
      <c r="B42" s="15" t="s">
        <v>128</v>
      </c>
      <c r="C42" s="15" t="s">
        <v>136</v>
      </c>
      <c r="D42" s="286">
        <f>($D$29*(($D$32+$D$34)/60)*$D$30*0.001)*$D$38*'1. USER INPUTS'!$E$23</f>
        <v>1.5037164357777758E-2</v>
      </c>
      <c r="E42" s="276" t="s">
        <v>232</v>
      </c>
    </row>
    <row r="43" spans="1:5" x14ac:dyDescent="0.3">
      <c r="A43" s="285" t="s">
        <v>716</v>
      </c>
      <c r="B43" s="39" t="s">
        <v>132</v>
      </c>
      <c r="C43" s="15" t="s">
        <v>1263</v>
      </c>
      <c r="D43" s="286">
        <f>(10*(($D$33+$D$33/3)/3600))*$D$38*'1. USER INPUTS'!$E$23</f>
        <v>3.8189623765784784E-3</v>
      </c>
      <c r="E43" s="276" t="s">
        <v>232</v>
      </c>
    </row>
    <row r="44" spans="1:5" x14ac:dyDescent="0.3">
      <c r="A44" s="285" t="s">
        <v>716</v>
      </c>
      <c r="B44" s="39" t="s">
        <v>132</v>
      </c>
      <c r="C44" s="15" t="s">
        <v>867</v>
      </c>
      <c r="D44" s="286">
        <f>(5*(($D$35+$D$35/3)/3600))*$D$38*'1. USER INPUTS'!$E$23</f>
        <v>8.5926653473015757E-3</v>
      </c>
      <c r="E44" s="276" t="s">
        <v>232</v>
      </c>
    </row>
    <row r="45" spans="1:5" x14ac:dyDescent="0.3">
      <c r="A45" s="285" t="s">
        <v>716</v>
      </c>
      <c r="B45" s="39" t="s">
        <v>132</v>
      </c>
      <c r="C45" s="15" t="s">
        <v>2290</v>
      </c>
      <c r="D45" s="286">
        <f>(11*(($D$32+$D$32/3)/3600))*$D$38*'1. USER INPUTS'!$E$23</f>
        <v>2.1004293071181629E-3</v>
      </c>
      <c r="E45" s="276" t="s">
        <v>232</v>
      </c>
    </row>
    <row r="46" spans="1:5" x14ac:dyDescent="0.3">
      <c r="A46" s="1128" t="s">
        <v>292</v>
      </c>
      <c r="B46" s="1129"/>
      <c r="C46" s="1129"/>
      <c r="D46" s="1129"/>
      <c r="E46" s="1130"/>
    </row>
    <row r="47" spans="1:5" x14ac:dyDescent="0.3">
      <c r="A47" s="16" t="s">
        <v>322</v>
      </c>
      <c r="B47" s="47" t="s">
        <v>293</v>
      </c>
      <c r="C47" s="18"/>
      <c r="D47" s="27">
        <v>1</v>
      </c>
      <c r="E47" s="22"/>
    </row>
    <row r="48" spans="1:5" x14ac:dyDescent="0.3">
      <c r="A48" s="726" t="s">
        <v>2267</v>
      </c>
      <c r="B48" s="113" t="s">
        <v>128</v>
      </c>
      <c r="C48" s="113" t="s">
        <v>1943</v>
      </c>
      <c r="D48" s="124">
        <f>(1-$D$36)*$D$41</f>
        <v>1.7786817268914276E-5</v>
      </c>
      <c r="E48" s="291" t="s">
        <v>232</v>
      </c>
    </row>
    <row r="49" spans="1:5" ht="15" thickBot="1" x14ac:dyDescent="0.35">
      <c r="A49" s="726" t="s">
        <v>816</v>
      </c>
      <c r="B49" s="113" t="s">
        <v>128</v>
      </c>
      <c r="C49" s="113" t="s">
        <v>1943</v>
      </c>
      <c r="D49" s="124">
        <f>$D$42</f>
        <v>1.5037164357777758E-2</v>
      </c>
      <c r="E49" s="291" t="s">
        <v>232</v>
      </c>
    </row>
    <row r="50" spans="1:5" x14ac:dyDescent="0.3">
      <c r="A50" s="1140"/>
      <c r="B50" s="1141"/>
      <c r="C50" s="1141"/>
      <c r="D50" s="1141"/>
      <c r="E50" s="1142"/>
    </row>
    <row r="51" spans="1:5" ht="15" thickBot="1" x14ac:dyDescent="0.35">
      <c r="A51" s="1143"/>
      <c r="B51" s="1144"/>
      <c r="C51" s="1144"/>
      <c r="D51" s="1144"/>
      <c r="E51" s="1145"/>
    </row>
    <row r="52" spans="1:5" ht="30" customHeight="1" thickBot="1" x14ac:dyDescent="0.35">
      <c r="A52" s="644" t="s">
        <v>2433</v>
      </c>
      <c r="B52" s="853" t="s">
        <v>142</v>
      </c>
      <c r="C52" s="854" t="s">
        <v>256</v>
      </c>
      <c r="D52" s="855" t="s">
        <v>236</v>
      </c>
      <c r="E52" s="856" t="s">
        <v>212</v>
      </c>
    </row>
    <row r="53" spans="1:5" x14ac:dyDescent="0.3">
      <c r="A53" s="1134" t="s">
        <v>266</v>
      </c>
      <c r="B53" s="1132" t="s">
        <v>225</v>
      </c>
      <c r="C53" s="19" t="s">
        <v>2287</v>
      </c>
      <c r="D53" s="136" t="s">
        <v>210</v>
      </c>
      <c r="E53" s="1136" t="s">
        <v>2106</v>
      </c>
    </row>
    <row r="54" spans="1:5" x14ac:dyDescent="0.3">
      <c r="A54" s="1135"/>
      <c r="B54" s="1133"/>
      <c r="C54" s="18" t="s">
        <v>2288</v>
      </c>
      <c r="D54" s="27" t="s">
        <v>210</v>
      </c>
      <c r="E54" s="1137"/>
    </row>
    <row r="55" spans="1:5" x14ac:dyDescent="0.3">
      <c r="A55" s="16" t="s">
        <v>2028</v>
      </c>
      <c r="B55" s="18" t="s">
        <v>225</v>
      </c>
      <c r="C55" s="18" t="s">
        <v>2050</v>
      </c>
      <c r="D55" s="27" t="s">
        <v>210</v>
      </c>
      <c r="E55" s="1138"/>
    </row>
    <row r="56" spans="1:5" x14ac:dyDescent="0.3">
      <c r="A56" s="16" t="s">
        <v>457</v>
      </c>
      <c r="B56" s="18" t="s">
        <v>261</v>
      </c>
      <c r="C56" s="157"/>
      <c r="D56" s="27">
        <v>0.5</v>
      </c>
      <c r="E56" s="313" t="s">
        <v>2249</v>
      </c>
    </row>
    <row r="57" spans="1:5" x14ac:dyDescent="0.3">
      <c r="A57" s="16" t="s">
        <v>458</v>
      </c>
      <c r="B57" s="18" t="s">
        <v>1024</v>
      </c>
      <c r="C57" s="18" t="s">
        <v>2289</v>
      </c>
      <c r="D57" s="137">
        <v>1000000000000000</v>
      </c>
      <c r="E57" s="22" t="s">
        <v>2285</v>
      </c>
    </row>
    <row r="58" spans="1:5" x14ac:dyDescent="0.3">
      <c r="A58" s="16" t="s">
        <v>269</v>
      </c>
      <c r="B58" s="18" t="s">
        <v>270</v>
      </c>
      <c r="C58" s="18" t="s">
        <v>1223</v>
      </c>
      <c r="D58" s="27" t="s">
        <v>1093</v>
      </c>
      <c r="E58" s="22" t="s">
        <v>2286</v>
      </c>
    </row>
    <row r="59" spans="1:5" x14ac:dyDescent="0.3">
      <c r="A59" s="16" t="s">
        <v>1258</v>
      </c>
      <c r="B59" s="18" t="s">
        <v>1259</v>
      </c>
      <c r="C59" s="18"/>
      <c r="D59" s="27">
        <v>100</v>
      </c>
      <c r="E59" s="313" t="s">
        <v>2106</v>
      </c>
    </row>
    <row r="60" spans="1:5" x14ac:dyDescent="0.3">
      <c r="A60" s="16" t="s">
        <v>365</v>
      </c>
      <c r="B60" s="18" t="s">
        <v>366</v>
      </c>
      <c r="C60" s="18"/>
      <c r="D60" s="27">
        <v>300</v>
      </c>
      <c r="E60" s="313" t="s">
        <v>2106</v>
      </c>
    </row>
    <row r="61" spans="1:5" x14ac:dyDescent="0.3">
      <c r="A61" s="16" t="s">
        <v>362</v>
      </c>
      <c r="B61" s="18" t="s">
        <v>225</v>
      </c>
      <c r="C61" s="18"/>
      <c r="D61" s="27" t="s">
        <v>363</v>
      </c>
      <c r="E61" s="22" t="s">
        <v>364</v>
      </c>
    </row>
    <row r="62" spans="1:5" x14ac:dyDescent="0.3">
      <c r="A62" s="16" t="s">
        <v>871</v>
      </c>
      <c r="B62" s="18" t="s">
        <v>531</v>
      </c>
      <c r="C62" s="18" t="s">
        <v>1370</v>
      </c>
      <c r="D62" s="27">
        <v>5</v>
      </c>
      <c r="E62" s="22" t="s">
        <v>855</v>
      </c>
    </row>
    <row r="63" spans="1:5" x14ac:dyDescent="0.3">
      <c r="A63" s="16" t="s">
        <v>1334</v>
      </c>
      <c r="B63" s="18" t="s">
        <v>806</v>
      </c>
      <c r="C63" s="18"/>
      <c r="D63" s="134">
        <f>'25. CHEM. &amp; MAT.'!$F$34</f>
        <v>2.76</v>
      </c>
      <c r="E63" s="22" t="s">
        <v>1581</v>
      </c>
    </row>
    <row r="64" spans="1:5" x14ac:dyDescent="0.3">
      <c r="A64" s="16" t="s">
        <v>853</v>
      </c>
      <c r="B64" s="18" t="s">
        <v>531</v>
      </c>
      <c r="C64" s="18" t="s">
        <v>1369</v>
      </c>
      <c r="D64" s="27">
        <v>200</v>
      </c>
      <c r="E64" s="22" t="s">
        <v>855</v>
      </c>
    </row>
    <row r="65" spans="1:5" x14ac:dyDescent="0.3">
      <c r="A65" s="16" t="s">
        <v>859</v>
      </c>
      <c r="B65" s="18" t="s">
        <v>806</v>
      </c>
      <c r="C65" s="18"/>
      <c r="D65" s="134">
        <f>'25. CHEM. &amp; MAT.'!$F$14</f>
        <v>1.25</v>
      </c>
      <c r="E65" s="22" t="s">
        <v>1581</v>
      </c>
    </row>
    <row r="66" spans="1:5" x14ac:dyDescent="0.3">
      <c r="A66" s="16" t="s">
        <v>247</v>
      </c>
      <c r="B66" s="18" t="s">
        <v>225</v>
      </c>
      <c r="C66" s="18" t="s">
        <v>709</v>
      </c>
      <c r="D66" s="18">
        <v>1</v>
      </c>
      <c r="E66" s="313" t="s">
        <v>2106</v>
      </c>
    </row>
    <row r="67" spans="1:5" x14ac:dyDescent="0.3">
      <c r="A67" s="16" t="s">
        <v>890</v>
      </c>
      <c r="B67" s="18" t="s">
        <v>226</v>
      </c>
      <c r="C67" s="18" t="s">
        <v>983</v>
      </c>
      <c r="D67" s="18">
        <v>60</v>
      </c>
      <c r="E67" s="313" t="s">
        <v>2106</v>
      </c>
    </row>
    <row r="68" spans="1:5" x14ac:dyDescent="0.3">
      <c r="A68" s="16" t="s">
        <v>1365</v>
      </c>
      <c r="B68" s="18" t="s">
        <v>226</v>
      </c>
      <c r="C68" s="18" t="s">
        <v>1366</v>
      </c>
      <c r="D68" s="18">
        <v>120</v>
      </c>
      <c r="E68" s="313" t="s">
        <v>2106</v>
      </c>
    </row>
    <row r="69" spans="1:5" x14ac:dyDescent="0.3">
      <c r="A69" s="16" t="s">
        <v>1262</v>
      </c>
      <c r="B69" s="18" t="s">
        <v>226</v>
      </c>
      <c r="C69" s="18" t="s">
        <v>1367</v>
      </c>
      <c r="D69" s="18">
        <v>180</v>
      </c>
      <c r="E69" s="313" t="s">
        <v>2106</v>
      </c>
    </row>
    <row r="70" spans="1:5" x14ac:dyDescent="0.3">
      <c r="A70" s="16" t="s">
        <v>858</v>
      </c>
      <c r="B70" s="18" t="s">
        <v>226</v>
      </c>
      <c r="C70" s="18"/>
      <c r="D70" s="18">
        <f>SUM($D$67:$D$69)</f>
        <v>360</v>
      </c>
      <c r="E70" s="22" t="s">
        <v>232</v>
      </c>
    </row>
    <row r="71" spans="1:5" x14ac:dyDescent="0.3">
      <c r="A71" s="578" t="s">
        <v>2317</v>
      </c>
      <c r="B71" s="543" t="s">
        <v>214</v>
      </c>
      <c r="C71" s="543"/>
      <c r="D71" s="781">
        <f>'1. USER INPUTS'!$E$30</f>
        <v>0.95</v>
      </c>
      <c r="E71" s="579" t="s">
        <v>398</v>
      </c>
    </row>
    <row r="72" spans="1:5" x14ac:dyDescent="0.3">
      <c r="A72" s="578" t="s">
        <v>351</v>
      </c>
      <c r="B72" s="543" t="s">
        <v>131</v>
      </c>
      <c r="C72" s="543"/>
      <c r="D72" s="543">
        <f>'2. PROCESS RECAP '!$E$25</f>
        <v>12.5</v>
      </c>
      <c r="E72" s="579" t="s">
        <v>2208</v>
      </c>
    </row>
    <row r="73" spans="1:5" ht="15" thickBot="1" x14ac:dyDescent="0.35">
      <c r="A73" s="718" t="s">
        <v>246</v>
      </c>
      <c r="B73" s="719" t="s">
        <v>225</v>
      </c>
      <c r="C73" s="719" t="s">
        <v>2431</v>
      </c>
      <c r="D73" s="720">
        <v>3</v>
      </c>
      <c r="E73" s="737" t="s">
        <v>2209</v>
      </c>
    </row>
    <row r="74" spans="1:5" x14ac:dyDescent="0.3">
      <c r="A74" s="1147" t="s">
        <v>291</v>
      </c>
      <c r="B74" s="1148"/>
      <c r="C74" s="1148"/>
      <c r="D74" s="1148"/>
      <c r="E74" s="1149"/>
    </row>
    <row r="75" spans="1:5" x14ac:dyDescent="0.3">
      <c r="A75" s="285" t="s">
        <v>716</v>
      </c>
      <c r="B75" s="15" t="s">
        <v>132</v>
      </c>
      <c r="C75" s="15" t="s">
        <v>1038</v>
      </c>
      <c r="D75" s="107">
        <f>($D$72*(($D$70+$D$70/3)/3600))*$D$73*'1. USER INPUTS'!$E$23</f>
        <v>2.1481663368253939E-2</v>
      </c>
      <c r="E75" s="276" t="s">
        <v>232</v>
      </c>
    </row>
    <row r="76" spans="1:5" x14ac:dyDescent="0.3">
      <c r="A76" s="287" t="s">
        <v>865</v>
      </c>
      <c r="B76" s="15" t="s">
        <v>128</v>
      </c>
      <c r="C76" s="15" t="s">
        <v>873</v>
      </c>
      <c r="D76" s="107">
        <f>($D$62*($D$69/60)*$D$63*0.001)*$D$73*'1. USER INPUTS'!$E$23</f>
        <v>5.3360451806742785E-4</v>
      </c>
      <c r="E76" s="276" t="s">
        <v>232</v>
      </c>
    </row>
    <row r="77" spans="1:5" x14ac:dyDescent="0.3">
      <c r="A77" s="287" t="s">
        <v>962</v>
      </c>
      <c r="B77" s="15" t="s">
        <v>128</v>
      </c>
      <c r="C77" s="15" t="s">
        <v>136</v>
      </c>
      <c r="D77" s="286">
        <f>($D$64*(($D$67+$D$69)/60)*$D$65*0.001)*$D$73*'1. USER INPUTS'!$E$23</f>
        <v>1.2888998020952364E-2</v>
      </c>
      <c r="E77" s="276" t="s">
        <v>232</v>
      </c>
    </row>
    <row r="78" spans="1:5" x14ac:dyDescent="0.3">
      <c r="A78" s="285" t="s">
        <v>716</v>
      </c>
      <c r="B78" s="39" t="s">
        <v>132</v>
      </c>
      <c r="C78" s="15" t="s">
        <v>1263</v>
      </c>
      <c r="D78" s="286">
        <f>(10*(($D$68+$D$68/3)/3600))*$D$73*'1. USER INPUTS'!$E$23</f>
        <v>5.7284435648677174E-3</v>
      </c>
      <c r="E78" s="276" t="s">
        <v>232</v>
      </c>
    </row>
    <row r="79" spans="1:5" x14ac:dyDescent="0.3">
      <c r="A79" s="285" t="s">
        <v>716</v>
      </c>
      <c r="B79" s="39" t="s">
        <v>132</v>
      </c>
      <c r="C79" s="15" t="s">
        <v>867</v>
      </c>
      <c r="D79" s="286">
        <f>(5*(($D$70+$D$70/3)/3600))*$D$73*'1. USER INPUTS'!$E$23</f>
        <v>8.5926653473015757E-3</v>
      </c>
      <c r="E79" s="276" t="s">
        <v>232</v>
      </c>
    </row>
    <row r="80" spans="1:5" x14ac:dyDescent="0.3">
      <c r="A80" s="285" t="s">
        <v>716</v>
      </c>
      <c r="B80" s="39" t="s">
        <v>132</v>
      </c>
      <c r="C80" s="15" t="s">
        <v>2251</v>
      </c>
      <c r="D80" s="286">
        <f>(11*(($D$67+$D$67/3)/3600))*$D$73*'1. USER INPUTS'!$E$23</f>
        <v>3.1506439606772446E-3</v>
      </c>
      <c r="E80" s="276" t="s">
        <v>232</v>
      </c>
    </row>
    <row r="81" spans="1:5" x14ac:dyDescent="0.3">
      <c r="A81" s="1128" t="s">
        <v>292</v>
      </c>
      <c r="B81" s="1129"/>
      <c r="C81" s="1129"/>
      <c r="D81" s="1129"/>
      <c r="E81" s="1130"/>
    </row>
    <row r="82" spans="1:5" x14ac:dyDescent="0.3">
      <c r="A82" s="16" t="s">
        <v>322</v>
      </c>
      <c r="B82" s="47" t="s">
        <v>293</v>
      </c>
      <c r="C82" s="18"/>
      <c r="D82" s="27">
        <v>1</v>
      </c>
      <c r="E82" s="22"/>
    </row>
    <row r="83" spans="1:5" x14ac:dyDescent="0.3">
      <c r="A83" s="116" t="s">
        <v>872</v>
      </c>
      <c r="B83" s="113" t="s">
        <v>128</v>
      </c>
      <c r="C83" s="113" t="s">
        <v>1943</v>
      </c>
      <c r="D83" s="124">
        <f>(1-$D$71)*$D$76</f>
        <v>2.6680225903371417E-5</v>
      </c>
      <c r="E83" s="291" t="s">
        <v>232</v>
      </c>
    </row>
    <row r="84" spans="1:5" ht="15" thickBot="1" x14ac:dyDescent="0.35">
      <c r="A84" s="110" t="s">
        <v>816</v>
      </c>
      <c r="B84" s="111" t="s">
        <v>128</v>
      </c>
      <c r="C84" s="111" t="s">
        <v>1943</v>
      </c>
      <c r="D84" s="114">
        <f>$D$77</f>
        <v>1.2888998020952364E-2</v>
      </c>
      <c r="E84" s="283" t="s">
        <v>232</v>
      </c>
    </row>
    <row r="85" spans="1:5" x14ac:dyDescent="0.3">
      <c r="A85" s="1140"/>
      <c r="B85" s="1141"/>
      <c r="C85" s="1141"/>
      <c r="D85" s="1141"/>
      <c r="E85" s="1142"/>
    </row>
    <row r="86" spans="1:5" ht="15" thickBot="1" x14ac:dyDescent="0.35">
      <c r="A86" s="1143"/>
      <c r="B86" s="1144"/>
      <c r="C86" s="1144"/>
      <c r="D86" s="1144"/>
      <c r="E86" s="1145"/>
    </row>
    <row r="87" spans="1:5" ht="30" customHeight="1" thickBot="1" x14ac:dyDescent="0.35">
      <c r="A87" s="638" t="s">
        <v>2432</v>
      </c>
      <c r="B87" s="35" t="s">
        <v>142</v>
      </c>
      <c r="C87" s="21" t="s">
        <v>256</v>
      </c>
      <c r="D87" s="26" t="s">
        <v>236</v>
      </c>
      <c r="E87" s="23" t="s">
        <v>212</v>
      </c>
    </row>
    <row r="88" spans="1:5" x14ac:dyDescent="0.3">
      <c r="A88" s="1134" t="s">
        <v>266</v>
      </c>
      <c r="B88" s="1132" t="s">
        <v>225</v>
      </c>
      <c r="C88" s="19" t="s">
        <v>2287</v>
      </c>
      <c r="D88" s="136" t="s">
        <v>210</v>
      </c>
      <c r="E88" s="1136" t="s">
        <v>2106</v>
      </c>
    </row>
    <row r="89" spans="1:5" x14ac:dyDescent="0.3">
      <c r="A89" s="1135"/>
      <c r="B89" s="1133"/>
      <c r="C89" s="18" t="s">
        <v>2288</v>
      </c>
      <c r="D89" s="27" t="s">
        <v>210</v>
      </c>
      <c r="E89" s="1137"/>
    </row>
    <row r="90" spans="1:5" x14ac:dyDescent="0.3">
      <c r="A90" s="16" t="s">
        <v>2028</v>
      </c>
      <c r="B90" s="18" t="s">
        <v>225</v>
      </c>
      <c r="C90" s="18" t="s">
        <v>2050</v>
      </c>
      <c r="D90" s="27" t="s">
        <v>210</v>
      </c>
      <c r="E90" s="1138"/>
    </row>
    <row r="91" spans="1:5" x14ac:dyDescent="0.3">
      <c r="A91" s="16" t="s">
        <v>457</v>
      </c>
      <c r="B91" s="18" t="s">
        <v>261</v>
      </c>
      <c r="C91" s="157"/>
      <c r="D91" s="27">
        <v>0.5</v>
      </c>
      <c r="E91" s="313" t="s">
        <v>2249</v>
      </c>
    </row>
    <row r="92" spans="1:5" x14ac:dyDescent="0.3">
      <c r="A92" s="16" t="s">
        <v>458</v>
      </c>
      <c r="B92" s="18" t="s">
        <v>1024</v>
      </c>
      <c r="C92" s="18" t="s">
        <v>2289</v>
      </c>
      <c r="D92" s="137">
        <f>1000000000000000000</f>
        <v>1E+18</v>
      </c>
      <c r="E92" s="22" t="s">
        <v>2285</v>
      </c>
    </row>
    <row r="93" spans="1:5" x14ac:dyDescent="0.3">
      <c r="A93" s="16" t="s">
        <v>269</v>
      </c>
      <c r="B93" s="18" t="s">
        <v>270</v>
      </c>
      <c r="C93" s="18" t="s">
        <v>1223</v>
      </c>
      <c r="D93" s="27" t="s">
        <v>1093</v>
      </c>
      <c r="E93" s="22" t="s">
        <v>2286</v>
      </c>
    </row>
    <row r="94" spans="1:5" x14ac:dyDescent="0.3">
      <c r="A94" s="16" t="s">
        <v>1258</v>
      </c>
      <c r="B94" s="18" t="s">
        <v>1259</v>
      </c>
      <c r="C94" s="18"/>
      <c r="D94" s="27">
        <v>100</v>
      </c>
      <c r="E94" s="313" t="s">
        <v>2106</v>
      </c>
    </row>
    <row r="95" spans="1:5" x14ac:dyDescent="0.3">
      <c r="A95" s="16" t="s">
        <v>365</v>
      </c>
      <c r="B95" s="18" t="s">
        <v>366</v>
      </c>
      <c r="C95" s="18"/>
      <c r="D95" s="27">
        <v>300</v>
      </c>
      <c r="E95" s="313" t="s">
        <v>2106</v>
      </c>
    </row>
    <row r="96" spans="1:5" x14ac:dyDescent="0.3">
      <c r="A96" s="16" t="s">
        <v>362</v>
      </c>
      <c r="B96" s="18" t="s">
        <v>225</v>
      </c>
      <c r="C96" s="18"/>
      <c r="D96" s="27" t="s">
        <v>363</v>
      </c>
      <c r="E96" s="22" t="s">
        <v>364</v>
      </c>
    </row>
    <row r="97" spans="1:5" x14ac:dyDescent="0.3">
      <c r="A97" s="16" t="s">
        <v>871</v>
      </c>
      <c r="B97" s="18" t="s">
        <v>531</v>
      </c>
      <c r="C97" s="18" t="s">
        <v>1370</v>
      </c>
      <c r="D97" s="27">
        <v>5</v>
      </c>
      <c r="E97" s="22" t="s">
        <v>855</v>
      </c>
    </row>
    <row r="98" spans="1:5" x14ac:dyDescent="0.3">
      <c r="A98" s="16" t="s">
        <v>1334</v>
      </c>
      <c r="B98" s="18" t="s">
        <v>806</v>
      </c>
      <c r="C98" s="18"/>
      <c r="D98" s="134">
        <f>'25. CHEM. &amp; MAT.'!$F$34</f>
        <v>2.76</v>
      </c>
      <c r="E98" s="22" t="s">
        <v>1581</v>
      </c>
    </row>
    <row r="99" spans="1:5" x14ac:dyDescent="0.3">
      <c r="A99" s="16" t="s">
        <v>853</v>
      </c>
      <c r="B99" s="18" t="s">
        <v>531</v>
      </c>
      <c r="C99" s="18" t="s">
        <v>1369</v>
      </c>
      <c r="D99" s="27">
        <v>200</v>
      </c>
      <c r="E99" s="22" t="s">
        <v>855</v>
      </c>
    </row>
    <row r="100" spans="1:5" x14ac:dyDescent="0.3">
      <c r="A100" s="16" t="s">
        <v>859</v>
      </c>
      <c r="B100" s="18" t="s">
        <v>806</v>
      </c>
      <c r="C100" s="18"/>
      <c r="D100" s="134">
        <f>'25. CHEM. &amp; MAT.'!$F$14</f>
        <v>1.25</v>
      </c>
      <c r="E100" s="22" t="s">
        <v>1581</v>
      </c>
    </row>
    <row r="101" spans="1:5" x14ac:dyDescent="0.3">
      <c r="A101" s="16" t="s">
        <v>247</v>
      </c>
      <c r="B101" s="18" t="s">
        <v>225</v>
      </c>
      <c r="C101" s="18" t="s">
        <v>709</v>
      </c>
      <c r="D101" s="18">
        <v>1</v>
      </c>
      <c r="E101" s="313" t="s">
        <v>2106</v>
      </c>
    </row>
    <row r="102" spans="1:5" x14ac:dyDescent="0.3">
      <c r="A102" s="16" t="s">
        <v>890</v>
      </c>
      <c r="B102" s="18" t="s">
        <v>226</v>
      </c>
      <c r="C102" s="18" t="s">
        <v>983</v>
      </c>
      <c r="D102" s="18">
        <v>60</v>
      </c>
      <c r="E102" s="313" t="s">
        <v>2106</v>
      </c>
    </row>
    <row r="103" spans="1:5" x14ac:dyDescent="0.3">
      <c r="A103" s="16" t="s">
        <v>1365</v>
      </c>
      <c r="B103" s="18" t="s">
        <v>226</v>
      </c>
      <c r="C103" s="18" t="s">
        <v>1366</v>
      </c>
      <c r="D103" s="18">
        <v>120</v>
      </c>
      <c r="E103" s="313" t="s">
        <v>2106</v>
      </c>
    </row>
    <row r="104" spans="1:5" x14ac:dyDescent="0.3">
      <c r="A104" s="16" t="s">
        <v>1262</v>
      </c>
      <c r="B104" s="18" t="s">
        <v>226</v>
      </c>
      <c r="C104" s="18" t="s">
        <v>2435</v>
      </c>
      <c r="D104" s="18">
        <f>6*60</f>
        <v>360</v>
      </c>
      <c r="E104" s="313" t="s">
        <v>2106</v>
      </c>
    </row>
    <row r="105" spans="1:5" x14ac:dyDescent="0.3">
      <c r="A105" s="16" t="s">
        <v>858</v>
      </c>
      <c r="B105" s="18" t="s">
        <v>226</v>
      </c>
      <c r="C105" s="18"/>
      <c r="D105" s="18">
        <f>SUM($D$102:$D$104)</f>
        <v>540</v>
      </c>
      <c r="E105" s="22" t="s">
        <v>232</v>
      </c>
    </row>
    <row r="106" spans="1:5" x14ac:dyDescent="0.3">
      <c r="A106" s="578" t="s">
        <v>2317</v>
      </c>
      <c r="B106" s="543" t="s">
        <v>214</v>
      </c>
      <c r="C106" s="543"/>
      <c r="D106" s="781">
        <f>'1. USER INPUTS'!$E$30</f>
        <v>0.95</v>
      </c>
      <c r="E106" s="579" t="s">
        <v>398</v>
      </c>
    </row>
    <row r="107" spans="1:5" x14ac:dyDescent="0.3">
      <c r="A107" s="578" t="s">
        <v>351</v>
      </c>
      <c r="B107" s="543" t="s">
        <v>131</v>
      </c>
      <c r="C107" s="543"/>
      <c r="D107" s="543">
        <f>'2. PROCESS RECAP '!$E$25</f>
        <v>12.5</v>
      </c>
      <c r="E107" s="579" t="s">
        <v>2208</v>
      </c>
    </row>
    <row r="108" spans="1:5" ht="15" thickBot="1" x14ac:dyDescent="0.35">
      <c r="A108" s="718" t="s">
        <v>246</v>
      </c>
      <c r="B108" s="719" t="s">
        <v>225</v>
      </c>
      <c r="C108" s="719" t="s">
        <v>2434</v>
      </c>
      <c r="D108" s="720">
        <v>2</v>
      </c>
      <c r="E108" s="737" t="s">
        <v>2209</v>
      </c>
    </row>
    <row r="109" spans="1:5" x14ac:dyDescent="0.3">
      <c r="A109" s="1147" t="s">
        <v>291</v>
      </c>
      <c r="B109" s="1148"/>
      <c r="C109" s="1148"/>
      <c r="D109" s="1148"/>
      <c r="E109" s="1149"/>
    </row>
    <row r="110" spans="1:5" x14ac:dyDescent="0.3">
      <c r="A110" s="285" t="s">
        <v>716</v>
      </c>
      <c r="B110" s="15" t="s">
        <v>132</v>
      </c>
      <c r="C110" s="15" t="s">
        <v>1038</v>
      </c>
      <c r="D110" s="107">
        <f>($D$107*(($D$105+$D$105/3)/3600))*$D$108*'1. USER INPUTS'!$E$23</f>
        <v>2.1481663368253939E-2</v>
      </c>
      <c r="E110" s="276" t="s">
        <v>232</v>
      </c>
    </row>
    <row r="111" spans="1:5" x14ac:dyDescent="0.3">
      <c r="A111" s="287" t="s">
        <v>865</v>
      </c>
      <c r="B111" s="15" t="s">
        <v>128</v>
      </c>
      <c r="C111" s="15" t="s">
        <v>873</v>
      </c>
      <c r="D111" s="107">
        <f>($D$97*($D$104/60)*$D$98*0.001)*$D$108*'1. USER INPUTS'!$E$23</f>
        <v>7.1147269075657043E-4</v>
      </c>
      <c r="E111" s="276" t="s">
        <v>232</v>
      </c>
    </row>
    <row r="112" spans="1:5" x14ac:dyDescent="0.3">
      <c r="A112" s="287" t="s">
        <v>962</v>
      </c>
      <c r="B112" s="15" t="s">
        <v>128</v>
      </c>
      <c r="C112" s="15" t="s">
        <v>136</v>
      </c>
      <c r="D112" s="286">
        <f>($D$99*(($D$102+$D$104)/60)*$D$100*0.001)*$D$108*'1. USER INPUTS'!$E$23</f>
        <v>1.5037164357777758E-2</v>
      </c>
      <c r="E112" s="276" t="s">
        <v>232</v>
      </c>
    </row>
    <row r="113" spans="1:5" x14ac:dyDescent="0.3">
      <c r="A113" s="285" t="s">
        <v>716</v>
      </c>
      <c r="B113" s="39" t="s">
        <v>132</v>
      </c>
      <c r="C113" s="15" t="s">
        <v>1263</v>
      </c>
      <c r="D113" s="286">
        <f>(10*(($D$103+$D$103/3)/3600))*$D$108*'1. USER INPUTS'!$E$23</f>
        <v>3.8189623765784784E-3</v>
      </c>
      <c r="E113" s="276" t="s">
        <v>232</v>
      </c>
    </row>
    <row r="114" spans="1:5" x14ac:dyDescent="0.3">
      <c r="A114" s="285" t="s">
        <v>716</v>
      </c>
      <c r="B114" s="39" t="s">
        <v>132</v>
      </c>
      <c r="C114" s="15" t="s">
        <v>867</v>
      </c>
      <c r="D114" s="286">
        <f>(5*(($D$105+$D$105/3)/3600))*$D$108*'1. USER INPUTS'!$E$23</f>
        <v>8.5926653473015757E-3</v>
      </c>
      <c r="E114" s="276" t="s">
        <v>232</v>
      </c>
    </row>
    <row r="115" spans="1:5" x14ac:dyDescent="0.3">
      <c r="A115" s="285" t="s">
        <v>716</v>
      </c>
      <c r="B115" s="39" t="s">
        <v>132</v>
      </c>
      <c r="C115" s="15" t="s">
        <v>2251</v>
      </c>
      <c r="D115" s="286">
        <f>(11*(($D$102+$D$102/3)/3600))*$D$108*'1. USER INPUTS'!$E$23</f>
        <v>2.1004293071181629E-3</v>
      </c>
      <c r="E115" s="276" t="s">
        <v>232</v>
      </c>
    </row>
    <row r="116" spans="1:5" x14ac:dyDescent="0.3">
      <c r="A116" s="1128" t="s">
        <v>292</v>
      </c>
      <c r="B116" s="1129"/>
      <c r="C116" s="1129"/>
      <c r="D116" s="1129"/>
      <c r="E116" s="1130"/>
    </row>
    <row r="117" spans="1:5" x14ac:dyDescent="0.3">
      <c r="A117" s="16" t="s">
        <v>322</v>
      </c>
      <c r="B117" s="47" t="s">
        <v>293</v>
      </c>
      <c r="C117" s="18"/>
      <c r="D117" s="27">
        <v>1</v>
      </c>
      <c r="E117" s="22"/>
    </row>
    <row r="118" spans="1:5" x14ac:dyDescent="0.3">
      <c r="A118" s="116" t="s">
        <v>872</v>
      </c>
      <c r="B118" s="113" t="s">
        <v>128</v>
      </c>
      <c r="C118" s="113" t="s">
        <v>1943</v>
      </c>
      <c r="D118" s="124">
        <f>(1-$D$106)*$D$111</f>
        <v>3.5573634537828551E-5</v>
      </c>
      <c r="E118" s="291" t="s">
        <v>232</v>
      </c>
    </row>
    <row r="119" spans="1:5" ht="15" thickBot="1" x14ac:dyDescent="0.35">
      <c r="A119" s="110" t="s">
        <v>816</v>
      </c>
      <c r="B119" s="111" t="s">
        <v>128</v>
      </c>
      <c r="C119" s="111" t="s">
        <v>1943</v>
      </c>
      <c r="D119" s="114">
        <f>$D$112</f>
        <v>1.5037164357777758E-2</v>
      </c>
      <c r="E119" s="283" t="s">
        <v>232</v>
      </c>
    </row>
  </sheetData>
  <sheetProtection algorithmName="SHA-512" hashValue="1S2/HAKitHlo1qo5mSP0qRePGloGW3TaxCFNoQc8bBeiMj5QmlYb0YeuKgozJQCW/OqKSSAidMF31DYvLBRJmw==" saltValue="B3Gyd4BPfdGR8WJwv8GTxg==" spinCount="100000" sheet="1" objects="1" scenarios="1"/>
  <mergeCells count="20">
    <mergeCell ref="A116:E116"/>
    <mergeCell ref="A85:E86"/>
    <mergeCell ref="A88:A89"/>
    <mergeCell ref="B88:B89"/>
    <mergeCell ref="E88:E90"/>
    <mergeCell ref="A109:E109"/>
    <mergeCell ref="A5:E5"/>
    <mergeCell ref="A10:E10"/>
    <mergeCell ref="A74:E74"/>
    <mergeCell ref="A81:E81"/>
    <mergeCell ref="A15:E16"/>
    <mergeCell ref="A50:E51"/>
    <mergeCell ref="A39:E39"/>
    <mergeCell ref="A46:E46"/>
    <mergeCell ref="A18:A19"/>
    <mergeCell ref="B18:B19"/>
    <mergeCell ref="E18:E20"/>
    <mergeCell ref="A53:A54"/>
    <mergeCell ref="B53:B54"/>
    <mergeCell ref="E53:E55"/>
  </mergeCells>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9CC3A-110C-4BB7-A9F6-96AD5564AFD2}">
  <dimension ref="A1:G357"/>
  <sheetViews>
    <sheetView zoomScale="85" zoomScaleNormal="85" workbookViewId="0">
      <selection activeCell="A29" sqref="A29:E30"/>
    </sheetView>
  </sheetViews>
  <sheetFormatPr baseColWidth="10" defaultRowHeight="14.4" x14ac:dyDescent="0.3"/>
  <cols>
    <col min="1" max="1" width="78.5546875" customWidth="1"/>
    <col min="2" max="2" width="8.21875" bestFit="1" customWidth="1"/>
    <col min="3" max="3" width="145.21875" bestFit="1" customWidth="1"/>
    <col min="4" max="4" width="10" bestFit="1" customWidth="1"/>
    <col min="5" max="5" width="59.109375" customWidth="1"/>
  </cols>
  <sheetData>
    <row r="1" spans="1:5" ht="15" thickBot="1" x14ac:dyDescent="0.35">
      <c r="A1" t="s">
        <v>135</v>
      </c>
    </row>
    <row r="2" spans="1:5" ht="30" customHeight="1" thickBot="1" x14ac:dyDescent="0.35">
      <c r="A2" s="638" t="s">
        <v>1888</v>
      </c>
      <c r="B2" s="35" t="s">
        <v>142</v>
      </c>
      <c r="C2" s="21" t="s">
        <v>256</v>
      </c>
      <c r="D2" s="26" t="s">
        <v>236</v>
      </c>
      <c r="E2" s="23" t="s">
        <v>212</v>
      </c>
    </row>
    <row r="3" spans="1:5" x14ac:dyDescent="0.3">
      <c r="A3" s="18" t="s">
        <v>2186</v>
      </c>
      <c r="B3" s="18" t="s">
        <v>225</v>
      </c>
      <c r="C3" s="18"/>
      <c r="D3" s="27">
        <f>SUM($D$66,$D$117,$D$165,$D$221,$D$278)</f>
        <v>7</v>
      </c>
      <c r="E3" s="22" t="s">
        <v>232</v>
      </c>
    </row>
    <row r="4" spans="1:5" x14ac:dyDescent="0.3">
      <c r="A4" s="18" t="s">
        <v>2178</v>
      </c>
      <c r="B4" s="18" t="s">
        <v>226</v>
      </c>
      <c r="C4" s="18"/>
      <c r="D4" s="138">
        <f>SUM($D$64,$D$115,$D$163,$D$218,$D$275)</f>
        <v>8205</v>
      </c>
      <c r="E4" s="22" t="s">
        <v>232</v>
      </c>
    </row>
    <row r="5" spans="1:5" x14ac:dyDescent="0.3">
      <c r="A5" s="1125" t="s">
        <v>291</v>
      </c>
      <c r="B5" s="1126"/>
      <c r="C5" s="1126"/>
      <c r="D5" s="1126"/>
      <c r="E5" s="1127"/>
    </row>
    <row r="6" spans="1:5" x14ac:dyDescent="0.3">
      <c r="A6" s="262" t="s">
        <v>716</v>
      </c>
      <c r="B6" s="15" t="s">
        <v>132</v>
      </c>
      <c r="C6" s="15" t="s">
        <v>2229</v>
      </c>
      <c r="D6" s="286">
        <f>SUM($D$68,$D$72:$D$74,$D$119,$D$123:$D$125,$D$167,$D$171:$D$173,$D$223,$D$229:$D$231,$D$280,$D$284:$D$286)</f>
        <v>4.0788069635323637E-2</v>
      </c>
      <c r="E6" s="276" t="s">
        <v>232</v>
      </c>
    </row>
    <row r="7" spans="1:5" x14ac:dyDescent="0.3">
      <c r="A7" s="293" t="s">
        <v>2611</v>
      </c>
      <c r="B7" s="15" t="s">
        <v>128</v>
      </c>
      <c r="C7" s="15" t="s">
        <v>2612</v>
      </c>
      <c r="D7" s="286">
        <f>$D$69</f>
        <v>3.6969535877518741E-6</v>
      </c>
      <c r="E7" s="276" t="s">
        <v>232</v>
      </c>
    </row>
    <row r="8" spans="1:5" x14ac:dyDescent="0.3">
      <c r="A8" s="293" t="s">
        <v>700</v>
      </c>
      <c r="B8" s="15" t="s">
        <v>128</v>
      </c>
      <c r="C8" s="15" t="s">
        <v>2613</v>
      </c>
      <c r="D8" s="286">
        <f>SUM($D$120,$D$168,$D$224,$D$282)</f>
        <v>8.0217113308517331E-6</v>
      </c>
      <c r="E8" s="276" t="s">
        <v>232</v>
      </c>
    </row>
    <row r="9" spans="1:5" x14ac:dyDescent="0.3">
      <c r="A9" s="293" t="s">
        <v>380</v>
      </c>
      <c r="B9" s="39" t="s">
        <v>128</v>
      </c>
      <c r="C9" s="15" t="s">
        <v>2231</v>
      </c>
      <c r="D9" s="286">
        <f>$D$70</f>
        <v>4.4409169857590146E-5</v>
      </c>
      <c r="E9" s="276" t="s">
        <v>232</v>
      </c>
    </row>
    <row r="10" spans="1:5" x14ac:dyDescent="0.3">
      <c r="A10" s="287" t="s">
        <v>379</v>
      </c>
      <c r="B10" s="15" t="s">
        <v>128</v>
      </c>
      <c r="C10" s="15" t="s">
        <v>2236</v>
      </c>
      <c r="D10" s="286">
        <f>$D$121</f>
        <v>5.9289390896380868E-6</v>
      </c>
      <c r="E10" s="276" t="s">
        <v>232</v>
      </c>
    </row>
    <row r="11" spans="1:5" x14ac:dyDescent="0.3">
      <c r="A11" s="49" t="s">
        <v>375</v>
      </c>
      <c r="B11" s="39" t="s">
        <v>128</v>
      </c>
      <c r="C11" s="15" t="s">
        <v>2235</v>
      </c>
      <c r="D11" s="286">
        <f>SUM($D$169,$D$225)</f>
        <v>5.3346543575137701E-5</v>
      </c>
      <c r="E11" s="276" t="s">
        <v>232</v>
      </c>
    </row>
    <row r="12" spans="1:5" x14ac:dyDescent="0.3">
      <c r="A12" s="287" t="s">
        <v>962</v>
      </c>
      <c r="B12" s="39" t="s">
        <v>128</v>
      </c>
      <c r="C12" s="15" t="s">
        <v>2233</v>
      </c>
      <c r="D12" s="286">
        <f>SUM($D$71,$D$122,$D$170,$D$226,$D$283)</f>
        <v>3.2652128319745992E-6</v>
      </c>
      <c r="E12" s="276" t="s">
        <v>232</v>
      </c>
    </row>
    <row r="13" spans="1:5" x14ac:dyDescent="0.3">
      <c r="A13" s="323" t="s">
        <v>1395</v>
      </c>
      <c r="B13" s="39" t="s">
        <v>128</v>
      </c>
      <c r="C13" s="15" t="s">
        <v>2234</v>
      </c>
      <c r="D13" s="286">
        <f>$D$227</f>
        <v>2.4526903967337611E-6</v>
      </c>
      <c r="E13" s="276" t="s">
        <v>232</v>
      </c>
    </row>
    <row r="14" spans="1:5" x14ac:dyDescent="0.3">
      <c r="A14" s="287" t="s">
        <v>902</v>
      </c>
      <c r="B14" s="39" t="s">
        <v>128</v>
      </c>
      <c r="C14" s="15" t="s">
        <v>2232</v>
      </c>
      <c r="D14" s="286">
        <f>$D$228</f>
        <v>1.548226442276798E-7</v>
      </c>
      <c r="E14" s="276" t="s">
        <v>232</v>
      </c>
    </row>
    <row r="15" spans="1:5" x14ac:dyDescent="0.3">
      <c r="A15" s="293" t="s">
        <v>702</v>
      </c>
      <c r="B15" s="39" t="s">
        <v>128</v>
      </c>
      <c r="C15" s="15" t="s">
        <v>2230</v>
      </c>
      <c r="D15" s="286">
        <f>$D$281</f>
        <v>3.0148201347907945E-8</v>
      </c>
      <c r="E15" s="276" t="s">
        <v>232</v>
      </c>
    </row>
    <row r="16" spans="1:5" x14ac:dyDescent="0.3">
      <c r="A16" s="1128" t="s">
        <v>292</v>
      </c>
      <c r="B16" s="1129"/>
      <c r="C16" s="1129"/>
      <c r="D16" s="1129"/>
      <c r="E16" s="1130"/>
    </row>
    <row r="17" spans="1:5" x14ac:dyDescent="0.3">
      <c r="A17" s="16" t="s">
        <v>322</v>
      </c>
      <c r="B17" s="18" t="s">
        <v>293</v>
      </c>
      <c r="C17" s="18"/>
      <c r="D17" s="27">
        <v>1</v>
      </c>
      <c r="E17" s="22"/>
    </row>
    <row r="18" spans="1:5" x14ac:dyDescent="0.3">
      <c r="A18" s="116" t="s">
        <v>463</v>
      </c>
      <c r="B18" s="113" t="s">
        <v>128</v>
      </c>
      <c r="C18" s="113" t="s">
        <v>1946</v>
      </c>
      <c r="D18" s="124">
        <f>SUM($D$77,$D$128,$D$176,$D$234,$D$289)</f>
        <v>1.1132731672673425E-5</v>
      </c>
      <c r="E18" s="291" t="s">
        <v>232</v>
      </c>
    </row>
    <row r="19" spans="1:5" x14ac:dyDescent="0.3">
      <c r="A19" s="116" t="s">
        <v>2246</v>
      </c>
      <c r="B19" s="113" t="s">
        <v>128</v>
      </c>
      <c r="C19" s="113" t="s">
        <v>1946</v>
      </c>
      <c r="D19" s="124">
        <f>$D$78</f>
        <v>4.2188711364710637E-5</v>
      </c>
      <c r="E19" s="291" t="s">
        <v>232</v>
      </c>
    </row>
    <row r="20" spans="1:5" x14ac:dyDescent="0.3">
      <c r="A20" s="284" t="s">
        <v>816</v>
      </c>
      <c r="B20" s="113" t="s">
        <v>128</v>
      </c>
      <c r="C20" s="112" t="s">
        <v>1946</v>
      </c>
      <c r="D20" s="124">
        <f>SUM($D$79,$D$130,$D$178,$D$236,$D$291)</f>
        <v>3.2652128319745992E-6</v>
      </c>
      <c r="E20" s="291" t="s">
        <v>232</v>
      </c>
    </row>
    <row r="21" spans="1:5" x14ac:dyDescent="0.3">
      <c r="A21" s="284" t="s">
        <v>1949</v>
      </c>
      <c r="B21" s="113" t="s">
        <v>128</v>
      </c>
      <c r="C21" s="112" t="s">
        <v>1946</v>
      </c>
      <c r="D21" s="124">
        <f>$D$80</f>
        <v>2.6689423071556091E-6</v>
      </c>
      <c r="E21" s="291" t="s">
        <v>232</v>
      </c>
    </row>
    <row r="22" spans="1:5" x14ac:dyDescent="0.3">
      <c r="A22" s="284" t="s">
        <v>1947</v>
      </c>
      <c r="B22" s="113" t="s">
        <v>128</v>
      </c>
      <c r="C22" s="112" t="s">
        <v>1946</v>
      </c>
      <c r="D22" s="124">
        <f>SUM($D$81,$D$131,$D$179,$D$239,$D$292)</f>
        <v>5.7731433776646591E-7</v>
      </c>
      <c r="E22" s="291" t="s">
        <v>232</v>
      </c>
    </row>
    <row r="23" spans="1:5" x14ac:dyDescent="0.3">
      <c r="A23" s="284" t="s">
        <v>401</v>
      </c>
      <c r="B23" s="113" t="s">
        <v>128</v>
      </c>
      <c r="C23" s="112" t="s">
        <v>1946</v>
      </c>
      <c r="D23" s="124">
        <f>$D$129</f>
        <v>5.6324921351561825E-6</v>
      </c>
      <c r="E23" s="291" t="s">
        <v>232</v>
      </c>
    </row>
    <row r="24" spans="1:5" x14ac:dyDescent="0.3">
      <c r="A24" s="284" t="s">
        <v>2228</v>
      </c>
      <c r="B24" s="113" t="s">
        <v>128</v>
      </c>
      <c r="C24" s="112" t="s">
        <v>1946</v>
      </c>
      <c r="D24" s="115">
        <f>SUM($D$177,$D$235)</f>
        <v>5.0679216396380809E-5</v>
      </c>
      <c r="E24" s="291" t="s">
        <v>232</v>
      </c>
    </row>
    <row r="25" spans="1:5" x14ac:dyDescent="0.3">
      <c r="A25" s="284" t="s">
        <v>2247</v>
      </c>
      <c r="B25" s="113" t="s">
        <v>128</v>
      </c>
      <c r="C25" s="112" t="s">
        <v>1946</v>
      </c>
      <c r="D25" s="115">
        <f>$D$237</f>
        <v>2.4526903967337611E-6</v>
      </c>
      <c r="E25" s="291" t="s">
        <v>232</v>
      </c>
    </row>
    <row r="26" spans="1:5" x14ac:dyDescent="0.3">
      <c r="A26" s="723" t="s">
        <v>1429</v>
      </c>
      <c r="B26" s="113" t="s">
        <v>128</v>
      </c>
      <c r="C26" s="112" t="s">
        <v>1946</v>
      </c>
      <c r="D26" s="566">
        <f>$D$238</f>
        <v>7.7411322113839975E-9</v>
      </c>
      <c r="E26" s="291" t="s">
        <v>232</v>
      </c>
    </row>
    <row r="27" spans="1:5" x14ac:dyDescent="0.3">
      <c r="A27" s="724" t="s">
        <v>2248</v>
      </c>
      <c r="B27" s="113" t="s">
        <v>128</v>
      </c>
      <c r="C27" s="112" t="s">
        <v>1946</v>
      </c>
      <c r="D27" s="564">
        <f>$D$290</f>
        <v>2.8640791280512547E-8</v>
      </c>
      <c r="E27" s="291" t="s">
        <v>232</v>
      </c>
    </row>
    <row r="28" spans="1:5" ht="15" thickBot="1" x14ac:dyDescent="0.35">
      <c r="A28" s="110" t="s">
        <v>1948</v>
      </c>
      <c r="B28" s="111" t="s">
        <v>128</v>
      </c>
      <c r="C28" s="112" t="s">
        <v>1946</v>
      </c>
      <c r="D28" s="117">
        <f>$D$293</f>
        <v>7.9017177491108917E-10</v>
      </c>
      <c r="E28" s="283" t="s">
        <v>232</v>
      </c>
    </row>
    <row r="29" spans="1:5" x14ac:dyDescent="0.3">
      <c r="A29" s="1140"/>
      <c r="B29" s="1141"/>
      <c r="C29" s="1141"/>
      <c r="D29" s="1141"/>
      <c r="E29" s="1142"/>
    </row>
    <row r="30" spans="1:5" ht="15" thickBot="1" x14ac:dyDescent="0.35">
      <c r="A30" s="1143"/>
      <c r="B30" s="1144"/>
      <c r="C30" s="1144"/>
      <c r="D30" s="1144"/>
      <c r="E30" s="1145"/>
    </row>
    <row r="31" spans="1:5" ht="30" customHeight="1" thickBot="1" x14ac:dyDescent="0.35">
      <c r="A31" s="638" t="s">
        <v>2143</v>
      </c>
      <c r="B31" s="35" t="s">
        <v>142</v>
      </c>
      <c r="C31" s="21" t="s">
        <v>256</v>
      </c>
      <c r="D31" s="26" t="s">
        <v>236</v>
      </c>
      <c r="E31" s="23" t="s">
        <v>212</v>
      </c>
    </row>
    <row r="32" spans="1:5" x14ac:dyDescent="0.3">
      <c r="A32" s="1134" t="s">
        <v>266</v>
      </c>
      <c r="B32" s="1132" t="s">
        <v>225</v>
      </c>
      <c r="C32" s="19" t="s">
        <v>2227</v>
      </c>
      <c r="D32" s="1159" t="s">
        <v>210</v>
      </c>
      <c r="E32" s="1136" t="s">
        <v>2106</v>
      </c>
    </row>
    <row r="33" spans="1:5" x14ac:dyDescent="0.3">
      <c r="A33" s="1146"/>
      <c r="B33" s="1139"/>
      <c r="C33" s="18" t="s">
        <v>357</v>
      </c>
      <c r="D33" s="1160"/>
      <c r="E33" s="1137"/>
    </row>
    <row r="34" spans="1:5" x14ac:dyDescent="0.3">
      <c r="A34" s="1146"/>
      <c r="B34" s="1139"/>
      <c r="C34" s="18" t="s">
        <v>289</v>
      </c>
      <c r="D34" s="1160"/>
      <c r="E34" s="1137"/>
    </row>
    <row r="35" spans="1:5" x14ac:dyDescent="0.3">
      <c r="A35" s="1135"/>
      <c r="B35" s="1133"/>
      <c r="C35" s="18" t="s">
        <v>462</v>
      </c>
      <c r="D35" s="1161"/>
      <c r="E35" s="1137"/>
    </row>
    <row r="36" spans="1:5" x14ac:dyDescent="0.3">
      <c r="A36" s="16" t="s">
        <v>2028</v>
      </c>
      <c r="B36" s="18" t="s">
        <v>225</v>
      </c>
      <c r="C36" s="18" t="s">
        <v>887</v>
      </c>
      <c r="D36" s="27" t="s">
        <v>210</v>
      </c>
      <c r="E36" s="1138"/>
    </row>
    <row r="37" spans="1:5" x14ac:dyDescent="0.3">
      <c r="A37" s="16" t="s">
        <v>188</v>
      </c>
      <c r="B37" s="18" t="s">
        <v>309</v>
      </c>
      <c r="C37" s="18"/>
      <c r="D37" s="27">
        <f>'1. USER INPUTS'!$E$12</f>
        <v>200</v>
      </c>
      <c r="E37" s="34" t="s">
        <v>398</v>
      </c>
    </row>
    <row r="38" spans="1:5" x14ac:dyDescent="0.3">
      <c r="A38" s="16" t="s">
        <v>235</v>
      </c>
      <c r="B38" s="18" t="s">
        <v>231</v>
      </c>
      <c r="C38" s="18"/>
      <c r="D38" s="137">
        <f>PI()*(($D$37/1000)/2)^2</f>
        <v>3.1415926535897934E-2</v>
      </c>
      <c r="E38" s="34" t="s">
        <v>232</v>
      </c>
    </row>
    <row r="39" spans="1:5" x14ac:dyDescent="0.3">
      <c r="A39" s="16" t="s">
        <v>454</v>
      </c>
      <c r="B39" s="18" t="s">
        <v>130</v>
      </c>
      <c r="C39" s="18" t="s">
        <v>441</v>
      </c>
      <c r="D39" s="137">
        <v>1.9999999999999999E-7</v>
      </c>
      <c r="E39" s="22" t="s">
        <v>2106</v>
      </c>
    </row>
    <row r="40" spans="1:5" x14ac:dyDescent="0.3">
      <c r="A40" s="16" t="s">
        <v>2237</v>
      </c>
      <c r="B40" s="18" t="s">
        <v>129</v>
      </c>
      <c r="C40" s="18"/>
      <c r="D40" s="137">
        <f>'25. CHEM. &amp; MAT.'!$F$6</f>
        <v>3170</v>
      </c>
      <c r="E40" s="34" t="s">
        <v>1581</v>
      </c>
    </row>
    <row r="41" spans="1:5" x14ac:dyDescent="0.3">
      <c r="A41" s="16" t="s">
        <v>2238</v>
      </c>
      <c r="B41" s="18" t="s">
        <v>883</v>
      </c>
      <c r="C41" s="18"/>
      <c r="D41" s="137">
        <f>'25. CHEM. &amp; MAT.'!G6*0.001</f>
        <v>0.14028000000000002</v>
      </c>
      <c r="E41" s="34" t="s">
        <v>1581</v>
      </c>
    </row>
    <row r="42" spans="1:5" x14ac:dyDescent="0.3">
      <c r="A42" s="16" t="s">
        <v>882</v>
      </c>
      <c r="B42" s="18" t="s">
        <v>128</v>
      </c>
      <c r="C42" s="18" t="s">
        <v>1359</v>
      </c>
      <c r="D42" s="137">
        <f>$D$39*$D$38*$D$40</f>
        <v>1.991769742375929E-5</v>
      </c>
      <c r="E42" s="34" t="s">
        <v>232</v>
      </c>
    </row>
    <row r="43" spans="1:5" x14ac:dyDescent="0.3">
      <c r="A43" s="16" t="s">
        <v>1393</v>
      </c>
      <c r="B43" s="18" t="s">
        <v>271</v>
      </c>
      <c r="C43" s="18"/>
      <c r="D43" s="27">
        <v>100</v>
      </c>
      <c r="E43" s="22" t="s">
        <v>2106</v>
      </c>
    </row>
    <row r="44" spans="1:5" x14ac:dyDescent="0.3">
      <c r="A44" s="16" t="s">
        <v>1360</v>
      </c>
      <c r="B44" s="18" t="s">
        <v>214</v>
      </c>
      <c r="C44" s="18"/>
      <c r="D44" s="27">
        <v>5</v>
      </c>
      <c r="E44" s="34" t="s">
        <v>2250</v>
      </c>
    </row>
    <row r="45" spans="1:5" x14ac:dyDescent="0.3">
      <c r="A45" s="16" t="s">
        <v>1387</v>
      </c>
      <c r="B45" s="18" t="s">
        <v>129</v>
      </c>
      <c r="C45" s="18"/>
      <c r="D45" s="134">
        <f>'25. CHEM. &amp; MAT.'!$F$27</f>
        <v>1.2609999999999999</v>
      </c>
      <c r="E45" s="34" t="s">
        <v>1581</v>
      </c>
    </row>
    <row r="46" spans="1:5" x14ac:dyDescent="0.3">
      <c r="A46" s="16" t="s">
        <v>1388</v>
      </c>
      <c r="B46" s="18" t="s">
        <v>883</v>
      </c>
      <c r="C46" s="18"/>
      <c r="D46" s="161">
        <f>'25. CHEM. &amp; MAT.'!$G$27*0.001</f>
        <v>0.10100700000000001</v>
      </c>
      <c r="E46" s="34" t="s">
        <v>1581</v>
      </c>
    </row>
    <row r="47" spans="1:5" x14ac:dyDescent="0.3">
      <c r="A47" s="16" t="s">
        <v>2619</v>
      </c>
      <c r="B47" s="18" t="s">
        <v>225</v>
      </c>
      <c r="C47" s="18"/>
      <c r="D47" s="138">
        <f>3/1</f>
        <v>3</v>
      </c>
      <c r="E47" s="34" t="s">
        <v>232</v>
      </c>
    </row>
    <row r="48" spans="1:5" x14ac:dyDescent="0.3">
      <c r="A48" s="16" t="s">
        <v>1384</v>
      </c>
      <c r="B48" s="18" t="s">
        <v>129</v>
      </c>
      <c r="C48" s="18"/>
      <c r="D48" s="134">
        <f>'25. CHEM. &amp; MAT.'!$F$56</f>
        <v>0.76900000000000002</v>
      </c>
      <c r="E48" s="34" t="s">
        <v>1581</v>
      </c>
    </row>
    <row r="49" spans="1:7" x14ac:dyDescent="0.3">
      <c r="A49" s="16" t="s">
        <v>1385</v>
      </c>
      <c r="B49" s="18" t="s">
        <v>883</v>
      </c>
      <c r="C49" s="18"/>
      <c r="D49" s="137">
        <f>'25. CHEM. &amp; MAT.'!$F$57*0.001</f>
        <v>0.91</v>
      </c>
      <c r="E49" s="34" t="s">
        <v>1581</v>
      </c>
    </row>
    <row r="50" spans="1:7" x14ac:dyDescent="0.3">
      <c r="A50" s="16" t="s">
        <v>1386</v>
      </c>
      <c r="B50" s="18" t="s">
        <v>225</v>
      </c>
      <c r="C50" s="18"/>
      <c r="D50" s="138">
        <f>4/1</f>
        <v>4</v>
      </c>
      <c r="E50" s="34" t="s">
        <v>232</v>
      </c>
    </row>
    <row r="51" spans="1:7" x14ac:dyDescent="0.3">
      <c r="A51" s="16" t="s">
        <v>859</v>
      </c>
      <c r="B51" s="18" t="s">
        <v>129</v>
      </c>
      <c r="C51" s="4"/>
      <c r="D51" s="134">
        <f>'25. CHEM. &amp; MAT.'!$F$14</f>
        <v>1.25</v>
      </c>
      <c r="E51" s="34" t="s">
        <v>1581</v>
      </c>
    </row>
    <row r="52" spans="1:7" x14ac:dyDescent="0.3">
      <c r="A52" s="16" t="s">
        <v>853</v>
      </c>
      <c r="B52" s="18" t="s">
        <v>531</v>
      </c>
      <c r="C52" s="18" t="s">
        <v>1364</v>
      </c>
      <c r="D52" s="27">
        <v>200</v>
      </c>
      <c r="E52" s="22" t="s">
        <v>2106</v>
      </c>
    </row>
    <row r="53" spans="1:7" x14ac:dyDescent="0.3">
      <c r="A53" s="16" t="s">
        <v>1424</v>
      </c>
      <c r="B53" s="18" t="s">
        <v>129</v>
      </c>
      <c r="C53" s="18"/>
      <c r="D53" s="134">
        <f>'25. CHEM. &amp; MAT.'!F53</f>
        <v>1.49</v>
      </c>
      <c r="E53" s="34" t="s">
        <v>1581</v>
      </c>
    </row>
    <row r="54" spans="1:7" x14ac:dyDescent="0.3">
      <c r="A54" s="16" t="s">
        <v>1425</v>
      </c>
      <c r="B54" s="18" t="s">
        <v>883</v>
      </c>
      <c r="C54" s="18"/>
      <c r="D54" s="27">
        <f>'25. CHEM. &amp; MAT.'!$G$53*0.001</f>
        <v>3.6459999999999999E-2</v>
      </c>
      <c r="E54" s="34" t="s">
        <v>1581</v>
      </c>
    </row>
    <row r="55" spans="1:7" x14ac:dyDescent="0.3">
      <c r="A55" s="16" t="s">
        <v>1241</v>
      </c>
      <c r="B55" s="18" t="s">
        <v>129</v>
      </c>
      <c r="C55" s="18"/>
      <c r="D55" s="134">
        <f>'25. CHEM. &amp; MAT.'!$F$12</f>
        <v>0.09</v>
      </c>
      <c r="E55" s="34" t="s">
        <v>1581</v>
      </c>
    </row>
    <row r="56" spans="1:7" x14ac:dyDescent="0.3">
      <c r="A56" s="16" t="s">
        <v>1240</v>
      </c>
      <c r="B56" s="18" t="s">
        <v>883</v>
      </c>
      <c r="C56" s="18"/>
      <c r="D56" s="27">
        <f>'25. CHEM. &amp; MAT.'!$G$12*0.001</f>
        <v>1.008E-3</v>
      </c>
      <c r="E56" s="34" t="s">
        <v>1581</v>
      </c>
    </row>
    <row r="57" spans="1:7" x14ac:dyDescent="0.3">
      <c r="A57" s="16" t="s">
        <v>268</v>
      </c>
      <c r="B57" s="18" t="s">
        <v>274</v>
      </c>
      <c r="C57" s="18"/>
      <c r="D57" s="27" t="s">
        <v>358</v>
      </c>
      <c r="E57" s="22" t="s">
        <v>2106</v>
      </c>
    </row>
    <row r="58" spans="1:7" x14ac:dyDescent="0.3">
      <c r="A58" s="16" t="s">
        <v>269</v>
      </c>
      <c r="B58" s="18" t="s">
        <v>270</v>
      </c>
      <c r="C58" s="18"/>
      <c r="D58" s="27">
        <v>850</v>
      </c>
      <c r="E58" s="22" t="s">
        <v>2106</v>
      </c>
      <c r="G58" s="322"/>
    </row>
    <row r="59" spans="1:7" x14ac:dyDescent="0.3">
      <c r="A59" s="16" t="s">
        <v>247</v>
      </c>
      <c r="B59" s="18" t="s">
        <v>225</v>
      </c>
      <c r="C59" s="18" t="s">
        <v>1028</v>
      </c>
      <c r="D59" s="27">
        <v>100</v>
      </c>
      <c r="E59" s="22" t="s">
        <v>2106</v>
      </c>
    </row>
    <row r="60" spans="1:7" x14ac:dyDescent="0.3">
      <c r="A60" s="16" t="s">
        <v>890</v>
      </c>
      <c r="B60" s="18" t="s">
        <v>226</v>
      </c>
      <c r="C60" s="18" t="s">
        <v>983</v>
      </c>
      <c r="D60" s="27">
        <v>60</v>
      </c>
      <c r="E60" s="22" t="s">
        <v>2106</v>
      </c>
    </row>
    <row r="61" spans="1:7" x14ac:dyDescent="0.3">
      <c r="A61" s="16" t="s">
        <v>1365</v>
      </c>
      <c r="B61" s="18" t="s">
        <v>226</v>
      </c>
      <c r="C61" s="18" t="s">
        <v>1366</v>
      </c>
      <c r="D61" s="27">
        <v>120</v>
      </c>
      <c r="E61" s="22" t="s">
        <v>2106</v>
      </c>
    </row>
    <row r="62" spans="1:7" x14ac:dyDescent="0.3">
      <c r="A62" s="16" t="s">
        <v>979</v>
      </c>
      <c r="B62" s="18" t="s">
        <v>226</v>
      </c>
      <c r="C62" s="18" t="s">
        <v>1362</v>
      </c>
      <c r="D62" s="27">
        <f>20*60</f>
        <v>1200</v>
      </c>
      <c r="E62" s="22" t="s">
        <v>2106</v>
      </c>
    </row>
    <row r="63" spans="1:7" x14ac:dyDescent="0.3">
      <c r="A63" s="16" t="s">
        <v>891</v>
      </c>
      <c r="B63" s="18" t="s">
        <v>226</v>
      </c>
      <c r="C63" s="18" t="s">
        <v>1363</v>
      </c>
      <c r="D63" s="27">
        <f>($D$39/($D$43*0.000000001))*60</f>
        <v>119.99999999999999</v>
      </c>
      <c r="E63" s="22" t="s">
        <v>232</v>
      </c>
    </row>
    <row r="64" spans="1:7" x14ac:dyDescent="0.3">
      <c r="A64" s="16" t="s">
        <v>2117</v>
      </c>
      <c r="B64" s="47" t="s">
        <v>226</v>
      </c>
      <c r="C64" s="18"/>
      <c r="D64">
        <f>SUM(D60:D63)</f>
        <v>1500</v>
      </c>
      <c r="E64" s="22" t="s">
        <v>232</v>
      </c>
    </row>
    <row r="65" spans="1:5" x14ac:dyDescent="0.3">
      <c r="A65" s="578" t="s">
        <v>351</v>
      </c>
      <c r="B65" s="543" t="s">
        <v>131</v>
      </c>
      <c r="C65" s="543"/>
      <c r="D65" s="639">
        <f>'2. PROCESS RECAP '!$E$43</f>
        <v>7.3</v>
      </c>
      <c r="E65" s="579" t="s">
        <v>2208</v>
      </c>
    </row>
    <row r="66" spans="1:5" ht="15" thickBot="1" x14ac:dyDescent="0.35">
      <c r="A66" s="634" t="s">
        <v>246</v>
      </c>
      <c r="B66" s="635" t="s">
        <v>225</v>
      </c>
      <c r="C66" s="635"/>
      <c r="D66" s="636">
        <f>'2. PROCESS RECAP '!$H$43</f>
        <v>1</v>
      </c>
      <c r="E66" s="637" t="s">
        <v>2209</v>
      </c>
    </row>
    <row r="67" spans="1:5" x14ac:dyDescent="0.3">
      <c r="A67" s="1122" t="s">
        <v>291</v>
      </c>
      <c r="B67" s="1123"/>
      <c r="C67" s="1123"/>
      <c r="D67" s="1123"/>
      <c r="E67" s="1124"/>
    </row>
    <row r="68" spans="1:5" x14ac:dyDescent="0.3">
      <c r="A68" s="285" t="s">
        <v>716</v>
      </c>
      <c r="B68" s="15" t="s">
        <v>132</v>
      </c>
      <c r="C68" s="15" t="s">
        <v>1038</v>
      </c>
      <c r="D68" s="286">
        <f>(($D$65*(($D$64+$D$64/3)/3600))/$D$59)*$D$66*'1. USER INPUTS'!$E$23</f>
        <v>1.7424015843139304E-4</v>
      </c>
      <c r="E68" s="320" t="s">
        <v>232</v>
      </c>
    </row>
    <row r="69" spans="1:5" x14ac:dyDescent="0.3">
      <c r="A69" s="293" t="s">
        <v>2611</v>
      </c>
      <c r="B69" s="39" t="s">
        <v>128</v>
      </c>
      <c r="C69" s="15" t="s">
        <v>2612</v>
      </c>
      <c r="D69" s="286">
        <f>($D$42/$D$41)*(100/$D$44)*$D$47*$D$46*'1. USER INPUTS'!$E$23*$D$66</f>
        <v>3.6969535877518741E-6</v>
      </c>
      <c r="E69" s="320" t="s">
        <v>232</v>
      </c>
    </row>
    <row r="70" spans="1:5" x14ac:dyDescent="0.3">
      <c r="A70" s="293" t="s">
        <v>380</v>
      </c>
      <c r="B70" s="39" t="s">
        <v>128</v>
      </c>
      <c r="C70" s="15" t="s">
        <v>884</v>
      </c>
      <c r="D70" s="286">
        <f>($D$42/$D$41)*(100/$D$44)*$D$50*$D$49*'1. USER INPUTS'!$E$23*$D$66</f>
        <v>4.4409169857590146E-5</v>
      </c>
      <c r="E70" s="320" t="s">
        <v>232</v>
      </c>
    </row>
    <row r="71" spans="1:5" x14ac:dyDescent="0.3">
      <c r="A71" s="287" t="s">
        <v>962</v>
      </c>
      <c r="B71" s="39" t="s">
        <v>128</v>
      </c>
      <c r="C71" s="15" t="s">
        <v>136</v>
      </c>
      <c r="D71" s="286">
        <f>((($D$52*($D$60/60))*$D$51*0.000001)/$D$59)*'1. USER INPUTS'!$E$23*$D$66</f>
        <v>1.0740831684126971E-8</v>
      </c>
      <c r="E71" s="320" t="s">
        <v>232</v>
      </c>
    </row>
    <row r="72" spans="1:5" x14ac:dyDescent="0.3">
      <c r="A72" s="285" t="s">
        <v>716</v>
      </c>
      <c r="B72" s="39" t="s">
        <v>132</v>
      </c>
      <c r="C72" s="15" t="s">
        <v>885</v>
      </c>
      <c r="D72" s="286">
        <f>((5*(($D$61+$D$61/3)/3600))/$D$59)*$D$66*'1. USER INPUTS'!$E$23</f>
        <v>9.5474059414461955E-6</v>
      </c>
      <c r="E72" s="320" t="s">
        <v>232</v>
      </c>
    </row>
    <row r="73" spans="1:5" x14ac:dyDescent="0.3">
      <c r="A73" s="285" t="s">
        <v>716</v>
      </c>
      <c r="B73" s="39" t="s">
        <v>132</v>
      </c>
      <c r="C73" s="15" t="s">
        <v>886</v>
      </c>
      <c r="D73" s="286">
        <f>((5*(($D$64+$D$64/3)/3600))/$D$59)*$D$66*'1. USER INPUTS'!$E$23</f>
        <v>1.1934257426807744E-4</v>
      </c>
      <c r="E73" s="320" t="s">
        <v>232</v>
      </c>
    </row>
    <row r="74" spans="1:5" x14ac:dyDescent="0.3">
      <c r="A74" s="285" t="s">
        <v>716</v>
      </c>
      <c r="B74" s="39" t="s">
        <v>132</v>
      </c>
      <c r="C74" s="15" t="s">
        <v>2251</v>
      </c>
      <c r="D74" s="286">
        <f>((11*(($D$60+$D$60/3)/3600))/$D$59)*$D$66*'1. USER INPUTS'!$E$23</f>
        <v>1.0502146535590816E-5</v>
      </c>
      <c r="E74" s="320" t="s">
        <v>232</v>
      </c>
    </row>
    <row r="75" spans="1:5" x14ac:dyDescent="0.3">
      <c r="A75" s="1128" t="s">
        <v>292</v>
      </c>
      <c r="B75" s="1129"/>
      <c r="C75" s="1129"/>
      <c r="D75" s="1129"/>
      <c r="E75" s="1130"/>
    </row>
    <row r="76" spans="1:5" x14ac:dyDescent="0.3">
      <c r="A76" s="16" t="s">
        <v>322</v>
      </c>
      <c r="B76" s="47" t="s">
        <v>293</v>
      </c>
      <c r="C76" s="47"/>
      <c r="D76" s="27">
        <v>1</v>
      </c>
      <c r="E76" s="22"/>
    </row>
    <row r="77" spans="1:5" x14ac:dyDescent="0.3">
      <c r="A77" s="116" t="s">
        <v>463</v>
      </c>
      <c r="B77" s="113" t="s">
        <v>128</v>
      </c>
      <c r="C77" s="113" t="s">
        <v>1946</v>
      </c>
      <c r="D77" s="124">
        <f>$D$69*(1-($D$44/100))</f>
        <v>3.5121059083642801E-6</v>
      </c>
      <c r="E77" s="291" t="s">
        <v>232</v>
      </c>
    </row>
    <row r="78" spans="1:5" x14ac:dyDescent="0.3">
      <c r="A78" s="116" t="s">
        <v>2246</v>
      </c>
      <c r="B78" s="113" t="s">
        <v>128</v>
      </c>
      <c r="C78" s="113" t="s">
        <v>1946</v>
      </c>
      <c r="D78" s="124">
        <f>$D$70*(1-($D$44/100))</f>
        <v>4.2188711364710637E-5</v>
      </c>
      <c r="E78" s="291" t="s">
        <v>232</v>
      </c>
    </row>
    <row r="79" spans="1:5" x14ac:dyDescent="0.3">
      <c r="A79" s="284" t="s">
        <v>816</v>
      </c>
      <c r="B79" s="113" t="s">
        <v>128</v>
      </c>
      <c r="C79" s="113" t="s">
        <v>1946</v>
      </c>
      <c r="D79" s="124">
        <f>$D$71</f>
        <v>1.0740831684126971E-8</v>
      </c>
      <c r="E79" s="291" t="s">
        <v>232</v>
      </c>
    </row>
    <row r="80" spans="1:5" x14ac:dyDescent="0.3">
      <c r="A80" s="284" t="s">
        <v>1949</v>
      </c>
      <c r="B80" s="573" t="s">
        <v>128</v>
      </c>
      <c r="C80" s="112" t="s">
        <v>1946</v>
      </c>
      <c r="D80" s="574">
        <f>(($D$69/$D$46)*2)*$D$54</f>
        <v>2.6689423071556091E-6</v>
      </c>
      <c r="E80" s="291" t="s">
        <v>232</v>
      </c>
    </row>
    <row r="81" spans="1:5" ht="15" thickBot="1" x14ac:dyDescent="0.35">
      <c r="A81" s="110" t="s">
        <v>1947</v>
      </c>
      <c r="B81" s="111" t="s">
        <v>128</v>
      </c>
      <c r="C81" s="547" t="s">
        <v>1946</v>
      </c>
      <c r="D81" s="114">
        <f>(($D$69/$D$46)*2)*$D$56</f>
        <v>7.3787543763380525E-8</v>
      </c>
      <c r="E81" s="321" t="s">
        <v>232</v>
      </c>
    </row>
    <row r="82" spans="1:5" x14ac:dyDescent="0.3">
      <c r="A82" s="1163"/>
      <c r="B82" s="1164"/>
      <c r="C82" s="1164"/>
      <c r="D82" s="1164"/>
      <c r="E82" s="1165"/>
    </row>
    <row r="83" spans="1:5" ht="15" thickBot="1" x14ac:dyDescent="0.35">
      <c r="A83" s="1166"/>
      <c r="B83" s="1167"/>
      <c r="C83" s="1167"/>
      <c r="D83" s="1167"/>
      <c r="E83" s="1168"/>
    </row>
    <row r="84" spans="1:5" ht="30" customHeight="1" thickBot="1" x14ac:dyDescent="0.35">
      <c r="A84" s="638" t="s">
        <v>2144</v>
      </c>
      <c r="B84" s="35" t="s">
        <v>142</v>
      </c>
      <c r="C84" s="21" t="s">
        <v>256</v>
      </c>
      <c r="D84" s="26" t="s">
        <v>236</v>
      </c>
      <c r="E84" s="23" t="s">
        <v>212</v>
      </c>
    </row>
    <row r="85" spans="1:5" x14ac:dyDescent="0.3">
      <c r="A85" s="1134" t="s">
        <v>265</v>
      </c>
      <c r="B85" s="1132" t="s">
        <v>225</v>
      </c>
      <c r="C85" s="18" t="s">
        <v>2245</v>
      </c>
      <c r="D85" s="1159" t="s">
        <v>210</v>
      </c>
      <c r="E85" s="1136" t="s">
        <v>2106</v>
      </c>
    </row>
    <row r="86" spans="1:5" x14ac:dyDescent="0.3">
      <c r="A86" s="1135"/>
      <c r="B86" s="1133"/>
      <c r="C86" s="18" t="s">
        <v>461</v>
      </c>
      <c r="D86" s="1161"/>
      <c r="E86" s="1137"/>
    </row>
    <row r="87" spans="1:5" x14ac:dyDescent="0.3">
      <c r="A87" s="16" t="s">
        <v>2028</v>
      </c>
      <c r="B87" s="18" t="s">
        <v>225</v>
      </c>
      <c r="C87" s="18" t="s">
        <v>887</v>
      </c>
      <c r="D87" s="27" t="s">
        <v>210</v>
      </c>
      <c r="E87" s="1138"/>
    </row>
    <row r="88" spans="1:5" x14ac:dyDescent="0.3">
      <c r="A88" s="16" t="s">
        <v>188</v>
      </c>
      <c r="B88" s="18" t="s">
        <v>309</v>
      </c>
      <c r="C88" s="18"/>
      <c r="D88" s="27">
        <f>'1. USER INPUTS'!$E$12</f>
        <v>200</v>
      </c>
      <c r="E88" s="34" t="s">
        <v>398</v>
      </c>
    </row>
    <row r="89" spans="1:5" x14ac:dyDescent="0.3">
      <c r="A89" s="16" t="s">
        <v>235</v>
      </c>
      <c r="B89" s="18" t="s">
        <v>231</v>
      </c>
      <c r="C89" s="18"/>
      <c r="D89" s="137">
        <f>PI()*(($D$88/1000)/2)^2</f>
        <v>3.1415926535897934E-2</v>
      </c>
      <c r="E89" s="34" t="s">
        <v>232</v>
      </c>
    </row>
    <row r="90" spans="1:5" x14ac:dyDescent="0.3">
      <c r="A90" s="16" t="s">
        <v>454</v>
      </c>
      <c r="B90" s="18" t="s">
        <v>130</v>
      </c>
      <c r="C90" s="18" t="s">
        <v>1371</v>
      </c>
      <c r="D90" s="137">
        <f>0.000001</f>
        <v>9.9999999999999995E-7</v>
      </c>
      <c r="E90" s="22" t="s">
        <v>2249</v>
      </c>
    </row>
    <row r="91" spans="1:5" x14ac:dyDescent="0.3">
      <c r="A91" s="16" t="s">
        <v>1390</v>
      </c>
      <c r="B91" s="18" t="s">
        <v>129</v>
      </c>
      <c r="C91" s="103"/>
      <c r="D91" s="141">
        <f>'25. CHEM. &amp; MAT.'!$F$4</f>
        <v>2230</v>
      </c>
      <c r="E91" s="34" t="s">
        <v>1581</v>
      </c>
    </row>
    <row r="92" spans="1:5" x14ac:dyDescent="0.3">
      <c r="A92" s="16" t="s">
        <v>1391</v>
      </c>
      <c r="B92" s="18" t="s">
        <v>883</v>
      </c>
      <c r="C92" s="103"/>
      <c r="D92" s="142">
        <f>'25. CHEM. &amp; MAT.'!$G$4*0.001</f>
        <v>2.8085000000000002E-2</v>
      </c>
      <c r="E92" s="34" t="s">
        <v>1581</v>
      </c>
    </row>
    <row r="93" spans="1:5" x14ac:dyDescent="0.3">
      <c r="A93" s="16" t="s">
        <v>882</v>
      </c>
      <c r="B93" s="18" t="s">
        <v>128</v>
      </c>
      <c r="C93" s="18" t="s">
        <v>1359</v>
      </c>
      <c r="D93" s="142">
        <f>$D$89*$D$90*$D$91</f>
        <v>7.0057516175052391E-5</v>
      </c>
      <c r="E93" s="34" t="s">
        <v>232</v>
      </c>
    </row>
    <row r="94" spans="1:5" x14ac:dyDescent="0.3">
      <c r="A94" s="16" t="s">
        <v>1392</v>
      </c>
      <c r="B94" s="18" t="s">
        <v>271</v>
      </c>
      <c r="C94" s="18"/>
      <c r="D94" s="27">
        <v>50</v>
      </c>
      <c r="E94" s="22" t="s">
        <v>2106</v>
      </c>
    </row>
    <row r="95" spans="1:5" x14ac:dyDescent="0.3">
      <c r="A95" s="16" t="s">
        <v>1360</v>
      </c>
      <c r="B95" s="18" t="s">
        <v>214</v>
      </c>
      <c r="C95" s="18" t="s">
        <v>460</v>
      </c>
      <c r="D95" s="27">
        <v>5</v>
      </c>
      <c r="E95" s="34" t="s">
        <v>2250</v>
      </c>
    </row>
    <row r="96" spans="1:5" x14ac:dyDescent="0.3">
      <c r="A96" s="16" t="s">
        <v>356</v>
      </c>
      <c r="B96" s="18" t="s">
        <v>225</v>
      </c>
      <c r="C96" s="18" t="s">
        <v>888</v>
      </c>
      <c r="D96" s="183" t="s">
        <v>889</v>
      </c>
      <c r="E96" s="22" t="s">
        <v>2109</v>
      </c>
    </row>
    <row r="97" spans="1:5" x14ac:dyDescent="0.3">
      <c r="A97" s="16" t="s">
        <v>1375</v>
      </c>
      <c r="B97" s="18" t="s">
        <v>129</v>
      </c>
      <c r="C97" s="103"/>
      <c r="D97" s="158">
        <f>'25. CHEM. &amp; MAT.'!$F$26</f>
        <v>1.44</v>
      </c>
      <c r="E97" s="34" t="s">
        <v>1581</v>
      </c>
    </row>
    <row r="98" spans="1:5" x14ac:dyDescent="0.3">
      <c r="A98" s="16" t="s">
        <v>1374</v>
      </c>
      <c r="B98" s="18" t="s">
        <v>883</v>
      </c>
      <c r="C98" s="4"/>
      <c r="D98" s="27">
        <f>'25. CHEM. &amp; MAT.'!$G$26*0.001</f>
        <v>3.2117E-2</v>
      </c>
      <c r="E98" s="34" t="s">
        <v>1581</v>
      </c>
    </row>
    <row r="99" spans="1:5" x14ac:dyDescent="0.3">
      <c r="A99" s="16" t="s">
        <v>1389</v>
      </c>
      <c r="B99" s="18" t="s">
        <v>225</v>
      </c>
      <c r="C99" s="18"/>
      <c r="D99" s="27">
        <f>1/1</f>
        <v>1</v>
      </c>
      <c r="E99" s="34" t="s">
        <v>232</v>
      </c>
    </row>
    <row r="100" spans="1:5" x14ac:dyDescent="0.3">
      <c r="A100" s="16" t="s">
        <v>870</v>
      </c>
      <c r="B100" s="18" t="s">
        <v>129</v>
      </c>
      <c r="C100" s="4"/>
      <c r="D100" s="27">
        <f>'25. CHEM. &amp; MAT.'!F30</f>
        <v>1.38</v>
      </c>
      <c r="E100" s="34" t="s">
        <v>1581</v>
      </c>
    </row>
    <row r="101" spans="1:5" x14ac:dyDescent="0.3">
      <c r="A101" s="16" t="s">
        <v>1372</v>
      </c>
      <c r="B101" s="18" t="s">
        <v>883</v>
      </c>
      <c r="C101" s="4"/>
      <c r="D101" s="27">
        <f>'25. CHEM. &amp; MAT.'!$G$30*0.001</f>
        <v>9.4971400000000011E-2</v>
      </c>
      <c r="E101" s="34" t="s">
        <v>1581</v>
      </c>
    </row>
    <row r="102" spans="1:5" x14ac:dyDescent="0.3">
      <c r="A102" s="16" t="s">
        <v>868</v>
      </c>
      <c r="B102" s="18" t="s">
        <v>531</v>
      </c>
      <c r="C102" s="4"/>
      <c r="D102" s="27">
        <v>5</v>
      </c>
      <c r="E102" s="22" t="s">
        <v>2106</v>
      </c>
    </row>
    <row r="103" spans="1:5" x14ac:dyDescent="0.3">
      <c r="A103" s="16" t="s">
        <v>859</v>
      </c>
      <c r="B103" s="18" t="s">
        <v>129</v>
      </c>
      <c r="C103" s="4"/>
      <c r="D103" s="27">
        <f>'25. CHEM. &amp; MAT.'!$F$14</f>
        <v>1.25</v>
      </c>
      <c r="E103" s="34" t="s">
        <v>1581</v>
      </c>
    </row>
    <row r="104" spans="1:5" x14ac:dyDescent="0.3">
      <c r="A104" s="16" t="s">
        <v>853</v>
      </c>
      <c r="B104" s="18" t="s">
        <v>531</v>
      </c>
      <c r="C104" s="18" t="s">
        <v>1364</v>
      </c>
      <c r="D104" s="27">
        <v>200</v>
      </c>
      <c r="E104" s="34" t="s">
        <v>232</v>
      </c>
    </row>
    <row r="105" spans="1:5" x14ac:dyDescent="0.3">
      <c r="A105" s="16" t="s">
        <v>1373</v>
      </c>
      <c r="B105" s="18" t="s">
        <v>883</v>
      </c>
      <c r="C105" s="18"/>
      <c r="D105" s="27">
        <f>'25. CHEM. &amp; MAT.'!$G$14*0.001</f>
        <v>2.8010000000000004E-2</v>
      </c>
      <c r="E105" s="34" t="s">
        <v>1581</v>
      </c>
    </row>
    <row r="106" spans="1:5" x14ac:dyDescent="0.3">
      <c r="A106" s="16" t="s">
        <v>1241</v>
      </c>
      <c r="B106" s="18" t="s">
        <v>129</v>
      </c>
      <c r="C106" s="18"/>
      <c r="D106" s="134">
        <f>'25. CHEM. &amp; MAT.'!$F$12</f>
        <v>0.09</v>
      </c>
      <c r="E106" s="34" t="s">
        <v>1581</v>
      </c>
    </row>
    <row r="107" spans="1:5" x14ac:dyDescent="0.3">
      <c r="A107" s="16" t="s">
        <v>1240</v>
      </c>
      <c r="B107" s="18" t="s">
        <v>883</v>
      </c>
      <c r="C107" s="18"/>
      <c r="D107" s="27">
        <f>'25. CHEM. &amp; MAT.'!$G$12*0.001</f>
        <v>1.008E-3</v>
      </c>
      <c r="E107" s="34" t="s">
        <v>1581</v>
      </c>
    </row>
    <row r="108" spans="1:5" x14ac:dyDescent="0.3">
      <c r="A108" s="16" t="s">
        <v>268</v>
      </c>
      <c r="B108" s="18" t="s">
        <v>274</v>
      </c>
      <c r="C108" s="18"/>
      <c r="D108" s="27" t="s">
        <v>358</v>
      </c>
      <c r="E108" s="22" t="s">
        <v>2106</v>
      </c>
    </row>
    <row r="109" spans="1:5" x14ac:dyDescent="0.3">
      <c r="A109" s="16" t="s">
        <v>269</v>
      </c>
      <c r="B109" s="18" t="s">
        <v>270</v>
      </c>
      <c r="C109" s="18"/>
      <c r="D109" s="27">
        <v>850</v>
      </c>
      <c r="E109" s="22" t="s">
        <v>2106</v>
      </c>
    </row>
    <row r="110" spans="1:5" x14ac:dyDescent="0.3">
      <c r="A110" s="16" t="s">
        <v>247</v>
      </c>
      <c r="B110" s="18" t="s">
        <v>225</v>
      </c>
      <c r="C110" s="18" t="s">
        <v>1028</v>
      </c>
      <c r="D110" s="27">
        <v>100</v>
      </c>
      <c r="E110" s="22" t="s">
        <v>2106</v>
      </c>
    </row>
    <row r="111" spans="1:5" x14ac:dyDescent="0.3">
      <c r="A111" s="16" t="s">
        <v>890</v>
      </c>
      <c r="B111" s="18" t="s">
        <v>226</v>
      </c>
      <c r="C111" s="18" t="s">
        <v>983</v>
      </c>
      <c r="D111" s="27">
        <v>60</v>
      </c>
      <c r="E111" s="22" t="s">
        <v>2106</v>
      </c>
    </row>
    <row r="112" spans="1:5" x14ac:dyDescent="0.3">
      <c r="A112" s="16" t="s">
        <v>1365</v>
      </c>
      <c r="B112" s="18" t="s">
        <v>226</v>
      </c>
      <c r="C112" s="18" t="s">
        <v>1366</v>
      </c>
      <c r="D112" s="27">
        <v>120</v>
      </c>
      <c r="E112" s="22" t="s">
        <v>2106</v>
      </c>
    </row>
    <row r="113" spans="1:5" x14ac:dyDescent="0.3">
      <c r="A113" s="16" t="s">
        <v>979</v>
      </c>
      <c r="B113" s="18" t="s">
        <v>226</v>
      </c>
      <c r="C113" s="18" t="s">
        <v>1362</v>
      </c>
      <c r="D113" s="27">
        <f>20*60</f>
        <v>1200</v>
      </c>
      <c r="E113" s="22" t="s">
        <v>2106</v>
      </c>
    </row>
    <row r="114" spans="1:5" x14ac:dyDescent="0.3">
      <c r="A114" s="16" t="s">
        <v>891</v>
      </c>
      <c r="B114" s="18" t="s">
        <v>226</v>
      </c>
      <c r="C114" s="18"/>
      <c r="D114" s="138">
        <f>($D$90/($D$94*0.000000001))*60</f>
        <v>1199.9999999999998</v>
      </c>
      <c r="E114" s="22" t="s">
        <v>232</v>
      </c>
    </row>
    <row r="115" spans="1:5" x14ac:dyDescent="0.3">
      <c r="A115" s="46" t="s">
        <v>892</v>
      </c>
      <c r="B115" s="47" t="s">
        <v>226</v>
      </c>
      <c r="C115" s="18"/>
      <c r="D115">
        <f>SUM(D111:D114)</f>
        <v>2580</v>
      </c>
      <c r="E115" s="22" t="s">
        <v>232</v>
      </c>
    </row>
    <row r="116" spans="1:5" x14ac:dyDescent="0.3">
      <c r="A116" s="578" t="s">
        <v>351</v>
      </c>
      <c r="B116" s="543" t="s">
        <v>131</v>
      </c>
      <c r="C116" s="543"/>
      <c r="D116" s="639">
        <f>'2. PROCESS RECAP '!$E$44</f>
        <v>7.3</v>
      </c>
      <c r="E116" s="579" t="s">
        <v>2208</v>
      </c>
    </row>
    <row r="117" spans="1:5" ht="15" thickBot="1" x14ac:dyDescent="0.35">
      <c r="A117" s="634" t="s">
        <v>246</v>
      </c>
      <c r="B117" s="635" t="s">
        <v>225</v>
      </c>
      <c r="C117" s="635"/>
      <c r="D117" s="636">
        <f>'2. PROCESS RECAP '!$H$44</f>
        <v>1</v>
      </c>
      <c r="E117" s="637" t="s">
        <v>2209</v>
      </c>
    </row>
    <row r="118" spans="1:5" x14ac:dyDescent="0.3">
      <c r="A118" s="1125" t="s">
        <v>291</v>
      </c>
      <c r="B118" s="1126"/>
      <c r="C118" s="1126"/>
      <c r="D118" s="1126"/>
      <c r="E118" s="1127"/>
    </row>
    <row r="119" spans="1:5" x14ac:dyDescent="0.3">
      <c r="A119" s="285" t="s">
        <v>716</v>
      </c>
      <c r="B119" s="15" t="s">
        <v>132</v>
      </c>
      <c r="C119" s="15" t="s">
        <v>1038</v>
      </c>
      <c r="D119" s="286">
        <f>(($D$116*(($D$115+$D$115/3)/3600))/$D$110)*$D$117*'1. USER INPUTS'!$E$23</f>
        <v>2.9969307250199607E-4</v>
      </c>
      <c r="E119" s="320" t="s">
        <v>232</v>
      </c>
    </row>
    <row r="120" spans="1:5" x14ac:dyDescent="0.3">
      <c r="A120" s="293" t="s">
        <v>700</v>
      </c>
      <c r="B120" s="39" t="s">
        <v>128</v>
      </c>
      <c r="C120" s="15" t="s">
        <v>895</v>
      </c>
      <c r="D120" s="286">
        <f>($D$93/$D$92)*(100/$D$95)*$D$99*$D$98*'1. USER INPUTS'!$E$23*$D$117</f>
        <v>6.88403670371534E-6</v>
      </c>
      <c r="E120" s="320" t="s">
        <v>232</v>
      </c>
    </row>
    <row r="121" spans="1:5" x14ac:dyDescent="0.3">
      <c r="A121" s="293" t="s">
        <v>379</v>
      </c>
      <c r="B121" s="39" t="s">
        <v>128</v>
      </c>
      <c r="C121" s="15" t="s">
        <v>1261</v>
      </c>
      <c r="D121" s="286">
        <f>((($D$102*($D$114/60))*$D$100*0.001)/$D$110)*'1. USER INPUTS'!$E$23*$D$117</f>
        <v>5.9289390896380868E-6</v>
      </c>
      <c r="E121" s="320" t="s">
        <v>232</v>
      </c>
    </row>
    <row r="122" spans="1:5" x14ac:dyDescent="0.3">
      <c r="A122" s="287" t="s">
        <v>962</v>
      </c>
      <c r="B122" s="39" t="s">
        <v>128</v>
      </c>
      <c r="C122" s="15" t="s">
        <v>136</v>
      </c>
      <c r="D122" s="286">
        <f>((($D$104*($D$111/60))*$D$103*0.000001)/$D$110)*'1. USER INPUTS'!$E$23*$D$117</f>
        <v>1.0740831684126971E-8</v>
      </c>
      <c r="E122" s="320" t="s">
        <v>232</v>
      </c>
    </row>
    <row r="123" spans="1:5" x14ac:dyDescent="0.3">
      <c r="A123" s="285" t="s">
        <v>716</v>
      </c>
      <c r="B123" s="39" t="s">
        <v>132</v>
      </c>
      <c r="C123" s="15" t="s">
        <v>885</v>
      </c>
      <c r="D123" s="286">
        <f>((5*(($D$112+$D$112/3)/3600))/$D$110)*$D$117*'1. USER INPUTS'!$E$23</f>
        <v>9.5474059414461955E-6</v>
      </c>
      <c r="E123" s="320" t="s">
        <v>232</v>
      </c>
    </row>
    <row r="124" spans="1:5" x14ac:dyDescent="0.3">
      <c r="A124" s="285" t="s">
        <v>716</v>
      </c>
      <c r="B124" s="39" t="s">
        <v>132</v>
      </c>
      <c r="C124" s="15" t="s">
        <v>886</v>
      </c>
      <c r="D124" s="286">
        <f>((5*(($D$115+$D$115/3)/3600))/$D$110)*$D$117*'1. USER INPUTS'!$E$23</f>
        <v>2.0526922774109321E-4</v>
      </c>
      <c r="E124" s="320" t="s">
        <v>232</v>
      </c>
    </row>
    <row r="125" spans="1:5" x14ac:dyDescent="0.3">
      <c r="A125" s="285" t="s">
        <v>716</v>
      </c>
      <c r="B125" s="39" t="s">
        <v>132</v>
      </c>
      <c r="C125" s="15" t="s">
        <v>2251</v>
      </c>
      <c r="D125" s="286">
        <f>((11*(($D$111+$D$111/3)/3600))/$D$110)*$D$117*'1. USER INPUTS'!$E$23</f>
        <v>1.0502146535590816E-5</v>
      </c>
      <c r="E125" s="320" t="s">
        <v>232</v>
      </c>
    </row>
    <row r="126" spans="1:5" x14ac:dyDescent="0.3">
      <c r="A126" s="1128" t="s">
        <v>292</v>
      </c>
      <c r="B126" s="1129"/>
      <c r="C126" s="1129"/>
      <c r="D126" s="1129"/>
      <c r="E126" s="1130"/>
    </row>
    <row r="127" spans="1:5" x14ac:dyDescent="0.3">
      <c r="A127" s="16" t="s">
        <v>322</v>
      </c>
      <c r="B127" s="47" t="s">
        <v>293</v>
      </c>
      <c r="C127" s="18"/>
      <c r="D127" s="27">
        <v>1</v>
      </c>
      <c r="E127" s="22"/>
    </row>
    <row r="128" spans="1:5" x14ac:dyDescent="0.3">
      <c r="A128" s="284" t="s">
        <v>463</v>
      </c>
      <c r="B128" s="113" t="s">
        <v>128</v>
      </c>
      <c r="C128" s="113" t="s">
        <v>1946</v>
      </c>
      <c r="D128" s="124">
        <f>$D$120*(1-($D$95/100))</f>
        <v>6.5398348685295729E-6</v>
      </c>
      <c r="E128" s="291" t="s">
        <v>232</v>
      </c>
    </row>
    <row r="129" spans="1:5" x14ac:dyDescent="0.3">
      <c r="A129" s="284" t="s">
        <v>401</v>
      </c>
      <c r="B129" s="113" t="s">
        <v>128</v>
      </c>
      <c r="C129" s="113" t="s">
        <v>1946</v>
      </c>
      <c r="D129" s="124">
        <f>$D$121*(1-($D$95/100))</f>
        <v>5.6324921351561825E-6</v>
      </c>
      <c r="E129" s="291" t="s">
        <v>232</v>
      </c>
    </row>
    <row r="130" spans="1:5" x14ac:dyDescent="0.3">
      <c r="A130" s="284" t="s">
        <v>816</v>
      </c>
      <c r="B130" s="113" t="s">
        <v>128</v>
      </c>
      <c r="C130" s="113" t="s">
        <v>1946</v>
      </c>
      <c r="D130" s="124">
        <f>$D$122</f>
        <v>1.0740831684126971E-8</v>
      </c>
      <c r="E130" s="291" t="s">
        <v>232</v>
      </c>
    </row>
    <row r="131" spans="1:5" ht="15" thickBot="1" x14ac:dyDescent="0.35">
      <c r="A131" s="110" t="s">
        <v>1947</v>
      </c>
      <c r="B131" s="111" t="s">
        <v>128</v>
      </c>
      <c r="C131" s="111" t="s">
        <v>1946</v>
      </c>
      <c r="D131" s="114">
        <f>(($D$120/$D$98)*2)*$D$107</f>
        <v>4.3211439408070882E-7</v>
      </c>
      <c r="E131" s="321" t="s">
        <v>232</v>
      </c>
    </row>
    <row r="132" spans="1:5" x14ac:dyDescent="0.3">
      <c r="A132" s="1163"/>
      <c r="B132" s="1164"/>
      <c r="C132" s="1164"/>
      <c r="D132" s="1164"/>
      <c r="E132" s="1165"/>
    </row>
    <row r="133" spans="1:5" ht="15" thickBot="1" x14ac:dyDescent="0.35">
      <c r="A133" s="1166"/>
      <c r="B133" s="1167"/>
      <c r="C133" s="1167"/>
      <c r="D133" s="1167"/>
      <c r="E133" s="1168"/>
    </row>
    <row r="134" spans="1:5" ht="30" customHeight="1" thickBot="1" x14ac:dyDescent="0.35">
      <c r="A134" s="638" t="s">
        <v>2609</v>
      </c>
      <c r="B134" s="35" t="s">
        <v>142</v>
      </c>
      <c r="C134" s="21" t="s">
        <v>256</v>
      </c>
      <c r="D134" s="26" t="s">
        <v>236</v>
      </c>
      <c r="E134" s="23" t="s">
        <v>212</v>
      </c>
    </row>
    <row r="135" spans="1:5" x14ac:dyDescent="0.3">
      <c r="A135" s="583" t="s">
        <v>265</v>
      </c>
      <c r="B135" s="18" t="s">
        <v>225</v>
      </c>
      <c r="C135" s="18" t="s">
        <v>894</v>
      </c>
      <c r="D135" s="27" t="s">
        <v>210</v>
      </c>
      <c r="E135" s="1136" t="s">
        <v>2106</v>
      </c>
    </row>
    <row r="136" spans="1:5" ht="13.8" customHeight="1" x14ac:dyDescent="0.3">
      <c r="A136" s="16" t="s">
        <v>2028</v>
      </c>
      <c r="B136" s="18" t="s">
        <v>225</v>
      </c>
      <c r="C136" s="103" t="s">
        <v>887</v>
      </c>
      <c r="D136" s="27" t="s">
        <v>210</v>
      </c>
      <c r="E136" s="1138"/>
    </row>
    <row r="137" spans="1:5" x14ac:dyDescent="0.3">
      <c r="A137" s="16" t="s">
        <v>188</v>
      </c>
      <c r="B137" s="18" t="s">
        <v>309</v>
      </c>
      <c r="C137" s="18"/>
      <c r="D137" s="27">
        <f>'1. USER INPUTS'!$E$12</f>
        <v>200</v>
      </c>
      <c r="E137" s="34" t="s">
        <v>398</v>
      </c>
    </row>
    <row r="138" spans="1:5" x14ac:dyDescent="0.3">
      <c r="A138" s="16" t="s">
        <v>235</v>
      </c>
      <c r="B138" s="18" t="s">
        <v>231</v>
      </c>
      <c r="C138" s="18"/>
      <c r="D138" s="137">
        <f>PI()*(($D$137/1000)/2)^2</f>
        <v>3.1415926535897934E-2</v>
      </c>
      <c r="E138" s="34" t="s">
        <v>232</v>
      </c>
    </row>
    <row r="139" spans="1:5" x14ac:dyDescent="0.3">
      <c r="A139" s="16" t="s">
        <v>454</v>
      </c>
      <c r="B139" s="18" t="s">
        <v>130</v>
      </c>
      <c r="C139" s="18" t="s">
        <v>2620</v>
      </c>
      <c r="D139" s="137">
        <f>0.00000025</f>
        <v>2.4999999999999999E-7</v>
      </c>
      <c r="E139" s="22" t="s">
        <v>2249</v>
      </c>
    </row>
    <row r="140" spans="1:5" x14ac:dyDescent="0.3">
      <c r="A140" s="16" t="s">
        <v>1379</v>
      </c>
      <c r="B140" s="18" t="s">
        <v>129</v>
      </c>
      <c r="C140" s="103"/>
      <c r="D140" s="158">
        <f>'25. CHEM. &amp; MAT.'!$F$5</f>
        <v>2500</v>
      </c>
      <c r="E140" s="34" t="s">
        <v>1581</v>
      </c>
    </row>
    <row r="141" spans="1:5" x14ac:dyDescent="0.3">
      <c r="A141" s="16" t="s">
        <v>1380</v>
      </c>
      <c r="B141" s="18" t="s">
        <v>883</v>
      </c>
      <c r="C141" s="103"/>
      <c r="D141" s="158">
        <f>'25. CHEM. &amp; MAT.'!$G$5*0.001</f>
        <v>6.0080000000000001E-2</v>
      </c>
      <c r="E141" s="34" t="s">
        <v>1581</v>
      </c>
    </row>
    <row r="142" spans="1:5" x14ac:dyDescent="0.3">
      <c r="A142" s="16" t="s">
        <v>882</v>
      </c>
      <c r="B142" s="18" t="s">
        <v>128</v>
      </c>
      <c r="C142" s="18" t="s">
        <v>1359</v>
      </c>
      <c r="D142" s="142">
        <f>$D$138*$D$139*$D$140</f>
        <v>1.9634954084936207E-5</v>
      </c>
      <c r="E142" s="34" t="s">
        <v>232</v>
      </c>
    </row>
    <row r="143" spans="1:5" x14ac:dyDescent="0.3">
      <c r="A143" s="16" t="s">
        <v>1394</v>
      </c>
      <c r="B143" s="18" t="s">
        <v>271</v>
      </c>
      <c r="C143" s="18"/>
      <c r="D143" s="27">
        <v>50</v>
      </c>
      <c r="E143" s="22" t="s">
        <v>2106</v>
      </c>
    </row>
    <row r="144" spans="1:5" x14ac:dyDescent="0.3">
      <c r="A144" s="16" t="s">
        <v>1360</v>
      </c>
      <c r="B144" s="18" t="s">
        <v>214</v>
      </c>
      <c r="C144" s="18" t="s">
        <v>460</v>
      </c>
      <c r="D144" s="27">
        <v>5</v>
      </c>
      <c r="E144" s="34" t="s">
        <v>2250</v>
      </c>
    </row>
    <row r="145" spans="1:5" x14ac:dyDescent="0.3">
      <c r="A145" s="16" t="s">
        <v>1375</v>
      </c>
      <c r="B145" s="18" t="s">
        <v>129</v>
      </c>
      <c r="C145" s="103" t="s">
        <v>288</v>
      </c>
      <c r="D145" s="158">
        <f>'25. CHEM. &amp; MAT.'!$F$26</f>
        <v>1.44</v>
      </c>
      <c r="E145" s="34" t="s">
        <v>1581</v>
      </c>
    </row>
    <row r="146" spans="1:5" x14ac:dyDescent="0.3">
      <c r="A146" s="16" t="s">
        <v>1374</v>
      </c>
      <c r="B146" s="18" t="s">
        <v>883</v>
      </c>
      <c r="C146" s="4"/>
      <c r="D146" s="27">
        <f>'25. CHEM. &amp; MAT.'!$G$26*0.001</f>
        <v>3.2117E-2</v>
      </c>
      <c r="E146" s="34" t="s">
        <v>1581</v>
      </c>
    </row>
    <row r="147" spans="1:5" x14ac:dyDescent="0.3">
      <c r="A147" s="16" t="s">
        <v>1382</v>
      </c>
      <c r="B147" s="18" t="s">
        <v>225</v>
      </c>
      <c r="C147" s="18"/>
      <c r="D147" s="27">
        <f>1/1</f>
        <v>1</v>
      </c>
      <c r="E147" s="34" t="s">
        <v>232</v>
      </c>
    </row>
    <row r="148" spans="1:5" x14ac:dyDescent="0.3">
      <c r="A148" s="16" t="s">
        <v>808</v>
      </c>
      <c r="B148" s="18" t="s">
        <v>129</v>
      </c>
      <c r="C148" s="4" t="s">
        <v>287</v>
      </c>
      <c r="D148" s="134">
        <f>'25. CHEM. &amp; MAT.'!$F$13</f>
        <v>1.429</v>
      </c>
      <c r="E148" s="34" t="s">
        <v>1581</v>
      </c>
    </row>
    <row r="149" spans="1:5" x14ac:dyDescent="0.3">
      <c r="A149" s="16" t="s">
        <v>1237</v>
      </c>
      <c r="B149" s="18" t="s">
        <v>883</v>
      </c>
      <c r="C149" s="4"/>
      <c r="D149" s="27">
        <f>'25. CHEM. &amp; MAT.'!$G$30*0.001</f>
        <v>9.4971400000000011E-2</v>
      </c>
      <c r="E149" s="34" t="s">
        <v>1581</v>
      </c>
    </row>
    <row r="150" spans="1:5" x14ac:dyDescent="0.3">
      <c r="A150" s="16" t="s">
        <v>1383</v>
      </c>
      <c r="B150" s="18" t="s">
        <v>225</v>
      </c>
      <c r="C150" s="4"/>
      <c r="D150" s="27">
        <f>1/($D$144/100)</f>
        <v>20</v>
      </c>
      <c r="E150" s="22" t="s">
        <v>2106</v>
      </c>
    </row>
    <row r="151" spans="1:5" x14ac:dyDescent="0.3">
      <c r="A151" s="16" t="s">
        <v>859</v>
      </c>
      <c r="B151" s="18" t="s">
        <v>129</v>
      </c>
      <c r="C151" s="4"/>
      <c r="D151" s="27">
        <f>'25. CHEM. &amp; MAT.'!$F$14</f>
        <v>1.25</v>
      </c>
      <c r="E151" s="34" t="s">
        <v>1581</v>
      </c>
    </row>
    <row r="152" spans="1:5" x14ac:dyDescent="0.3">
      <c r="A152" s="16" t="s">
        <v>853</v>
      </c>
      <c r="B152" s="18" t="s">
        <v>531</v>
      </c>
      <c r="C152" s="18" t="s">
        <v>1364</v>
      </c>
      <c r="D152" s="27">
        <v>200</v>
      </c>
      <c r="E152" s="34" t="s">
        <v>232</v>
      </c>
    </row>
    <row r="153" spans="1:5" x14ac:dyDescent="0.3">
      <c r="A153" s="16" t="s">
        <v>1373</v>
      </c>
      <c r="B153" s="18" t="s">
        <v>883</v>
      </c>
      <c r="C153" s="18"/>
      <c r="D153" s="27">
        <f>'25. CHEM. &amp; MAT.'!$G$14*0.001</f>
        <v>2.8010000000000004E-2</v>
      </c>
      <c r="E153" s="34" t="s">
        <v>1581</v>
      </c>
    </row>
    <row r="154" spans="1:5" x14ac:dyDescent="0.3">
      <c r="A154" s="16" t="s">
        <v>1241</v>
      </c>
      <c r="B154" s="18" t="s">
        <v>129</v>
      </c>
      <c r="C154" s="18"/>
      <c r="D154" s="134">
        <f>'25. CHEM. &amp; MAT.'!$F$12</f>
        <v>0.09</v>
      </c>
      <c r="E154" s="34" t="s">
        <v>1581</v>
      </c>
    </row>
    <row r="155" spans="1:5" x14ac:dyDescent="0.3">
      <c r="A155" s="16" t="s">
        <v>1240</v>
      </c>
      <c r="B155" s="18" t="s">
        <v>883</v>
      </c>
      <c r="C155" s="18"/>
      <c r="D155" s="27">
        <f>'25. CHEM. &amp; MAT.'!$G$12*0.001</f>
        <v>1.008E-3</v>
      </c>
      <c r="E155" s="34" t="s">
        <v>1581</v>
      </c>
    </row>
    <row r="156" spans="1:5" x14ac:dyDescent="0.3">
      <c r="A156" s="16" t="s">
        <v>268</v>
      </c>
      <c r="B156" s="18" t="s">
        <v>274</v>
      </c>
      <c r="C156" s="18"/>
      <c r="D156" s="27" t="s">
        <v>358</v>
      </c>
      <c r="E156" s="22" t="s">
        <v>2106</v>
      </c>
    </row>
    <row r="157" spans="1:5" x14ac:dyDescent="0.3">
      <c r="A157" s="16" t="s">
        <v>269</v>
      </c>
      <c r="B157" s="18" t="s">
        <v>270</v>
      </c>
      <c r="C157" s="18"/>
      <c r="D157" s="27">
        <v>850</v>
      </c>
      <c r="E157" s="22" t="s">
        <v>2106</v>
      </c>
    </row>
    <row r="158" spans="1:5" x14ac:dyDescent="0.3">
      <c r="A158" s="16" t="s">
        <v>247</v>
      </c>
      <c r="B158" s="18" t="s">
        <v>225</v>
      </c>
      <c r="C158" s="18" t="s">
        <v>1028</v>
      </c>
      <c r="D158" s="27">
        <v>100</v>
      </c>
      <c r="E158" s="22" t="s">
        <v>2106</v>
      </c>
    </row>
    <row r="159" spans="1:5" x14ac:dyDescent="0.3">
      <c r="A159" s="16" t="s">
        <v>890</v>
      </c>
      <c r="B159" s="18" t="s">
        <v>226</v>
      </c>
      <c r="C159" s="18" t="s">
        <v>983</v>
      </c>
      <c r="D159" s="27">
        <v>60</v>
      </c>
      <c r="E159" s="22" t="s">
        <v>2106</v>
      </c>
    </row>
    <row r="160" spans="1:5" x14ac:dyDescent="0.3">
      <c r="A160" s="16" t="s">
        <v>1365</v>
      </c>
      <c r="B160" s="18" t="s">
        <v>226</v>
      </c>
      <c r="C160" s="18" t="s">
        <v>1366</v>
      </c>
      <c r="D160" s="27">
        <v>120</v>
      </c>
      <c r="E160" s="22" t="s">
        <v>2106</v>
      </c>
    </row>
    <row r="161" spans="1:5" x14ac:dyDescent="0.3">
      <c r="A161" s="16" t="s">
        <v>979</v>
      </c>
      <c r="B161" s="18" t="s">
        <v>226</v>
      </c>
      <c r="C161" s="18" t="s">
        <v>1362</v>
      </c>
      <c r="D161" s="27">
        <f>20*60</f>
        <v>1200</v>
      </c>
      <c r="E161" s="22" t="s">
        <v>2106</v>
      </c>
    </row>
    <row r="162" spans="1:5" x14ac:dyDescent="0.3">
      <c r="A162" s="16" t="s">
        <v>891</v>
      </c>
      <c r="B162" s="18" t="s">
        <v>226</v>
      </c>
      <c r="C162" s="18"/>
      <c r="D162" s="138">
        <f>($D$139/($D$143*0.000000001))*60</f>
        <v>299.99999999999994</v>
      </c>
      <c r="E162" s="22" t="s">
        <v>232</v>
      </c>
    </row>
    <row r="163" spans="1:5" x14ac:dyDescent="0.3">
      <c r="A163" s="46" t="s">
        <v>892</v>
      </c>
      <c r="B163" s="47" t="s">
        <v>226</v>
      </c>
      <c r="C163" s="18"/>
      <c r="D163">
        <f>SUM($D$159:$D$162)</f>
        <v>1680</v>
      </c>
      <c r="E163" s="22" t="s">
        <v>232</v>
      </c>
    </row>
    <row r="164" spans="1:5" x14ac:dyDescent="0.3">
      <c r="A164" s="578" t="s">
        <v>351</v>
      </c>
      <c r="B164" s="543" t="s">
        <v>131</v>
      </c>
      <c r="C164" s="543"/>
      <c r="D164" s="639">
        <f>'2. PROCESS RECAP '!$E$45</f>
        <v>7.3</v>
      </c>
      <c r="E164" s="579" t="s">
        <v>2208</v>
      </c>
    </row>
    <row r="165" spans="1:5" ht="15" thickBot="1" x14ac:dyDescent="0.35">
      <c r="A165" s="634" t="s">
        <v>246</v>
      </c>
      <c r="B165" s="635" t="s">
        <v>225</v>
      </c>
      <c r="C165" s="635"/>
      <c r="D165" s="636">
        <f>'2. PROCESS RECAP '!$H$45</f>
        <v>1</v>
      </c>
      <c r="E165" s="637" t="s">
        <v>2209</v>
      </c>
    </row>
    <row r="166" spans="1:5" x14ac:dyDescent="0.3">
      <c r="A166" s="1125" t="s">
        <v>291</v>
      </c>
      <c r="B166" s="1126"/>
      <c r="C166" s="1126"/>
      <c r="D166" s="1126"/>
      <c r="E166" s="1127"/>
    </row>
    <row r="167" spans="1:5" x14ac:dyDescent="0.3">
      <c r="A167" s="285" t="s">
        <v>716</v>
      </c>
      <c r="B167" s="15" t="s">
        <v>132</v>
      </c>
      <c r="C167" s="15" t="s">
        <v>1038</v>
      </c>
      <c r="D167" s="286">
        <f>(($D$164*(($D$163+$D$163/3)/3600))/$D$158)*$D$165*'1. USER INPUTS'!$E$23</f>
        <v>1.9514897744316023E-4</v>
      </c>
      <c r="E167" s="320" t="s">
        <v>232</v>
      </c>
    </row>
    <row r="168" spans="1:5" x14ac:dyDescent="0.3">
      <c r="A168" s="293" t="s">
        <v>700</v>
      </c>
      <c r="B168" s="39" t="s">
        <v>128</v>
      </c>
      <c r="C168" s="15" t="s">
        <v>895</v>
      </c>
      <c r="D168" s="286">
        <f>($D$142/$D$141)*(100/$D$144)*$D$147*$D$146*'1. USER INPUTS'!$E$23*$D$165</f>
        <v>9.0190923883927068E-7</v>
      </c>
      <c r="E168" s="320" t="s">
        <v>232</v>
      </c>
    </row>
    <row r="169" spans="1:5" x14ac:dyDescent="0.3">
      <c r="A169" s="293" t="s">
        <v>375</v>
      </c>
      <c r="B169" s="39" t="s">
        <v>128</v>
      </c>
      <c r="C169" s="15" t="s">
        <v>137</v>
      </c>
      <c r="D169" s="286">
        <f>($D$142/$D$141)*(100/$D$144)*$D$150*$D$149*'1. USER INPUTS'!$E$23*$D$165</f>
        <v>5.333971609147799E-5</v>
      </c>
      <c r="E169" s="320" t="s">
        <v>232</v>
      </c>
    </row>
    <row r="170" spans="1:5" x14ac:dyDescent="0.3">
      <c r="A170" s="287" t="s">
        <v>962</v>
      </c>
      <c r="B170" s="39" t="s">
        <v>128</v>
      </c>
      <c r="C170" s="15" t="s">
        <v>136</v>
      </c>
      <c r="D170" s="286">
        <f>((($D$152*($D$159/60))*$D$151*0.000001)/$D$158)*'1. USER INPUTS'!$E$23*$D$165</f>
        <v>1.0740831684126971E-8</v>
      </c>
      <c r="E170" s="320" t="s">
        <v>232</v>
      </c>
    </row>
    <row r="171" spans="1:5" x14ac:dyDescent="0.3">
      <c r="A171" s="285" t="s">
        <v>716</v>
      </c>
      <c r="B171" s="39" t="s">
        <v>132</v>
      </c>
      <c r="C171" s="15" t="s">
        <v>885</v>
      </c>
      <c r="D171" s="286">
        <f>((5*(($D$160+$D$160/3)/3600))/$D$158)*$D$165*'1. USER INPUTS'!$E$23</f>
        <v>9.5474059414461955E-6</v>
      </c>
      <c r="E171" s="320" t="s">
        <v>232</v>
      </c>
    </row>
    <row r="172" spans="1:5" x14ac:dyDescent="0.3">
      <c r="A172" s="285" t="s">
        <v>716</v>
      </c>
      <c r="B172" s="39" t="s">
        <v>132</v>
      </c>
      <c r="C172" s="15" t="s">
        <v>886</v>
      </c>
      <c r="D172" s="286">
        <f>((5*(($D$163+$D$163/3)/3600))/$D$158)*$D$165*'1. USER INPUTS'!$E$23</f>
        <v>1.3366368318024673E-4</v>
      </c>
      <c r="E172" s="320" t="s">
        <v>232</v>
      </c>
    </row>
    <row r="173" spans="1:5" x14ac:dyDescent="0.3">
      <c r="A173" s="285" t="s">
        <v>716</v>
      </c>
      <c r="B173" s="39" t="s">
        <v>132</v>
      </c>
      <c r="C173" s="15" t="s">
        <v>2251</v>
      </c>
      <c r="D173" s="286">
        <f>((11*(($D$159+$D$159/3)/3600))/$D$158)*$D$165*'1. USER INPUTS'!$E$23</f>
        <v>1.0502146535590816E-5</v>
      </c>
      <c r="E173" s="320" t="s">
        <v>232</v>
      </c>
    </row>
    <row r="174" spans="1:5" x14ac:dyDescent="0.3">
      <c r="A174" s="1128" t="s">
        <v>292</v>
      </c>
      <c r="B174" s="1129"/>
      <c r="C174" s="1129"/>
      <c r="D174" s="1129"/>
      <c r="E174" s="1130"/>
    </row>
    <row r="175" spans="1:5" x14ac:dyDescent="0.3">
      <c r="A175" s="16" t="s">
        <v>322</v>
      </c>
      <c r="B175" s="47" t="s">
        <v>293</v>
      </c>
      <c r="C175" s="18"/>
      <c r="D175" s="27">
        <v>1</v>
      </c>
      <c r="E175" s="22"/>
    </row>
    <row r="176" spans="1:5" x14ac:dyDescent="0.3">
      <c r="A176" s="284" t="s">
        <v>463</v>
      </c>
      <c r="B176" s="113" t="s">
        <v>128</v>
      </c>
      <c r="C176" s="113" t="s">
        <v>1946</v>
      </c>
      <c r="D176" s="124">
        <f>$D$168*(1-($D$144/100))</f>
        <v>8.568137768973071E-7</v>
      </c>
      <c r="E176" s="291" t="s">
        <v>232</v>
      </c>
    </row>
    <row r="177" spans="1:5" x14ac:dyDescent="0.3">
      <c r="A177" s="284" t="s">
        <v>2228</v>
      </c>
      <c r="B177" s="113" t="s">
        <v>128</v>
      </c>
      <c r="C177" s="113" t="s">
        <v>1946</v>
      </c>
      <c r="D177" s="124">
        <f>$D$169*(1-($D$144/100))</f>
        <v>5.0672730286904088E-5</v>
      </c>
      <c r="E177" s="291" t="s">
        <v>232</v>
      </c>
    </row>
    <row r="178" spans="1:5" x14ac:dyDescent="0.3">
      <c r="A178" s="284" t="s">
        <v>816</v>
      </c>
      <c r="B178" s="113" t="s">
        <v>128</v>
      </c>
      <c r="C178" s="113" t="s">
        <v>1946</v>
      </c>
      <c r="D178" s="124">
        <f>$D$170</f>
        <v>1.0740831684126971E-8</v>
      </c>
      <c r="E178" s="291" t="s">
        <v>232</v>
      </c>
    </row>
    <row r="179" spans="1:5" ht="15" thickBot="1" x14ac:dyDescent="0.35">
      <c r="A179" s="110" t="s">
        <v>1947</v>
      </c>
      <c r="B179" s="111" t="s">
        <v>128</v>
      </c>
      <c r="C179" s="111" t="s">
        <v>1946</v>
      </c>
      <c r="D179" s="114">
        <f>(($D$168/$D$146)*2)*$D$155</f>
        <v>5.661328970638508E-8</v>
      </c>
      <c r="E179" s="321" t="s">
        <v>232</v>
      </c>
    </row>
    <row r="180" spans="1:5" x14ac:dyDescent="0.3">
      <c r="A180" s="1163"/>
      <c r="B180" s="1164"/>
      <c r="C180" s="1164"/>
      <c r="D180" s="1164"/>
      <c r="E180" s="1165"/>
    </row>
    <row r="181" spans="1:5" ht="15" thickBot="1" x14ac:dyDescent="0.35">
      <c r="A181" s="1166"/>
      <c r="B181" s="1167"/>
      <c r="C181" s="1167"/>
      <c r="D181" s="1167"/>
      <c r="E181" s="1168"/>
    </row>
    <row r="182" spans="1:5" ht="30" customHeight="1" thickBot="1" x14ac:dyDescent="0.35">
      <c r="A182" s="638" t="s">
        <v>2145</v>
      </c>
      <c r="B182" s="35" t="s">
        <v>142</v>
      </c>
      <c r="C182" s="21" t="s">
        <v>256</v>
      </c>
      <c r="D182" s="26" t="s">
        <v>236</v>
      </c>
      <c r="E182" s="23" t="s">
        <v>212</v>
      </c>
    </row>
    <row r="183" spans="1:5" x14ac:dyDescent="0.3">
      <c r="A183" s="1169" t="s">
        <v>266</v>
      </c>
      <c r="B183" s="1132" t="s">
        <v>225</v>
      </c>
      <c r="C183" s="19" t="s">
        <v>893</v>
      </c>
      <c r="D183" s="1159" t="s">
        <v>210</v>
      </c>
      <c r="E183" s="1136" t="s">
        <v>2106</v>
      </c>
    </row>
    <row r="184" spans="1:5" x14ac:dyDescent="0.3">
      <c r="A184" s="1170"/>
      <c r="B184" s="1139"/>
      <c r="C184" s="103" t="s">
        <v>290</v>
      </c>
      <c r="D184" s="1160"/>
      <c r="E184" s="1137"/>
    </row>
    <row r="185" spans="1:5" x14ac:dyDescent="0.3">
      <c r="A185" s="1170"/>
      <c r="B185" s="1133"/>
      <c r="C185" s="103" t="s">
        <v>1402</v>
      </c>
      <c r="D185" s="1161"/>
      <c r="E185" s="1137"/>
    </row>
    <row r="186" spans="1:5" x14ac:dyDescent="0.3">
      <c r="A186" s="16" t="s">
        <v>2028</v>
      </c>
      <c r="B186" s="18" t="s">
        <v>225</v>
      </c>
      <c r="C186" s="103" t="s">
        <v>1113</v>
      </c>
      <c r="D186" s="141" t="s">
        <v>210</v>
      </c>
      <c r="E186" s="1138"/>
    </row>
    <row r="187" spans="1:5" x14ac:dyDescent="0.3">
      <c r="A187" s="16" t="s">
        <v>188</v>
      </c>
      <c r="B187" s="18" t="s">
        <v>309</v>
      </c>
      <c r="C187" s="18"/>
      <c r="D187" s="27">
        <f>'1. USER INPUTS'!$E$12</f>
        <v>200</v>
      </c>
      <c r="E187" s="34" t="s">
        <v>398</v>
      </c>
    </row>
    <row r="188" spans="1:5" x14ac:dyDescent="0.3">
      <c r="A188" s="16" t="s">
        <v>235</v>
      </c>
      <c r="B188" s="18" t="s">
        <v>231</v>
      </c>
      <c r="C188" s="18"/>
      <c r="D188" s="137">
        <f>PI()*(($D$187/1000)/2)^2</f>
        <v>3.1415926535897934E-2</v>
      </c>
      <c r="E188" s="34" t="s">
        <v>232</v>
      </c>
    </row>
    <row r="189" spans="1:5" x14ac:dyDescent="0.3">
      <c r="A189" s="16" t="s">
        <v>454</v>
      </c>
      <c r="B189" s="18" t="s">
        <v>130</v>
      </c>
      <c r="C189" s="18" t="s">
        <v>1404</v>
      </c>
      <c r="D189" s="137">
        <f>0.0000008</f>
        <v>7.9999999999999996E-7</v>
      </c>
      <c r="E189" s="22" t="s">
        <v>2249</v>
      </c>
    </row>
    <row r="190" spans="1:5" x14ac:dyDescent="0.3">
      <c r="A190" s="16" t="s">
        <v>1379</v>
      </c>
      <c r="B190" s="18" t="s">
        <v>129</v>
      </c>
      <c r="C190" s="103"/>
      <c r="D190" s="158">
        <f>'25. CHEM. &amp; MAT.'!$F$5</f>
        <v>2500</v>
      </c>
      <c r="E190" s="34" t="s">
        <v>1581</v>
      </c>
    </row>
    <row r="191" spans="1:5" x14ac:dyDescent="0.3">
      <c r="A191" s="16" t="s">
        <v>1380</v>
      </c>
      <c r="B191" s="18" t="s">
        <v>883</v>
      </c>
      <c r="C191" s="103"/>
      <c r="D191" s="158">
        <f>'25. CHEM. &amp; MAT.'!$G$5*0.001</f>
        <v>6.0080000000000001E-2</v>
      </c>
      <c r="E191" s="34" t="s">
        <v>1581</v>
      </c>
    </row>
    <row r="192" spans="1:5" x14ac:dyDescent="0.3">
      <c r="A192" s="16" t="s">
        <v>882</v>
      </c>
      <c r="B192" s="18" t="s">
        <v>128</v>
      </c>
      <c r="C192" s="18" t="s">
        <v>1359</v>
      </c>
      <c r="D192" s="142">
        <f>$D$187*$D$188*$D$189</f>
        <v>5.0265482457436692E-6</v>
      </c>
      <c r="E192" s="34" t="s">
        <v>232</v>
      </c>
    </row>
    <row r="193" spans="1:5" x14ac:dyDescent="0.3">
      <c r="A193" s="16" t="s">
        <v>1394</v>
      </c>
      <c r="B193" s="18" t="s">
        <v>271</v>
      </c>
      <c r="C193" s="18"/>
      <c r="D193" s="27">
        <v>50</v>
      </c>
      <c r="E193" s="22" t="s">
        <v>2106</v>
      </c>
    </row>
    <row r="194" spans="1:5" x14ac:dyDescent="0.3">
      <c r="A194" s="16" t="s">
        <v>1360</v>
      </c>
      <c r="B194" s="18" t="s">
        <v>214</v>
      </c>
      <c r="C194" s="18" t="s">
        <v>460</v>
      </c>
      <c r="D194" s="27">
        <v>5</v>
      </c>
      <c r="E194" s="34" t="s">
        <v>2250</v>
      </c>
    </row>
    <row r="195" spans="1:5" x14ac:dyDescent="0.3">
      <c r="A195" s="16" t="s">
        <v>1375</v>
      </c>
      <c r="B195" s="18" t="s">
        <v>129</v>
      </c>
      <c r="C195" s="103" t="s">
        <v>288</v>
      </c>
      <c r="D195" s="158">
        <f>'25. CHEM. &amp; MAT.'!$F$26</f>
        <v>1.44</v>
      </c>
      <c r="E195" s="34" t="s">
        <v>1581</v>
      </c>
    </row>
    <row r="196" spans="1:5" x14ac:dyDescent="0.3">
      <c r="A196" s="16" t="s">
        <v>1374</v>
      </c>
      <c r="B196" s="18" t="s">
        <v>883</v>
      </c>
      <c r="C196" s="4"/>
      <c r="D196" s="27">
        <f>'25. CHEM. &amp; MAT.'!$G$26*0.001</f>
        <v>3.2117E-2</v>
      </c>
      <c r="E196" s="34" t="s">
        <v>1581</v>
      </c>
    </row>
    <row r="197" spans="1:5" x14ac:dyDescent="0.3">
      <c r="A197" s="16" t="s">
        <v>1382</v>
      </c>
      <c r="B197" s="18" t="s">
        <v>225</v>
      </c>
      <c r="C197" s="18"/>
      <c r="D197" s="27">
        <f>1/1</f>
        <v>1</v>
      </c>
      <c r="E197" s="34" t="s">
        <v>232</v>
      </c>
    </row>
    <row r="198" spans="1:5" x14ac:dyDescent="0.3">
      <c r="A198" s="16" t="s">
        <v>808</v>
      </c>
      <c r="B198" s="18" t="s">
        <v>129</v>
      </c>
      <c r="C198" s="4" t="s">
        <v>287</v>
      </c>
      <c r="D198" s="134">
        <f>'25. CHEM. &amp; MAT.'!$F$13</f>
        <v>1.429</v>
      </c>
      <c r="E198" s="34" t="s">
        <v>1581</v>
      </c>
    </row>
    <row r="199" spans="1:5" x14ac:dyDescent="0.3">
      <c r="A199" s="16" t="s">
        <v>1237</v>
      </c>
      <c r="B199" s="18" t="s">
        <v>883</v>
      </c>
      <c r="C199" s="4"/>
      <c r="D199" s="27">
        <f>'25. CHEM. &amp; MAT.'!$G$30*0.001</f>
        <v>9.4971400000000011E-2</v>
      </c>
      <c r="E199" s="34" t="s">
        <v>1581</v>
      </c>
    </row>
    <row r="200" spans="1:5" x14ac:dyDescent="0.3">
      <c r="A200" s="16" t="s">
        <v>1383</v>
      </c>
      <c r="B200" s="18" t="s">
        <v>225</v>
      </c>
      <c r="C200" s="4"/>
      <c r="D200" s="27">
        <f>1/1</f>
        <v>1</v>
      </c>
      <c r="E200" s="22" t="s">
        <v>232</v>
      </c>
    </row>
    <row r="201" spans="1:5" x14ac:dyDescent="0.3">
      <c r="A201" s="16" t="s">
        <v>1029</v>
      </c>
      <c r="B201" s="18" t="s">
        <v>129</v>
      </c>
      <c r="C201" s="4"/>
      <c r="D201" s="27">
        <f>'25. CHEM. &amp; MAT.'!$F$15</f>
        <v>1.784</v>
      </c>
      <c r="E201" s="34" t="s">
        <v>1581</v>
      </c>
    </row>
    <row r="202" spans="1:5" x14ac:dyDescent="0.3">
      <c r="A202" s="16" t="s">
        <v>1405</v>
      </c>
      <c r="B202" s="18" t="s">
        <v>531</v>
      </c>
      <c r="C202" s="18" t="s">
        <v>1419</v>
      </c>
      <c r="D202" s="27">
        <v>20</v>
      </c>
      <c r="E202" s="22" t="s">
        <v>2106</v>
      </c>
    </row>
    <row r="203" spans="1:5" x14ac:dyDescent="0.3">
      <c r="A203" s="16" t="s">
        <v>1406</v>
      </c>
      <c r="B203" s="18" t="s">
        <v>883</v>
      </c>
      <c r="C203" s="18"/>
      <c r="D203" s="137">
        <f>'25. CHEM. &amp; MAT.'!$G$15</f>
        <v>39.948</v>
      </c>
      <c r="E203" s="34" t="s">
        <v>1581</v>
      </c>
    </row>
    <row r="204" spans="1:5" x14ac:dyDescent="0.3">
      <c r="A204" s="16" t="s">
        <v>859</v>
      </c>
      <c r="B204" s="18" t="s">
        <v>129</v>
      </c>
      <c r="C204" s="4"/>
      <c r="D204" s="27">
        <f>'25. CHEM. &amp; MAT.'!$F$14</f>
        <v>1.25</v>
      </c>
      <c r="E204" s="34" t="s">
        <v>1581</v>
      </c>
    </row>
    <row r="205" spans="1:5" x14ac:dyDescent="0.3">
      <c r="A205" s="16" t="s">
        <v>853</v>
      </c>
      <c r="B205" s="18" t="s">
        <v>531</v>
      </c>
      <c r="C205" s="18" t="s">
        <v>1364</v>
      </c>
      <c r="D205" s="27">
        <v>200</v>
      </c>
      <c r="E205" s="34" t="s">
        <v>232</v>
      </c>
    </row>
    <row r="206" spans="1:5" x14ac:dyDescent="0.3">
      <c r="A206" s="16" t="s">
        <v>1373</v>
      </c>
      <c r="B206" s="18" t="s">
        <v>883</v>
      </c>
      <c r="C206" s="18"/>
      <c r="D206" s="27">
        <f>'25. CHEM. &amp; MAT.'!$G$14*0.001</f>
        <v>2.8010000000000004E-2</v>
      </c>
      <c r="E206" s="34" t="s">
        <v>1581</v>
      </c>
    </row>
    <row r="207" spans="1:5" x14ac:dyDescent="0.3">
      <c r="A207" s="16" t="s">
        <v>1241</v>
      </c>
      <c r="B207" s="18" t="s">
        <v>129</v>
      </c>
      <c r="C207" s="18"/>
      <c r="D207" s="134">
        <f>'25. CHEM. &amp; MAT.'!$F$12</f>
        <v>0.09</v>
      </c>
      <c r="E207" s="34" t="s">
        <v>1581</v>
      </c>
    </row>
    <row r="208" spans="1:5" x14ac:dyDescent="0.3">
      <c r="A208" s="16" t="s">
        <v>1240</v>
      </c>
      <c r="B208" s="18" t="s">
        <v>883</v>
      </c>
      <c r="C208" s="18"/>
      <c r="D208" s="27">
        <f>'25. CHEM. &amp; MAT.'!$G$12*0.001</f>
        <v>1.008E-3</v>
      </c>
      <c r="E208" s="34" t="s">
        <v>1581</v>
      </c>
    </row>
    <row r="209" spans="1:5" x14ac:dyDescent="0.3">
      <c r="A209" s="16" t="s">
        <v>1332</v>
      </c>
      <c r="B209" s="18" t="s">
        <v>531</v>
      </c>
      <c r="C209" s="18" t="s">
        <v>1438</v>
      </c>
      <c r="D209" s="27">
        <v>4</v>
      </c>
      <c r="E209" s="22" t="s">
        <v>2106</v>
      </c>
    </row>
    <row r="210" spans="1:5" x14ac:dyDescent="0.3">
      <c r="A210" s="16" t="s">
        <v>1333</v>
      </c>
      <c r="B210" s="18" t="s">
        <v>806</v>
      </c>
      <c r="C210" s="18"/>
      <c r="D210" s="134">
        <f>'25. CHEM. &amp; MAT.'!$F$41</f>
        <v>3.0030000000000001</v>
      </c>
      <c r="E210" s="34" t="s">
        <v>1581</v>
      </c>
    </row>
    <row r="211" spans="1:5" x14ac:dyDescent="0.3">
      <c r="A211" s="16" t="s">
        <v>268</v>
      </c>
      <c r="B211" s="18" t="s">
        <v>274</v>
      </c>
      <c r="C211" s="18"/>
      <c r="D211" s="27" t="s">
        <v>358</v>
      </c>
      <c r="E211" s="22" t="s">
        <v>2106</v>
      </c>
    </row>
    <row r="212" spans="1:5" x14ac:dyDescent="0.3">
      <c r="A212" s="16" t="s">
        <v>269</v>
      </c>
      <c r="B212" s="18" t="s">
        <v>270</v>
      </c>
      <c r="C212" s="18"/>
      <c r="D212" s="27" t="s">
        <v>2087</v>
      </c>
      <c r="E212" s="22" t="s">
        <v>2106</v>
      </c>
    </row>
    <row r="213" spans="1:5" x14ac:dyDescent="0.3">
      <c r="A213" s="16" t="s">
        <v>247</v>
      </c>
      <c r="B213" s="18" t="s">
        <v>225</v>
      </c>
      <c r="C213" s="18" t="s">
        <v>339</v>
      </c>
      <c r="D213" s="27">
        <v>1</v>
      </c>
      <c r="E213" s="22" t="s">
        <v>2106</v>
      </c>
    </row>
    <row r="214" spans="1:5" x14ac:dyDescent="0.3">
      <c r="A214" s="16" t="s">
        <v>890</v>
      </c>
      <c r="B214" s="18" t="s">
        <v>226</v>
      </c>
      <c r="C214" s="18" t="s">
        <v>1412</v>
      </c>
      <c r="D214" s="27">
        <v>60</v>
      </c>
      <c r="E214" s="22" t="s">
        <v>2106</v>
      </c>
    </row>
    <row r="215" spans="1:5" x14ac:dyDescent="0.3">
      <c r="A215" s="16" t="s">
        <v>1365</v>
      </c>
      <c r="B215" s="18" t="s">
        <v>226</v>
      </c>
      <c r="C215" s="18" t="s">
        <v>1366</v>
      </c>
      <c r="D215" s="27">
        <v>120</v>
      </c>
      <c r="E215" s="22" t="s">
        <v>2106</v>
      </c>
    </row>
    <row r="216" spans="1:5" x14ac:dyDescent="0.3">
      <c r="A216" s="16" t="s">
        <v>891</v>
      </c>
      <c r="B216" s="18" t="s">
        <v>226</v>
      </c>
      <c r="C216" s="18"/>
      <c r="D216" s="138">
        <f>($D$189/($D$193*0.000000001))*60</f>
        <v>959.99999999999989</v>
      </c>
      <c r="E216" s="22" t="s">
        <v>232</v>
      </c>
    </row>
    <row r="217" spans="1:5" x14ac:dyDescent="0.3">
      <c r="A217" s="46" t="s">
        <v>1282</v>
      </c>
      <c r="B217" s="47" t="s">
        <v>226</v>
      </c>
      <c r="C217" s="18" t="s">
        <v>1413</v>
      </c>
      <c r="D217" s="138">
        <v>60</v>
      </c>
      <c r="E217" s="22" t="s">
        <v>2106</v>
      </c>
    </row>
    <row r="218" spans="1:5" x14ac:dyDescent="0.3">
      <c r="A218" s="46" t="s">
        <v>892</v>
      </c>
      <c r="B218" s="47" t="s">
        <v>226</v>
      </c>
      <c r="C218" s="18"/>
      <c r="D218">
        <f>$D$216+($D$221*($D$214+$D$215+$D$217))</f>
        <v>1680</v>
      </c>
      <c r="E218" s="22" t="s">
        <v>232</v>
      </c>
    </row>
    <row r="219" spans="1:5" x14ac:dyDescent="0.3">
      <c r="A219" s="578" t="s">
        <v>2317</v>
      </c>
      <c r="B219" s="543" t="s">
        <v>214</v>
      </c>
      <c r="C219" s="543"/>
      <c r="D219" s="781">
        <f>'1. USER INPUTS'!$E$30</f>
        <v>0.95</v>
      </c>
      <c r="E219" s="579" t="s">
        <v>398</v>
      </c>
    </row>
    <row r="220" spans="1:5" x14ac:dyDescent="0.3">
      <c r="A220" s="578" t="s">
        <v>351</v>
      </c>
      <c r="B220" s="543" t="s">
        <v>131</v>
      </c>
      <c r="C220" s="543"/>
      <c r="D220" s="639">
        <f>'2. PROCESS RECAP '!$E$46</f>
        <v>7.5</v>
      </c>
      <c r="E220" s="579" t="s">
        <v>2208</v>
      </c>
    </row>
    <row r="221" spans="1:5" ht="15" thickBot="1" x14ac:dyDescent="0.35">
      <c r="A221" s="634" t="s">
        <v>246</v>
      </c>
      <c r="B221" s="635" t="s">
        <v>225</v>
      </c>
      <c r="C221" s="635"/>
      <c r="D221" s="636">
        <f>'2. PROCESS RECAP '!$H$46</f>
        <v>3</v>
      </c>
      <c r="E221" s="637" t="s">
        <v>2209</v>
      </c>
    </row>
    <row r="222" spans="1:5" x14ac:dyDescent="0.3">
      <c r="A222" s="1122" t="s">
        <v>291</v>
      </c>
      <c r="B222" s="1123"/>
      <c r="C222" s="1123"/>
      <c r="D222" s="1123"/>
      <c r="E222" s="1124"/>
    </row>
    <row r="223" spans="1:5" x14ac:dyDescent="0.3">
      <c r="A223" s="285" t="s">
        <v>716</v>
      </c>
      <c r="B223" s="15" t="s">
        <v>132</v>
      </c>
      <c r="C223" s="15" t="s">
        <v>1038</v>
      </c>
      <c r="D223" s="286">
        <f>($D$220*(($D$218+$D$218/3)/3600))*'1. USER INPUTS'!$E$23</f>
        <v>2.0049552477037012E-2</v>
      </c>
      <c r="E223" s="320" t="s">
        <v>232</v>
      </c>
    </row>
    <row r="224" spans="1:5" x14ac:dyDescent="0.3">
      <c r="A224" s="293" t="s">
        <v>700</v>
      </c>
      <c r="B224" s="39" t="s">
        <v>128</v>
      </c>
      <c r="C224" s="15" t="s">
        <v>895</v>
      </c>
      <c r="D224" s="286">
        <f>($D$192/$D$191)*(100/$D$194)*$D$197*$D$196*'1. USER INPUTS'!$E$23</f>
        <v>2.3088876514285329E-7</v>
      </c>
      <c r="E224" s="320" t="s">
        <v>232</v>
      </c>
    </row>
    <row r="225" spans="1:7" x14ac:dyDescent="0.3">
      <c r="A225" s="293" t="s">
        <v>375</v>
      </c>
      <c r="B225" s="39" t="s">
        <v>128</v>
      </c>
      <c r="C225" s="3" t="s">
        <v>1411</v>
      </c>
      <c r="D225" s="286">
        <f>($D$192/$D$191)*(1/$D$194)*$D$199*$D$200*'1. USER INPUTS'!$E$23</f>
        <v>6.8274836597091813E-9</v>
      </c>
      <c r="E225" s="320" t="s">
        <v>232</v>
      </c>
    </row>
    <row r="226" spans="1:7" x14ac:dyDescent="0.3">
      <c r="A226" s="287" t="s">
        <v>962</v>
      </c>
      <c r="B226" s="39" t="s">
        <v>128</v>
      </c>
      <c r="C226" s="15" t="s">
        <v>1420</v>
      </c>
      <c r="D226" s="286">
        <f>((($D$205*($D$214/60))*$D$204*0.000001))*'1. USER INPUTS'!$E$23*$D$221</f>
        <v>3.2222495052380914E-6</v>
      </c>
      <c r="E226" s="320" t="s">
        <v>232</v>
      </c>
    </row>
    <row r="227" spans="1:7" x14ac:dyDescent="0.3">
      <c r="A227" s="287" t="s">
        <v>1395</v>
      </c>
      <c r="B227" s="39" t="s">
        <v>128</v>
      </c>
      <c r="C227" s="15" t="s">
        <v>1421</v>
      </c>
      <c r="D227" s="286">
        <f>((($D$201*($D$216/60))*$D$202*0.000001))*'1. USER INPUTS'!$E$23</f>
        <v>2.4526903967337611E-6</v>
      </c>
      <c r="E227" s="320" t="s">
        <v>232</v>
      </c>
    </row>
    <row r="228" spans="1:7" x14ac:dyDescent="0.3">
      <c r="A228" s="287" t="s">
        <v>902</v>
      </c>
      <c r="B228" s="39" t="s">
        <v>128</v>
      </c>
      <c r="C228" s="15" t="s">
        <v>1422</v>
      </c>
      <c r="D228" s="286">
        <f>((($D$210*($D$217/60))*$D$209*0.000001))*$D$221*'1. USER INPUTS'!$E$23</f>
        <v>1.548226442276798E-7</v>
      </c>
      <c r="E228" s="320" t="s">
        <v>232</v>
      </c>
      <c r="G228" s="2"/>
    </row>
    <row r="229" spans="1:7" x14ac:dyDescent="0.3">
      <c r="A229" s="285" t="s">
        <v>716</v>
      </c>
      <c r="B229" s="39" t="s">
        <v>132</v>
      </c>
      <c r="C229" s="15" t="s">
        <v>1408</v>
      </c>
      <c r="D229" s="286">
        <f>((5*(($D$215+$D$215/3)/3600)))*$D$221*'1. USER INPUTS'!$E$23</f>
        <v>2.8642217824338587E-3</v>
      </c>
      <c r="E229" s="320" t="s">
        <v>232</v>
      </c>
      <c r="G229" s="2"/>
    </row>
    <row r="230" spans="1:7" x14ac:dyDescent="0.3">
      <c r="A230" s="285" t="s">
        <v>716</v>
      </c>
      <c r="B230" s="39" t="s">
        <v>132</v>
      </c>
      <c r="C230" s="15" t="s">
        <v>1407</v>
      </c>
      <c r="D230" s="286">
        <f>((5*(($D$218+$D$218/3)/3600)))*'1. USER INPUTS'!$E$23</f>
        <v>1.3366368318024674E-2</v>
      </c>
      <c r="E230" s="320" t="s">
        <v>232</v>
      </c>
    </row>
    <row r="231" spans="1:7" x14ac:dyDescent="0.3">
      <c r="A231" s="285" t="s">
        <v>716</v>
      </c>
      <c r="B231" s="39" t="s">
        <v>132</v>
      </c>
      <c r="C231" s="15" t="s">
        <v>2251</v>
      </c>
      <c r="D231" s="286">
        <f>((11*(($D$214+$D$214/3)/3600)))*$D$221*'1. USER INPUTS'!$E$23</f>
        <v>3.1506439606772446E-3</v>
      </c>
      <c r="E231" s="320" t="s">
        <v>232</v>
      </c>
    </row>
    <row r="232" spans="1:7" x14ac:dyDescent="0.3">
      <c r="A232" s="1128" t="s">
        <v>292</v>
      </c>
      <c r="B232" s="1129"/>
      <c r="C232" s="1129"/>
      <c r="D232" s="1129"/>
      <c r="E232" s="1130"/>
    </row>
    <row r="233" spans="1:7" x14ac:dyDescent="0.3">
      <c r="A233" s="16" t="s">
        <v>322</v>
      </c>
      <c r="B233" s="47" t="s">
        <v>293</v>
      </c>
      <c r="C233" s="18"/>
      <c r="D233" s="27">
        <v>1</v>
      </c>
      <c r="E233" s="22"/>
    </row>
    <row r="234" spans="1:7" x14ac:dyDescent="0.3">
      <c r="A234" s="116" t="s">
        <v>463</v>
      </c>
      <c r="B234" s="113" t="s">
        <v>128</v>
      </c>
      <c r="C234" s="113" t="s">
        <v>1946</v>
      </c>
      <c r="D234" s="124">
        <f>$D$224*(1-($D$194/100))</f>
        <v>2.1934432688571062E-7</v>
      </c>
      <c r="E234" s="291" t="s">
        <v>232</v>
      </c>
    </row>
    <row r="235" spans="1:7" x14ac:dyDescent="0.3">
      <c r="A235" s="116" t="s">
        <v>2228</v>
      </c>
      <c r="B235" s="113" t="s">
        <v>128</v>
      </c>
      <c r="C235" s="113" t="s">
        <v>1946</v>
      </c>
      <c r="D235" s="124">
        <f>$D$225*(1-($D$194/100))</f>
        <v>6.4861094767237219E-9</v>
      </c>
      <c r="E235" s="291" t="s">
        <v>232</v>
      </c>
    </row>
    <row r="236" spans="1:7" x14ac:dyDescent="0.3">
      <c r="A236" s="723" t="s">
        <v>816</v>
      </c>
      <c r="B236" s="113" t="s">
        <v>128</v>
      </c>
      <c r="C236" s="113" t="s">
        <v>1946</v>
      </c>
      <c r="D236" s="124">
        <f>$D$226</f>
        <v>3.2222495052380914E-6</v>
      </c>
      <c r="E236" s="291" t="s">
        <v>232</v>
      </c>
    </row>
    <row r="237" spans="1:7" x14ac:dyDescent="0.3">
      <c r="A237" s="723" t="s">
        <v>2247</v>
      </c>
      <c r="B237" s="113" t="s">
        <v>128</v>
      </c>
      <c r="C237" s="113" t="s">
        <v>1946</v>
      </c>
      <c r="D237" s="124">
        <f>$D$227</f>
        <v>2.4526903967337611E-6</v>
      </c>
      <c r="E237" s="291" t="s">
        <v>232</v>
      </c>
    </row>
    <row r="238" spans="1:7" x14ac:dyDescent="0.3">
      <c r="A238" s="723" t="s">
        <v>1429</v>
      </c>
      <c r="B238" s="113" t="s">
        <v>128</v>
      </c>
      <c r="C238" s="113" t="s">
        <v>1946</v>
      </c>
      <c r="D238" s="124">
        <f>(1-$D$219)*$D$228</f>
        <v>7.7411322113839975E-9</v>
      </c>
      <c r="E238" s="291" t="s">
        <v>232</v>
      </c>
    </row>
    <row r="239" spans="1:7" ht="15" thickBot="1" x14ac:dyDescent="0.35">
      <c r="A239" s="110" t="s">
        <v>1947</v>
      </c>
      <c r="B239" s="111" t="s">
        <v>128</v>
      </c>
      <c r="C239" s="111" t="s">
        <v>1946</v>
      </c>
      <c r="D239" s="114">
        <f>(($D$224/$D$196)*2)*$D$208</f>
        <v>1.449300216483458E-8</v>
      </c>
      <c r="E239" s="321" t="s">
        <v>232</v>
      </c>
    </row>
    <row r="240" spans="1:7" x14ac:dyDescent="0.3">
      <c r="A240" s="1163"/>
      <c r="B240" s="1164"/>
      <c r="C240" s="1164"/>
      <c r="D240" s="1164"/>
      <c r="E240" s="1165"/>
    </row>
    <row r="241" spans="1:5" ht="15" thickBot="1" x14ac:dyDescent="0.35">
      <c r="A241" s="1166"/>
      <c r="B241" s="1167"/>
      <c r="C241" s="1167"/>
      <c r="D241" s="1167"/>
      <c r="E241" s="1168"/>
    </row>
    <row r="242" spans="1:5" ht="30" customHeight="1" thickBot="1" x14ac:dyDescent="0.35">
      <c r="A242" s="638" t="s">
        <v>2610</v>
      </c>
      <c r="B242" s="35" t="s">
        <v>142</v>
      </c>
      <c r="C242" s="21" t="s">
        <v>256</v>
      </c>
      <c r="D242" s="26" t="s">
        <v>236</v>
      </c>
      <c r="E242" s="23" t="s">
        <v>212</v>
      </c>
    </row>
    <row r="243" spans="1:5" x14ac:dyDescent="0.3">
      <c r="A243" s="1169" t="s">
        <v>266</v>
      </c>
      <c r="B243" s="1132" t="s">
        <v>225</v>
      </c>
      <c r="C243" s="19" t="s">
        <v>1026</v>
      </c>
      <c r="D243" s="1159" t="s">
        <v>210</v>
      </c>
      <c r="E243" s="1136" t="s">
        <v>2106</v>
      </c>
    </row>
    <row r="244" spans="1:5" x14ac:dyDescent="0.3">
      <c r="A244" s="1170"/>
      <c r="B244" s="1139"/>
      <c r="C244" s="103" t="s">
        <v>290</v>
      </c>
      <c r="D244" s="1160"/>
      <c r="E244" s="1137"/>
    </row>
    <row r="245" spans="1:5" x14ac:dyDescent="0.3">
      <c r="A245" s="1170"/>
      <c r="B245" s="1133"/>
      <c r="C245" s="103" t="s">
        <v>1414</v>
      </c>
      <c r="D245" s="1161"/>
      <c r="E245" s="1137"/>
    </row>
    <row r="246" spans="1:5" x14ac:dyDescent="0.3">
      <c r="A246" s="16" t="s">
        <v>2028</v>
      </c>
      <c r="B246" s="18" t="s">
        <v>225</v>
      </c>
      <c r="C246" s="103" t="s">
        <v>887</v>
      </c>
      <c r="D246" s="141" t="s">
        <v>210</v>
      </c>
      <c r="E246" s="1138"/>
    </row>
    <row r="247" spans="1:5" x14ac:dyDescent="0.3">
      <c r="A247" s="16" t="s">
        <v>188</v>
      </c>
      <c r="B247" s="18" t="s">
        <v>309</v>
      </c>
      <c r="C247" s="18"/>
      <c r="D247" s="27">
        <f>'1. USER INPUTS'!$E$12</f>
        <v>200</v>
      </c>
      <c r="E247" s="34" t="s">
        <v>398</v>
      </c>
    </row>
    <row r="248" spans="1:5" x14ac:dyDescent="0.3">
      <c r="A248" s="16" t="s">
        <v>235</v>
      </c>
      <c r="B248" s="18" t="s">
        <v>231</v>
      </c>
      <c r="C248" s="18"/>
      <c r="D248" s="137">
        <f>PI()*(($D$247/1000)/2)^2</f>
        <v>3.1415926535897934E-2</v>
      </c>
      <c r="E248" s="34" t="s">
        <v>232</v>
      </c>
    </row>
    <row r="249" spans="1:5" x14ac:dyDescent="0.3">
      <c r="A249" s="16" t="s">
        <v>454</v>
      </c>
      <c r="B249" s="18" t="s">
        <v>130</v>
      </c>
      <c r="C249" s="18" t="s">
        <v>1415</v>
      </c>
      <c r="D249" s="137">
        <f>0.00000035</f>
        <v>3.4999999999999998E-7</v>
      </c>
      <c r="E249" s="22" t="s">
        <v>2249</v>
      </c>
    </row>
    <row r="250" spans="1:5" x14ac:dyDescent="0.3">
      <c r="A250" s="16" t="s">
        <v>1416</v>
      </c>
      <c r="B250" s="18" t="s">
        <v>129</v>
      </c>
      <c r="C250" s="103"/>
      <c r="D250" s="158">
        <f>'25. CHEM. &amp; MAT.'!$F$8</f>
        <v>19300</v>
      </c>
      <c r="E250" s="34" t="s">
        <v>1581</v>
      </c>
    </row>
    <row r="251" spans="1:5" x14ac:dyDescent="0.3">
      <c r="A251" s="16" t="s">
        <v>1417</v>
      </c>
      <c r="B251" s="18" t="s">
        <v>883</v>
      </c>
      <c r="C251" s="103"/>
      <c r="D251" s="158">
        <f>'25. CHEM. &amp; MAT.'!$G$8</f>
        <v>180.14</v>
      </c>
      <c r="E251" s="34" t="s">
        <v>1581</v>
      </c>
    </row>
    <row r="252" spans="1:5" x14ac:dyDescent="0.3">
      <c r="A252" s="16" t="s">
        <v>882</v>
      </c>
      <c r="B252" s="18" t="s">
        <v>128</v>
      </c>
      <c r="C252" s="18" t="s">
        <v>1359</v>
      </c>
      <c r="D252" s="142">
        <f>$D$248*$D$249*$D$250</f>
        <v>2.1221458374999055E-4</v>
      </c>
      <c r="E252" s="34" t="s">
        <v>232</v>
      </c>
    </row>
    <row r="253" spans="1:5" x14ac:dyDescent="0.3">
      <c r="A253" s="16" t="s">
        <v>1418</v>
      </c>
      <c r="B253" s="18" t="s">
        <v>271</v>
      </c>
      <c r="C253" s="18"/>
      <c r="D253" s="27">
        <v>40</v>
      </c>
      <c r="E253" s="22" t="s">
        <v>2106</v>
      </c>
    </row>
    <row r="254" spans="1:5" x14ac:dyDescent="0.3">
      <c r="A254" s="16" t="s">
        <v>1360</v>
      </c>
      <c r="B254" s="18" t="s">
        <v>214</v>
      </c>
      <c r="C254" s="18" t="s">
        <v>460</v>
      </c>
      <c r="D254" s="27">
        <v>5</v>
      </c>
      <c r="E254" s="34" t="s">
        <v>2250</v>
      </c>
    </row>
    <row r="255" spans="1:5" x14ac:dyDescent="0.3">
      <c r="A255" s="16" t="s">
        <v>2614</v>
      </c>
      <c r="B255" s="18" t="s">
        <v>129</v>
      </c>
      <c r="C255" s="103" t="s">
        <v>2616</v>
      </c>
      <c r="D255" s="141">
        <f>'25. CHEM. &amp; MAT.'!$F$45</f>
        <v>4.5599999999999996</v>
      </c>
      <c r="E255" s="34" t="s">
        <v>1581</v>
      </c>
    </row>
    <row r="256" spans="1:5" x14ac:dyDescent="0.3">
      <c r="A256" s="16" t="s">
        <v>2615</v>
      </c>
      <c r="B256" s="18" t="s">
        <v>883</v>
      </c>
      <c r="C256" s="103"/>
      <c r="D256" s="141">
        <f>'25. CHEM. &amp; MAT.'!$G$45*0.001</f>
        <v>0.29782999999999998</v>
      </c>
      <c r="E256" s="34" t="s">
        <v>1581</v>
      </c>
    </row>
    <row r="257" spans="1:5" x14ac:dyDescent="0.3">
      <c r="A257" s="16" t="s">
        <v>2617</v>
      </c>
      <c r="B257" s="18" t="s">
        <v>225</v>
      </c>
      <c r="C257" s="103"/>
      <c r="D257" s="141">
        <f>2/2</f>
        <v>1</v>
      </c>
      <c r="E257" s="34" t="s">
        <v>232</v>
      </c>
    </row>
    <row r="258" spans="1:5" x14ac:dyDescent="0.3">
      <c r="A258" s="16" t="s">
        <v>1375</v>
      </c>
      <c r="B258" s="18" t="s">
        <v>129</v>
      </c>
      <c r="C258" s="103" t="s">
        <v>288</v>
      </c>
      <c r="D258" s="158">
        <f>'25. CHEM. &amp; MAT.'!$F$26</f>
        <v>1.44</v>
      </c>
      <c r="E258" s="34" t="s">
        <v>1581</v>
      </c>
    </row>
    <row r="259" spans="1:5" x14ac:dyDescent="0.3">
      <c r="A259" s="16" t="s">
        <v>1374</v>
      </c>
      <c r="B259" s="18" t="s">
        <v>883</v>
      </c>
      <c r="C259" s="4"/>
      <c r="D259" s="27">
        <f>'25. CHEM. &amp; MAT.'!$G$26*0.001</f>
        <v>3.2117E-2</v>
      </c>
      <c r="E259" s="34" t="s">
        <v>1581</v>
      </c>
    </row>
    <row r="260" spans="1:5" x14ac:dyDescent="0.3">
      <c r="A260" s="16" t="s">
        <v>1423</v>
      </c>
      <c r="B260" s="18" t="s">
        <v>225</v>
      </c>
      <c r="C260" s="18"/>
      <c r="D260" s="27">
        <f>(3/2)</f>
        <v>1.5</v>
      </c>
      <c r="E260" s="34" t="s">
        <v>232</v>
      </c>
    </row>
    <row r="261" spans="1:5" x14ac:dyDescent="0.3">
      <c r="A261" s="16" t="s">
        <v>859</v>
      </c>
      <c r="B261" s="18" t="s">
        <v>129</v>
      </c>
      <c r="C261" s="4"/>
      <c r="D261" s="27">
        <f>'25. CHEM. &amp; MAT.'!$F$14</f>
        <v>1.25</v>
      </c>
      <c r="E261" s="34" t="s">
        <v>1581</v>
      </c>
    </row>
    <row r="262" spans="1:5" x14ac:dyDescent="0.3">
      <c r="A262" s="16" t="s">
        <v>853</v>
      </c>
      <c r="B262" s="18" t="s">
        <v>531</v>
      </c>
      <c r="C262" s="18" t="s">
        <v>1364</v>
      </c>
      <c r="D262" s="27">
        <v>200</v>
      </c>
      <c r="E262" s="34" t="s">
        <v>232</v>
      </c>
    </row>
    <row r="263" spans="1:5" x14ac:dyDescent="0.3">
      <c r="A263" s="16" t="s">
        <v>1373</v>
      </c>
      <c r="B263" s="18" t="s">
        <v>883</v>
      </c>
      <c r="C263" s="18"/>
      <c r="D263" s="27">
        <f>'25. CHEM. &amp; MAT.'!$G$14*0.001</f>
        <v>2.8010000000000004E-2</v>
      </c>
      <c r="E263" s="34" t="s">
        <v>1581</v>
      </c>
    </row>
    <row r="264" spans="1:5" x14ac:dyDescent="0.3">
      <c r="A264" s="16" t="s">
        <v>1241</v>
      </c>
      <c r="B264" s="18" t="s">
        <v>129</v>
      </c>
      <c r="C264" s="18"/>
      <c r="D264" s="134">
        <f>'25. CHEM. &amp; MAT.'!$F$12</f>
        <v>0.09</v>
      </c>
      <c r="E264" s="34" t="s">
        <v>1581</v>
      </c>
    </row>
    <row r="265" spans="1:5" x14ac:dyDescent="0.3">
      <c r="A265" s="16" t="s">
        <v>1240</v>
      </c>
      <c r="B265" s="18" t="s">
        <v>883</v>
      </c>
      <c r="C265" s="18"/>
      <c r="D265" s="27">
        <f>'25. CHEM. &amp; MAT.'!$G$12*0.001</f>
        <v>1.008E-3</v>
      </c>
      <c r="E265" s="34" t="s">
        <v>1581</v>
      </c>
    </row>
    <row r="266" spans="1:5" x14ac:dyDescent="0.3">
      <c r="A266" s="16" t="s">
        <v>1426</v>
      </c>
      <c r="B266" s="18" t="s">
        <v>129</v>
      </c>
      <c r="C266" s="18"/>
      <c r="D266" s="134">
        <f>'25. CHEM. &amp; MAT.'!$F$35</f>
        <v>1.66</v>
      </c>
      <c r="E266" s="34" t="s">
        <v>1581</v>
      </c>
    </row>
    <row r="267" spans="1:5" x14ac:dyDescent="0.3">
      <c r="A267" s="16" t="s">
        <v>1427</v>
      </c>
      <c r="B267" s="18" t="s">
        <v>883</v>
      </c>
      <c r="C267" s="18"/>
      <c r="D267" s="27">
        <f>'25. CHEM. &amp; MAT.'!$G$35*0.001</f>
        <v>0.10408000000000001</v>
      </c>
      <c r="E267" s="34" t="s">
        <v>1581</v>
      </c>
    </row>
    <row r="268" spans="1:5" x14ac:dyDescent="0.3">
      <c r="A268" s="16" t="s">
        <v>268</v>
      </c>
      <c r="B268" s="18" t="s">
        <v>274</v>
      </c>
      <c r="C268" s="18"/>
      <c r="D268" s="27" t="s">
        <v>358</v>
      </c>
      <c r="E268" s="22" t="s">
        <v>2106</v>
      </c>
    </row>
    <row r="269" spans="1:5" x14ac:dyDescent="0.3">
      <c r="A269" s="16" t="s">
        <v>269</v>
      </c>
      <c r="B269" s="18" t="s">
        <v>270</v>
      </c>
      <c r="C269" s="18"/>
      <c r="D269" s="27">
        <v>450</v>
      </c>
      <c r="E269" s="22" t="s">
        <v>2106</v>
      </c>
    </row>
    <row r="270" spans="1:5" x14ac:dyDescent="0.3">
      <c r="A270" s="16" t="s">
        <v>247</v>
      </c>
      <c r="B270" s="18" t="s">
        <v>225</v>
      </c>
      <c r="C270" s="18" t="s">
        <v>1028</v>
      </c>
      <c r="D270" s="27">
        <v>100</v>
      </c>
      <c r="E270" s="22" t="s">
        <v>2106</v>
      </c>
    </row>
    <row r="271" spans="1:5" x14ac:dyDescent="0.3">
      <c r="A271" s="16" t="s">
        <v>890</v>
      </c>
      <c r="B271" s="18" t="s">
        <v>226</v>
      </c>
      <c r="C271" s="18" t="s">
        <v>1412</v>
      </c>
      <c r="D271" s="27">
        <v>60</v>
      </c>
      <c r="E271" s="22" t="s">
        <v>2106</v>
      </c>
    </row>
    <row r="272" spans="1:5" x14ac:dyDescent="0.3">
      <c r="A272" s="16" t="s">
        <v>1365</v>
      </c>
      <c r="B272" s="18" t="s">
        <v>226</v>
      </c>
      <c r="C272" s="18" t="s">
        <v>1366</v>
      </c>
      <c r="D272" s="27">
        <v>120</v>
      </c>
      <c r="E272" s="22" t="s">
        <v>2106</v>
      </c>
    </row>
    <row r="273" spans="1:5" x14ac:dyDescent="0.3">
      <c r="A273" s="16" t="s">
        <v>891</v>
      </c>
      <c r="B273" s="18" t="s">
        <v>226</v>
      </c>
      <c r="C273" s="18"/>
      <c r="D273" s="138">
        <f>($D$249/($D$253*0.000000001))*60</f>
        <v>525</v>
      </c>
      <c r="E273" s="22" t="s">
        <v>232</v>
      </c>
    </row>
    <row r="274" spans="1:5" x14ac:dyDescent="0.3">
      <c r="A274" s="46" t="s">
        <v>1282</v>
      </c>
      <c r="B274" s="47" t="s">
        <v>226</v>
      </c>
      <c r="C274" s="18" t="s">
        <v>1413</v>
      </c>
      <c r="D274" s="138">
        <v>60</v>
      </c>
      <c r="E274" s="22" t="s">
        <v>2106</v>
      </c>
    </row>
    <row r="275" spans="1:5" x14ac:dyDescent="0.3">
      <c r="A275" s="46" t="s">
        <v>892</v>
      </c>
      <c r="B275" s="47" t="s">
        <v>226</v>
      </c>
      <c r="C275" s="18"/>
      <c r="D275">
        <f>SUM(D271:D274)</f>
        <v>765</v>
      </c>
      <c r="E275" s="22" t="s">
        <v>232</v>
      </c>
    </row>
    <row r="276" spans="1:5" x14ac:dyDescent="0.3">
      <c r="A276" s="578" t="s">
        <v>2317</v>
      </c>
      <c r="B276" s="543" t="s">
        <v>214</v>
      </c>
      <c r="C276" s="543"/>
      <c r="D276" s="781">
        <f>'1. USER INPUTS'!$E$30</f>
        <v>0.95</v>
      </c>
      <c r="E276" s="579" t="s">
        <v>398</v>
      </c>
    </row>
    <row r="277" spans="1:5" x14ac:dyDescent="0.3">
      <c r="A277" s="578" t="s">
        <v>351</v>
      </c>
      <c r="B277" s="543" t="s">
        <v>131</v>
      </c>
      <c r="C277" s="543"/>
      <c r="D277" s="639">
        <f>'2. PROCESS RECAP '!$E$47</f>
        <v>7.3</v>
      </c>
      <c r="E277" s="579" t="s">
        <v>2208</v>
      </c>
    </row>
    <row r="278" spans="1:5" ht="15" thickBot="1" x14ac:dyDescent="0.35">
      <c r="A278" s="634" t="s">
        <v>246</v>
      </c>
      <c r="B278" s="635" t="s">
        <v>225</v>
      </c>
      <c r="C278" s="635"/>
      <c r="D278" s="636">
        <f>'2. PROCESS RECAP '!$H$47</f>
        <v>1</v>
      </c>
      <c r="E278" s="637" t="s">
        <v>2209</v>
      </c>
    </row>
    <row r="279" spans="1:5" x14ac:dyDescent="0.3">
      <c r="A279" s="1122" t="s">
        <v>291</v>
      </c>
      <c r="B279" s="1123"/>
      <c r="C279" s="1123"/>
      <c r="D279" s="1123"/>
      <c r="E279" s="1124"/>
    </row>
    <row r="280" spans="1:5" x14ac:dyDescent="0.3">
      <c r="A280" s="285" t="s">
        <v>716</v>
      </c>
      <c r="B280" s="15" t="s">
        <v>132</v>
      </c>
      <c r="C280" s="15" t="s">
        <v>1038</v>
      </c>
      <c r="D280" s="286">
        <f>(($D$277*(($D$275+$D$275/3)/3600))/$D$270)*$D$278*'1. USER INPUTS'!$E$23</f>
        <v>8.8862480800010473E-5</v>
      </c>
      <c r="E280" s="320" t="s">
        <v>232</v>
      </c>
    </row>
    <row r="281" spans="1:5" x14ac:dyDescent="0.3">
      <c r="A281" s="293" t="s">
        <v>702</v>
      </c>
      <c r="B281" s="39" t="s">
        <v>128</v>
      </c>
      <c r="C281" s="3" t="s">
        <v>2618</v>
      </c>
      <c r="D281" s="286">
        <f>($D$252/$D$251)*$D$257*$D$256*(100/$D$254)*'1. USER INPUTS'!$E$23*$D$278</f>
        <v>3.0148201347907945E-8</v>
      </c>
      <c r="E281" s="320" t="s">
        <v>232</v>
      </c>
    </row>
    <row r="282" spans="1:5" x14ac:dyDescent="0.3">
      <c r="A282" s="293" t="s">
        <v>700</v>
      </c>
      <c r="B282" s="39" t="s">
        <v>128</v>
      </c>
      <c r="C282" s="15" t="s">
        <v>895</v>
      </c>
      <c r="D282" s="286">
        <f>($D$252/$D$251)*$D$260*$D$259*(100/$D$254)*$D$278*'1. USER INPUTS'!$E$23</f>
        <v>4.8766231542696824E-9</v>
      </c>
      <c r="E282" s="320" t="s">
        <v>232</v>
      </c>
    </row>
    <row r="283" spans="1:5" x14ac:dyDescent="0.3">
      <c r="A283" s="287" t="s">
        <v>962</v>
      </c>
      <c r="B283" s="39" t="s">
        <v>128</v>
      </c>
      <c r="C283" s="15" t="s">
        <v>1420</v>
      </c>
      <c r="D283" s="286">
        <f>(((($D$262*($D$271/60))*$D$261*0.000001))/$D$270)*$D$278*'1. USER INPUTS'!$E$23</f>
        <v>1.0740831684126971E-8</v>
      </c>
      <c r="E283" s="320" t="s">
        <v>232</v>
      </c>
    </row>
    <row r="284" spans="1:5" x14ac:dyDescent="0.3">
      <c r="A284" s="285" t="s">
        <v>716</v>
      </c>
      <c r="B284" s="39" t="s">
        <v>132</v>
      </c>
      <c r="C284" s="15" t="s">
        <v>1408</v>
      </c>
      <c r="D284" s="286">
        <f>(((5*(($D$272+$D$272/3)/3600)))/$D$270)*$D$278*'1. USER INPUTS'!$E$23</f>
        <v>9.5474059414461955E-6</v>
      </c>
      <c r="E284" s="320" t="s">
        <v>232</v>
      </c>
    </row>
    <row r="285" spans="1:5" x14ac:dyDescent="0.3">
      <c r="A285" s="285" t="s">
        <v>716</v>
      </c>
      <c r="B285" s="39" t="s">
        <v>132</v>
      </c>
      <c r="C285" s="15" t="s">
        <v>1407</v>
      </c>
      <c r="D285" s="286">
        <f>(((5*(($D$275+$D$275/3)/3600)))/$D$270)*$D$278*'1. USER INPUTS'!$E$23</f>
        <v>6.0864712876719493E-5</v>
      </c>
      <c r="E285" s="320" t="s">
        <v>232</v>
      </c>
    </row>
    <row r="286" spans="1:5" x14ac:dyDescent="0.3">
      <c r="A286" s="285" t="s">
        <v>716</v>
      </c>
      <c r="B286" s="39" t="s">
        <v>132</v>
      </c>
      <c r="C286" s="15" t="s">
        <v>2251</v>
      </c>
      <c r="D286" s="286">
        <f>(((11*(($D$271+$D$271/3)/3600)))/$D$270)*$D$278*'1. USER INPUTS'!$E$23</f>
        <v>1.0502146535590816E-5</v>
      </c>
      <c r="E286" s="320" t="s">
        <v>232</v>
      </c>
    </row>
    <row r="287" spans="1:5" x14ac:dyDescent="0.3">
      <c r="A287" s="1128" t="s">
        <v>292</v>
      </c>
      <c r="B287" s="1129"/>
      <c r="C287" s="1129"/>
      <c r="D287" s="1129"/>
      <c r="E287" s="1130"/>
    </row>
    <row r="288" spans="1:5" x14ac:dyDescent="0.3">
      <c r="A288" s="16" t="s">
        <v>322</v>
      </c>
      <c r="B288" s="47" t="s">
        <v>293</v>
      </c>
      <c r="C288" s="18"/>
      <c r="D288" s="27">
        <v>1</v>
      </c>
      <c r="E288" s="22"/>
    </row>
    <row r="289" spans="1:5" x14ac:dyDescent="0.3">
      <c r="A289" s="116" t="s">
        <v>463</v>
      </c>
      <c r="B289" s="113" t="s">
        <v>128</v>
      </c>
      <c r="C289" s="113" t="s">
        <v>1946</v>
      </c>
      <c r="D289" s="124">
        <f>$D$282*(1-($D$254/100))</f>
        <v>4.632791996556198E-9</v>
      </c>
      <c r="E289" s="291" t="s">
        <v>232</v>
      </c>
    </row>
    <row r="290" spans="1:5" x14ac:dyDescent="0.3">
      <c r="A290" s="116" t="s">
        <v>2248</v>
      </c>
      <c r="B290" s="113" t="s">
        <v>128</v>
      </c>
      <c r="C290" s="113" t="s">
        <v>1946</v>
      </c>
      <c r="D290" s="124">
        <f>$D$281*(1-($D$254/100))</f>
        <v>2.8640791280512547E-8</v>
      </c>
      <c r="E290" s="291" t="s">
        <v>232</v>
      </c>
    </row>
    <row r="291" spans="1:5" x14ac:dyDescent="0.3">
      <c r="A291" s="723" t="s">
        <v>816</v>
      </c>
      <c r="B291" s="113" t="s">
        <v>128</v>
      </c>
      <c r="C291" s="113" t="s">
        <v>1946</v>
      </c>
      <c r="D291" s="124">
        <f>$D$283</f>
        <v>1.0740831684126971E-8</v>
      </c>
      <c r="E291" s="291" t="s">
        <v>232</v>
      </c>
    </row>
    <row r="292" spans="1:5" x14ac:dyDescent="0.3">
      <c r="A292" s="116" t="s">
        <v>1947</v>
      </c>
      <c r="B292" s="113" t="s">
        <v>128</v>
      </c>
      <c r="C292" s="113" t="s">
        <v>1946</v>
      </c>
      <c r="D292" s="124">
        <f>(($D$282/$D$259)*2)*$D$265</f>
        <v>3.0610805115694742E-10</v>
      </c>
      <c r="E292" s="291" t="s">
        <v>232</v>
      </c>
    </row>
    <row r="293" spans="1:5" ht="15" thickBot="1" x14ac:dyDescent="0.35">
      <c r="A293" s="110" t="s">
        <v>1948</v>
      </c>
      <c r="B293" s="111" t="s">
        <v>128</v>
      </c>
      <c r="C293" s="111" t="s">
        <v>1946</v>
      </c>
      <c r="D293" s="114">
        <f>(1-$D$276)*($D$282/$D$259)*$D$267</f>
        <v>7.9017177491108917E-10</v>
      </c>
      <c r="E293" s="321" t="s">
        <v>232</v>
      </c>
    </row>
    <row r="295" spans="1:5" x14ac:dyDescent="0.3">
      <c r="A295" s="1171"/>
      <c r="B295" s="1171"/>
      <c r="C295" s="1171"/>
      <c r="D295" s="1171"/>
      <c r="E295" s="1171"/>
    </row>
    <row r="296" spans="1:5" x14ac:dyDescent="0.3">
      <c r="A296" s="1171"/>
      <c r="B296" s="1171"/>
      <c r="C296" s="1171"/>
      <c r="D296" s="1171"/>
      <c r="E296" s="1171"/>
    </row>
    <row r="297" spans="1:5" ht="30" customHeight="1" x14ac:dyDescent="0.3">
      <c r="A297" s="330"/>
      <c r="B297" s="324"/>
      <c r="C297" s="325"/>
      <c r="D297" s="331"/>
      <c r="E297" s="331"/>
    </row>
    <row r="298" spans="1:5" x14ac:dyDescent="0.3">
      <c r="A298" s="14"/>
      <c r="B298" s="14"/>
      <c r="C298" s="14"/>
      <c r="D298" s="319"/>
      <c r="E298" s="319"/>
    </row>
    <row r="299" spans="1:5" x14ac:dyDescent="0.3">
      <c r="A299" s="14"/>
      <c r="B299" s="14"/>
      <c r="C299" s="14"/>
      <c r="D299" s="319"/>
      <c r="E299" s="319"/>
    </row>
    <row r="300" spans="1:5" x14ac:dyDescent="0.3">
      <c r="A300" s="14"/>
      <c r="B300" s="14"/>
      <c r="C300" s="14"/>
      <c r="D300" s="319"/>
      <c r="E300" s="319"/>
    </row>
    <row r="301" spans="1:5" x14ac:dyDescent="0.3">
      <c r="A301" s="14"/>
      <c r="B301" s="14"/>
      <c r="C301" s="14"/>
      <c r="D301" s="319"/>
      <c r="E301" s="332"/>
    </row>
    <row r="302" spans="1:5" x14ac:dyDescent="0.3">
      <c r="A302" s="14"/>
      <c r="B302" s="14"/>
      <c r="C302" s="14"/>
      <c r="D302" s="319"/>
      <c r="E302" s="332"/>
    </row>
    <row r="303" spans="1:5" x14ac:dyDescent="0.3">
      <c r="A303" s="14"/>
      <c r="B303" s="14"/>
      <c r="C303" s="14"/>
      <c r="D303" s="333"/>
      <c r="E303" s="319"/>
    </row>
    <row r="304" spans="1:5" x14ac:dyDescent="0.3">
      <c r="A304" s="14"/>
      <c r="B304" s="14"/>
      <c r="C304" s="14"/>
      <c r="D304" s="319"/>
      <c r="E304" s="332"/>
    </row>
    <row r="305" spans="1:5" x14ac:dyDescent="0.3">
      <c r="A305" s="14"/>
      <c r="B305" s="14"/>
      <c r="C305" s="14"/>
      <c r="D305" s="333"/>
      <c r="E305" s="332"/>
    </row>
    <row r="306" spans="1:5" x14ac:dyDescent="0.3">
      <c r="A306" s="14"/>
      <c r="B306" s="14"/>
      <c r="C306" s="14"/>
      <c r="D306" s="334"/>
      <c r="E306" s="332"/>
    </row>
    <row r="307" spans="1:5" x14ac:dyDescent="0.3">
      <c r="A307" s="14"/>
      <c r="B307" s="14"/>
      <c r="C307" s="14"/>
      <c r="D307" s="334"/>
      <c r="E307" s="332"/>
    </row>
    <row r="308" spans="1:5" x14ac:dyDescent="0.3">
      <c r="A308" s="14"/>
      <c r="B308" s="14"/>
      <c r="C308" s="14"/>
      <c r="D308" s="333"/>
      <c r="E308" s="332"/>
    </row>
    <row r="309" spans="1:5" x14ac:dyDescent="0.3">
      <c r="A309" s="14"/>
      <c r="B309" s="14"/>
      <c r="C309" s="14"/>
      <c r="D309" s="319"/>
      <c r="E309" s="332"/>
    </row>
    <row r="310" spans="1:5" x14ac:dyDescent="0.3">
      <c r="A310" s="14"/>
      <c r="B310" s="14"/>
      <c r="C310" s="14"/>
      <c r="D310" s="319"/>
      <c r="E310" s="332"/>
    </row>
    <row r="311" spans="1:5" x14ac:dyDescent="0.3">
      <c r="A311" s="14"/>
      <c r="B311" s="14"/>
      <c r="C311" s="14"/>
      <c r="D311" s="334"/>
      <c r="E311" s="332"/>
    </row>
    <row r="312" spans="1:5" x14ac:dyDescent="0.3">
      <c r="A312" s="14"/>
      <c r="B312" s="14"/>
      <c r="D312" s="319"/>
      <c r="E312" s="332"/>
    </row>
    <row r="313" spans="1:5" x14ac:dyDescent="0.3">
      <c r="A313" s="14"/>
      <c r="B313" s="14"/>
      <c r="C313" s="14"/>
      <c r="D313" s="319"/>
      <c r="E313" s="332"/>
    </row>
    <row r="314" spans="1:5" x14ac:dyDescent="0.3">
      <c r="A314" s="14"/>
      <c r="B314" s="14"/>
      <c r="C314" s="14"/>
      <c r="D314" s="319"/>
      <c r="E314" s="332"/>
    </row>
    <row r="315" spans="1:5" x14ac:dyDescent="0.3">
      <c r="A315" s="14"/>
      <c r="B315" s="14"/>
      <c r="C315" s="14"/>
      <c r="D315" s="334"/>
      <c r="E315" s="332"/>
    </row>
    <row r="316" spans="1:5" x14ac:dyDescent="0.3">
      <c r="A316" s="14"/>
      <c r="B316" s="14"/>
      <c r="D316" s="319"/>
    </row>
    <row r="317" spans="1:5" x14ac:dyDescent="0.3">
      <c r="A317" s="14"/>
      <c r="B317" s="14"/>
      <c r="D317" s="333"/>
    </row>
    <row r="318" spans="1:5" x14ac:dyDescent="0.3">
      <c r="A318" s="14"/>
      <c r="B318" s="14"/>
      <c r="D318" s="319"/>
    </row>
    <row r="319" spans="1:5" x14ac:dyDescent="0.3">
      <c r="A319" s="14"/>
      <c r="B319" s="14"/>
      <c r="D319" s="334"/>
      <c r="E319" s="319"/>
    </row>
    <row r="320" spans="1:5" x14ac:dyDescent="0.3">
      <c r="A320" s="14"/>
      <c r="B320" s="14"/>
      <c r="C320" s="14"/>
      <c r="D320" s="333"/>
      <c r="E320" s="319"/>
    </row>
    <row r="321" spans="1:5" x14ac:dyDescent="0.3">
      <c r="A321" s="14"/>
      <c r="B321" s="14"/>
      <c r="C321" s="14"/>
      <c r="D321" s="319"/>
      <c r="E321" s="319"/>
    </row>
    <row r="322" spans="1:5" x14ac:dyDescent="0.3">
      <c r="A322" s="14"/>
      <c r="B322" s="14"/>
      <c r="C322" s="14"/>
      <c r="D322" s="334"/>
      <c r="E322" s="319"/>
    </row>
    <row r="323" spans="1:5" x14ac:dyDescent="0.3">
      <c r="A323" s="14"/>
      <c r="B323" s="14"/>
      <c r="C323" s="14"/>
      <c r="D323" s="333"/>
      <c r="E323" s="319"/>
    </row>
    <row r="324" spans="1:5" x14ac:dyDescent="0.3">
      <c r="A324" s="14"/>
      <c r="B324" s="14"/>
      <c r="C324" s="14"/>
      <c r="D324" s="319"/>
      <c r="E324" s="319"/>
    </row>
    <row r="325" spans="1:5" x14ac:dyDescent="0.3">
      <c r="A325" s="14"/>
      <c r="B325" s="14"/>
      <c r="D325" s="319"/>
      <c r="E325" s="319"/>
    </row>
    <row r="326" spans="1:5" x14ac:dyDescent="0.3">
      <c r="A326" s="14"/>
      <c r="B326" s="14"/>
      <c r="C326" s="14"/>
      <c r="D326" s="319"/>
      <c r="E326" s="319"/>
    </row>
    <row r="327" spans="1:5" x14ac:dyDescent="0.3">
      <c r="A327" s="14"/>
      <c r="B327" s="14"/>
      <c r="C327" s="14"/>
      <c r="D327" s="333"/>
      <c r="E327" s="319"/>
    </row>
    <row r="328" spans="1:5" x14ac:dyDescent="0.3">
      <c r="A328" s="14"/>
      <c r="B328" s="14"/>
      <c r="D328" s="334"/>
      <c r="E328" s="319"/>
    </row>
    <row r="329" spans="1:5" x14ac:dyDescent="0.3">
      <c r="A329" s="14"/>
      <c r="B329" s="14"/>
      <c r="C329" s="14"/>
      <c r="D329" s="319"/>
      <c r="E329" s="319"/>
    </row>
    <row r="330" spans="1:5" x14ac:dyDescent="0.3">
      <c r="A330" s="14"/>
      <c r="B330" s="14"/>
      <c r="C330" s="14"/>
      <c r="D330" s="333"/>
      <c r="E330" s="319"/>
    </row>
    <row r="331" spans="1:5" x14ac:dyDescent="0.3">
      <c r="A331" s="14"/>
      <c r="B331" s="14"/>
      <c r="C331" s="14"/>
      <c r="D331" s="319"/>
      <c r="E331" s="319"/>
    </row>
    <row r="332" spans="1:5" x14ac:dyDescent="0.3">
      <c r="A332" s="14"/>
      <c r="B332" s="14"/>
      <c r="C332" s="14"/>
      <c r="D332" s="319"/>
      <c r="E332" s="319"/>
    </row>
    <row r="333" spans="1:5" x14ac:dyDescent="0.3">
      <c r="A333" s="14"/>
      <c r="B333" s="14"/>
      <c r="C333" s="14"/>
      <c r="D333" s="319"/>
      <c r="E333" s="319"/>
    </row>
    <row r="334" spans="1:5" x14ac:dyDescent="0.3">
      <c r="A334" s="14"/>
      <c r="B334" s="14"/>
      <c r="C334" s="14"/>
      <c r="D334" s="319"/>
      <c r="E334" s="319"/>
    </row>
    <row r="335" spans="1:5" x14ac:dyDescent="0.3">
      <c r="A335" s="14"/>
      <c r="B335" s="14"/>
      <c r="C335" s="14"/>
      <c r="D335" s="319"/>
      <c r="E335" s="319"/>
    </row>
    <row r="336" spans="1:5" x14ac:dyDescent="0.3">
      <c r="A336" s="14"/>
      <c r="B336" s="14"/>
      <c r="C336" s="14"/>
      <c r="D336" s="329"/>
      <c r="E336" s="319"/>
    </row>
    <row r="337" spans="1:5" x14ac:dyDescent="0.3">
      <c r="A337" s="14"/>
      <c r="B337" s="14"/>
      <c r="C337" s="14"/>
      <c r="D337" s="329"/>
      <c r="E337" s="319"/>
    </row>
    <row r="338" spans="1:5" x14ac:dyDescent="0.3">
      <c r="A338" s="14"/>
      <c r="B338" s="14"/>
      <c r="C338" s="14"/>
      <c r="D338" s="319"/>
      <c r="E338" s="319"/>
    </row>
    <row r="339" spans="1:5" x14ac:dyDescent="0.3">
      <c r="A339" s="325"/>
      <c r="B339" s="14"/>
      <c r="C339" s="14"/>
      <c r="D339" s="319"/>
      <c r="E339" s="319"/>
    </row>
    <row r="340" spans="1:5" x14ac:dyDescent="0.3">
      <c r="A340" s="335"/>
      <c r="B340" s="14"/>
      <c r="C340" s="14"/>
      <c r="D340" s="336"/>
      <c r="E340" s="319"/>
    </row>
    <row r="341" spans="1:5" x14ac:dyDescent="0.3">
      <c r="A341" s="335"/>
      <c r="B341" s="14"/>
      <c r="C341" s="14"/>
      <c r="D341" s="336"/>
      <c r="E341" s="319"/>
    </row>
    <row r="342" spans="1:5" x14ac:dyDescent="0.3">
      <c r="A342" s="325"/>
      <c r="B342" s="14"/>
      <c r="C342" s="14"/>
      <c r="D342" s="336"/>
      <c r="E342" s="333"/>
    </row>
    <row r="343" spans="1:5" x14ac:dyDescent="0.3">
      <c r="A343" s="325"/>
      <c r="B343" s="14"/>
      <c r="C343" s="14"/>
      <c r="D343" s="336"/>
      <c r="E343" s="319"/>
    </row>
    <row r="344" spans="1:5" x14ac:dyDescent="0.3">
      <c r="A344" s="337"/>
      <c r="B344" s="14"/>
      <c r="C344" s="14"/>
      <c r="D344" s="336"/>
      <c r="E344" s="319"/>
    </row>
    <row r="345" spans="1:5" x14ac:dyDescent="0.3">
      <c r="A345" s="335"/>
      <c r="B345" s="14"/>
      <c r="C345" s="14"/>
      <c r="D345" s="338"/>
      <c r="E345" s="319"/>
    </row>
    <row r="346" spans="1:5" x14ac:dyDescent="0.3">
      <c r="A346" s="335"/>
      <c r="B346" s="14"/>
      <c r="C346" s="14"/>
      <c r="D346" s="338"/>
      <c r="E346" s="319"/>
    </row>
    <row r="347" spans="1:5" x14ac:dyDescent="0.3">
      <c r="A347" s="325"/>
      <c r="B347" s="14"/>
      <c r="C347" s="14"/>
      <c r="D347" s="319"/>
      <c r="E347" s="319"/>
    </row>
    <row r="348" spans="1:5" x14ac:dyDescent="0.3">
      <c r="A348" s="14"/>
      <c r="B348" s="14"/>
      <c r="C348" s="14"/>
      <c r="D348" s="319"/>
      <c r="E348" s="319"/>
    </row>
    <row r="349" spans="1:5" x14ac:dyDescent="0.3">
      <c r="A349" s="325"/>
      <c r="B349" s="14"/>
      <c r="C349" s="339"/>
      <c r="D349" s="336"/>
      <c r="E349" s="319"/>
    </row>
    <row r="355" spans="1:5" x14ac:dyDescent="0.3">
      <c r="A355" s="14"/>
      <c r="B355" s="14"/>
      <c r="C355" s="14"/>
      <c r="D355" s="329"/>
      <c r="E355" s="319"/>
    </row>
    <row r="356" spans="1:5" x14ac:dyDescent="0.3">
      <c r="A356" s="14"/>
      <c r="B356" s="14"/>
      <c r="C356" s="14"/>
      <c r="D356" s="329"/>
      <c r="E356" s="319"/>
    </row>
    <row r="357" spans="1:5" x14ac:dyDescent="0.3">
      <c r="A357" s="14"/>
      <c r="B357" s="14"/>
      <c r="C357" s="14"/>
      <c r="D357" s="340"/>
      <c r="E357" s="319"/>
    </row>
  </sheetData>
  <sheetProtection algorithmName="SHA-512" hashValue="J488x0aMJ1N98al2eaxsP5d7b10TY06mZ04rCbYKNTz7LFv6hfFR5GAbil1kSldyB4oSSiBJaBPEL5+tw6tLLg==" saltValue="bkzBfDwMCSNvsTBRQrYqew==" spinCount="100000" sheet="1" objects="1" scenarios="1"/>
  <mergeCells count="35">
    <mergeCell ref="E32:E36"/>
    <mergeCell ref="A85:A86"/>
    <mergeCell ref="B85:B86"/>
    <mergeCell ref="D85:D86"/>
    <mergeCell ref="E85:E87"/>
    <mergeCell ref="A29:E30"/>
    <mergeCell ref="A295:E296"/>
    <mergeCell ref="A5:E5"/>
    <mergeCell ref="A16:E16"/>
    <mergeCell ref="A75:E75"/>
    <mergeCell ref="A118:E118"/>
    <mergeCell ref="A67:E67"/>
    <mergeCell ref="B32:B35"/>
    <mergeCell ref="D32:D35"/>
    <mergeCell ref="A32:A35"/>
    <mergeCell ref="A180:E181"/>
    <mergeCell ref="A82:E83"/>
    <mergeCell ref="A166:E166"/>
    <mergeCell ref="A174:E174"/>
    <mergeCell ref="A183:A185"/>
    <mergeCell ref="B183:B185"/>
    <mergeCell ref="A126:E126"/>
    <mergeCell ref="A132:E133"/>
    <mergeCell ref="A279:E279"/>
    <mergeCell ref="A287:E287"/>
    <mergeCell ref="A222:E222"/>
    <mergeCell ref="A232:E232"/>
    <mergeCell ref="D183:D185"/>
    <mergeCell ref="A240:E241"/>
    <mergeCell ref="A243:A245"/>
    <mergeCell ref="B243:B245"/>
    <mergeCell ref="D243:D245"/>
    <mergeCell ref="E135:E136"/>
    <mergeCell ref="E183:E186"/>
    <mergeCell ref="E243:E246"/>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E608C-E03D-402C-8A58-5106AD459728}">
  <dimension ref="A1:G256"/>
  <sheetViews>
    <sheetView zoomScale="85" zoomScaleNormal="85" workbookViewId="0"/>
  </sheetViews>
  <sheetFormatPr baseColWidth="10" defaultRowHeight="14.4" x14ac:dyDescent="0.3"/>
  <cols>
    <col min="1" max="1" width="86.88671875" bestFit="1" customWidth="1"/>
    <col min="2" max="2" width="9.44140625" customWidth="1"/>
    <col min="3" max="3" width="128.33203125" customWidth="1"/>
    <col min="4" max="4" width="16.44140625" customWidth="1"/>
    <col min="5" max="5" width="45.6640625" customWidth="1"/>
  </cols>
  <sheetData>
    <row r="1" spans="1:5" ht="15" thickBot="1" x14ac:dyDescent="0.35">
      <c r="A1" t="s">
        <v>135</v>
      </c>
    </row>
    <row r="2" spans="1:5" ht="30" customHeight="1" thickBot="1" x14ac:dyDescent="0.35">
      <c r="A2" s="638" t="s">
        <v>1889</v>
      </c>
      <c r="B2" s="35" t="s">
        <v>142</v>
      </c>
      <c r="C2" s="21" t="s">
        <v>256</v>
      </c>
      <c r="D2" s="26" t="s">
        <v>236</v>
      </c>
      <c r="E2" s="23" t="s">
        <v>212</v>
      </c>
    </row>
    <row r="3" spans="1:5" x14ac:dyDescent="0.3">
      <c r="A3" s="18" t="s">
        <v>2186</v>
      </c>
      <c r="B3" s="18" t="s">
        <v>225</v>
      </c>
      <c r="C3" s="18"/>
      <c r="D3" s="27">
        <f>SUM($D$40,$D$72,$D$104,$D$136)</f>
        <v>6</v>
      </c>
      <c r="E3" s="22" t="s">
        <v>232</v>
      </c>
    </row>
    <row r="4" spans="1:5" x14ac:dyDescent="0.3">
      <c r="A4" s="18" t="s">
        <v>2178</v>
      </c>
      <c r="B4" s="18" t="s">
        <v>226</v>
      </c>
      <c r="C4" s="18"/>
      <c r="D4" s="138">
        <f>SUM(D36,D70,D102,D134)</f>
        <v>942.7103499627699</v>
      </c>
      <c r="E4" s="22" t="s">
        <v>232</v>
      </c>
    </row>
    <row r="5" spans="1:5" x14ac:dyDescent="0.3">
      <c r="A5" s="1125" t="s">
        <v>291</v>
      </c>
      <c r="B5" s="1126"/>
      <c r="C5" s="1126"/>
      <c r="D5" s="1126"/>
      <c r="E5" s="1127"/>
    </row>
    <row r="6" spans="1:5" x14ac:dyDescent="0.3">
      <c r="A6" s="285" t="s">
        <v>716</v>
      </c>
      <c r="B6" s="39" t="s">
        <v>132</v>
      </c>
      <c r="C6" s="15" t="s">
        <v>2229</v>
      </c>
      <c r="D6" s="286">
        <f>SUM($D$42,$D$45:$D$46,$D$74,$D$77:$D$78,$D$106,$D$109:$D$110,$D$138,$D$141:$D$142)</f>
        <v>4.2133491520167578E-2</v>
      </c>
      <c r="E6" s="276" t="s">
        <v>232</v>
      </c>
    </row>
    <row r="7" spans="1:5" x14ac:dyDescent="0.3">
      <c r="A7" s="287" t="s">
        <v>701</v>
      </c>
      <c r="B7" s="39" t="s">
        <v>128</v>
      </c>
      <c r="C7" s="15" t="s">
        <v>2241</v>
      </c>
      <c r="D7" s="286">
        <f>$D$43</f>
        <v>2.5509948341697122E-5</v>
      </c>
      <c r="E7" s="276" t="s">
        <v>232</v>
      </c>
    </row>
    <row r="8" spans="1:5" x14ac:dyDescent="0.3">
      <c r="A8" s="287" t="s">
        <v>703</v>
      </c>
      <c r="B8" s="39" t="s">
        <v>128</v>
      </c>
      <c r="C8" s="15" t="s">
        <v>2243</v>
      </c>
      <c r="D8" s="286">
        <f>$D$75</f>
        <v>3.6442783345281597E-6</v>
      </c>
      <c r="E8" s="276" t="s">
        <v>232</v>
      </c>
    </row>
    <row r="9" spans="1:5" x14ac:dyDescent="0.3">
      <c r="A9" s="287" t="s">
        <v>705</v>
      </c>
      <c r="B9" s="39" t="s">
        <v>128</v>
      </c>
      <c r="C9" s="15" t="s">
        <v>2244</v>
      </c>
      <c r="D9" s="286">
        <f>$D$107</f>
        <v>1.2012621176778007E-5</v>
      </c>
      <c r="E9" s="276" t="s">
        <v>232</v>
      </c>
    </row>
    <row r="10" spans="1:5" x14ac:dyDescent="0.3">
      <c r="A10" s="287" t="s">
        <v>1036</v>
      </c>
      <c r="B10" s="39" t="s">
        <v>128</v>
      </c>
      <c r="C10" s="15" t="s">
        <v>2242</v>
      </c>
      <c r="D10" s="286">
        <f>$D$139</f>
        <v>5.6704970885258167E-6</v>
      </c>
      <c r="E10" s="276" t="s">
        <v>232</v>
      </c>
    </row>
    <row r="11" spans="1:5" x14ac:dyDescent="0.3">
      <c r="A11" s="287" t="s">
        <v>381</v>
      </c>
      <c r="B11" s="39" t="s">
        <v>128</v>
      </c>
      <c r="C11" s="15" t="s">
        <v>2234</v>
      </c>
      <c r="D11" s="286">
        <f>SUM($D$44,$D$76,$D$108,$D$140)</f>
        <v>6.2638457393315815E-5</v>
      </c>
      <c r="E11" s="276" t="s">
        <v>232</v>
      </c>
    </row>
    <row r="12" spans="1:5" x14ac:dyDescent="0.3">
      <c r="A12" s="1128" t="s">
        <v>292</v>
      </c>
      <c r="B12" s="1129"/>
      <c r="C12" s="1129"/>
      <c r="D12" s="1129"/>
      <c r="E12" s="1130"/>
    </row>
    <row r="13" spans="1:5" x14ac:dyDescent="0.3">
      <c r="A13" s="16" t="s">
        <v>322</v>
      </c>
      <c r="B13" s="47" t="s">
        <v>293</v>
      </c>
      <c r="C13" s="18"/>
      <c r="D13" s="27">
        <v>1</v>
      </c>
      <c r="E13" s="22"/>
    </row>
    <row r="14" spans="1:5" x14ac:dyDescent="0.3">
      <c r="A14" s="116" t="s">
        <v>1884</v>
      </c>
      <c r="B14" s="112" t="s">
        <v>128</v>
      </c>
      <c r="C14" s="112" t="s">
        <v>1920</v>
      </c>
      <c r="D14" s="115">
        <f>SUM($D$49,$D$81,$D$113,$D$145)</f>
        <v>4.4495477694452652E-5</v>
      </c>
      <c r="E14" s="282" t="s">
        <v>232</v>
      </c>
    </row>
    <row r="15" spans="1:5" ht="15" thickBot="1" x14ac:dyDescent="0.35">
      <c r="A15" s="116" t="s">
        <v>2247</v>
      </c>
      <c r="B15" s="112" t="s">
        <v>128</v>
      </c>
      <c r="C15" s="112" t="s">
        <v>1921</v>
      </c>
      <c r="D15" s="281">
        <f>SUM($D$50,$D$82,$D$114,$D$146)</f>
        <v>6.2638457393315815E-5</v>
      </c>
      <c r="E15" s="282" t="s">
        <v>232</v>
      </c>
    </row>
    <row r="16" spans="1:5" x14ac:dyDescent="0.3">
      <c r="A16" s="1163"/>
      <c r="B16" s="1164"/>
      <c r="C16" s="1164"/>
      <c r="D16" s="1164"/>
      <c r="E16" s="1165"/>
    </row>
    <row r="17" spans="1:5" ht="15" thickBot="1" x14ac:dyDescent="0.35">
      <c r="A17" s="1166"/>
      <c r="B17" s="1167"/>
      <c r="C17" s="1167"/>
      <c r="D17" s="1167"/>
      <c r="E17" s="1168"/>
    </row>
    <row r="18" spans="1:5" ht="30" customHeight="1" thickBot="1" x14ac:dyDescent="0.35">
      <c r="A18" s="638" t="s">
        <v>2128</v>
      </c>
      <c r="B18" s="35" t="s">
        <v>142</v>
      </c>
      <c r="C18" s="21" t="s">
        <v>256</v>
      </c>
      <c r="D18" s="26" t="s">
        <v>236</v>
      </c>
      <c r="E18" s="23" t="s">
        <v>212</v>
      </c>
    </row>
    <row r="19" spans="1:5" x14ac:dyDescent="0.3">
      <c r="A19" s="391" t="s">
        <v>266</v>
      </c>
      <c r="B19" s="391" t="s">
        <v>225</v>
      </c>
      <c r="C19" s="391" t="s">
        <v>2216</v>
      </c>
      <c r="D19" s="706" t="s">
        <v>210</v>
      </c>
      <c r="E19" s="33" t="s">
        <v>2106</v>
      </c>
    </row>
    <row r="20" spans="1:5" x14ac:dyDescent="0.3">
      <c r="A20" s="18" t="s">
        <v>2028</v>
      </c>
      <c r="B20" s="18" t="s">
        <v>225</v>
      </c>
      <c r="C20" s="18" t="s">
        <v>2070</v>
      </c>
      <c r="D20" s="27" t="s">
        <v>210</v>
      </c>
      <c r="E20" s="33" t="s">
        <v>2106</v>
      </c>
    </row>
    <row r="21" spans="1:5" x14ac:dyDescent="0.3">
      <c r="A21" s="16" t="s">
        <v>188</v>
      </c>
      <c r="B21" s="18" t="s">
        <v>309</v>
      </c>
      <c r="C21" s="18"/>
      <c r="D21" s="27">
        <f>'1. USER INPUTS'!E12</f>
        <v>200</v>
      </c>
      <c r="E21" s="22" t="s">
        <v>398</v>
      </c>
    </row>
    <row r="22" spans="1:5" x14ac:dyDescent="0.3">
      <c r="A22" s="16" t="s">
        <v>235</v>
      </c>
      <c r="B22" s="18" t="s">
        <v>231</v>
      </c>
      <c r="C22" s="18"/>
      <c r="D22" s="137">
        <f>PI()*(($D$21/1000)/2)^2</f>
        <v>3.1415926535897934E-2</v>
      </c>
      <c r="E22" s="22" t="s">
        <v>232</v>
      </c>
    </row>
    <row r="23" spans="1:5" x14ac:dyDescent="0.3">
      <c r="A23" s="16" t="s">
        <v>809</v>
      </c>
      <c r="B23" s="18" t="s">
        <v>129</v>
      </c>
      <c r="C23" s="18" t="s">
        <v>1869</v>
      </c>
      <c r="D23" s="27">
        <f>'25. CHEM. &amp; MAT.'!$F$7</f>
        <v>2700</v>
      </c>
      <c r="E23" s="22" t="s">
        <v>1581</v>
      </c>
    </row>
    <row r="24" spans="1:5" x14ac:dyDescent="0.3">
      <c r="A24" s="16" t="s">
        <v>810</v>
      </c>
      <c r="B24" s="18" t="s">
        <v>129</v>
      </c>
      <c r="C24" s="18" t="s">
        <v>811</v>
      </c>
      <c r="D24" s="134">
        <f>'25. CHEM. &amp; MAT.'!$F$15</f>
        <v>1.784</v>
      </c>
      <c r="E24" s="22" t="s">
        <v>1581</v>
      </c>
    </row>
    <row r="25" spans="1:5" x14ac:dyDescent="0.3">
      <c r="A25" s="16" t="s">
        <v>2212</v>
      </c>
      <c r="B25" s="18" t="s">
        <v>281</v>
      </c>
      <c r="C25" s="18" t="s">
        <v>2215</v>
      </c>
      <c r="D25" s="27">
        <v>3200</v>
      </c>
      <c r="E25" s="22" t="s">
        <v>2211</v>
      </c>
    </row>
    <row r="26" spans="1:5" x14ac:dyDescent="0.3">
      <c r="A26" s="16" t="s">
        <v>2213</v>
      </c>
      <c r="B26" s="18" t="s">
        <v>281</v>
      </c>
      <c r="C26" s="18" t="s">
        <v>2214</v>
      </c>
      <c r="D26" s="27">
        <v>300</v>
      </c>
      <c r="E26" s="22" t="s">
        <v>2211</v>
      </c>
    </row>
    <row r="27" spans="1:5" x14ac:dyDescent="0.3">
      <c r="A27" s="16" t="s">
        <v>1354</v>
      </c>
      <c r="B27" s="18" t="s">
        <v>128</v>
      </c>
      <c r="C27" s="18"/>
      <c r="D27" s="137">
        <f>(($D$25+$D$26)*0.000000001)*$D$22*$D$23</f>
        <v>2.9688050576423552E-4</v>
      </c>
      <c r="E27" s="22" t="s">
        <v>232</v>
      </c>
    </row>
    <row r="28" spans="1:5" x14ac:dyDescent="0.3">
      <c r="A28" s="16" t="s">
        <v>1355</v>
      </c>
      <c r="B28" s="18" t="s">
        <v>128</v>
      </c>
      <c r="C28" s="18"/>
      <c r="D28" s="137">
        <f>$D$27*'1. USER INPUTS'!$E$23</f>
        <v>1.2754974170848561E-6</v>
      </c>
      <c r="E28" s="22" t="s">
        <v>232</v>
      </c>
    </row>
    <row r="29" spans="1:5" x14ac:dyDescent="0.3">
      <c r="A29" s="16" t="s">
        <v>1032</v>
      </c>
      <c r="B29" s="18" t="s">
        <v>1030</v>
      </c>
      <c r="C29" s="18"/>
      <c r="D29" s="134">
        <f>7.9</f>
        <v>7.9</v>
      </c>
      <c r="E29" s="22" t="s">
        <v>855</v>
      </c>
    </row>
    <row r="30" spans="1:5" x14ac:dyDescent="0.3">
      <c r="A30" s="16" t="s">
        <v>1360</v>
      </c>
      <c r="B30" s="18" t="s">
        <v>214</v>
      </c>
      <c r="C30" s="18" t="s">
        <v>1361</v>
      </c>
      <c r="D30" s="153">
        <v>0.05</v>
      </c>
      <c r="E30" s="22" t="s">
        <v>2108</v>
      </c>
    </row>
    <row r="31" spans="1:5" x14ac:dyDescent="0.3">
      <c r="A31" s="16" t="s">
        <v>268</v>
      </c>
      <c r="B31" s="18" t="s">
        <v>274</v>
      </c>
      <c r="D31" s="27" t="s">
        <v>275</v>
      </c>
      <c r="E31" s="22" t="s">
        <v>273</v>
      </c>
    </row>
    <row r="32" spans="1:5" x14ac:dyDescent="0.3">
      <c r="A32" s="16" t="s">
        <v>269</v>
      </c>
      <c r="B32" s="18" t="s">
        <v>270</v>
      </c>
      <c r="C32" s="18"/>
      <c r="D32" s="27" t="s">
        <v>272</v>
      </c>
      <c r="E32" s="22" t="s">
        <v>273</v>
      </c>
    </row>
    <row r="33" spans="1:7" x14ac:dyDescent="0.3">
      <c r="A33" s="16" t="s">
        <v>813</v>
      </c>
      <c r="B33" s="18" t="s">
        <v>131</v>
      </c>
      <c r="C33" s="18"/>
      <c r="D33" s="27">
        <v>2</v>
      </c>
      <c r="E33" s="22" t="s">
        <v>273</v>
      </c>
    </row>
    <row r="34" spans="1:7" x14ac:dyDescent="0.3">
      <c r="A34" s="16" t="s">
        <v>814</v>
      </c>
      <c r="B34" s="18" t="s">
        <v>531</v>
      </c>
      <c r="C34" s="18" t="s">
        <v>1381</v>
      </c>
      <c r="D34" s="27">
        <v>500</v>
      </c>
      <c r="E34" s="22" t="s">
        <v>273</v>
      </c>
    </row>
    <row r="35" spans="1:7" x14ac:dyDescent="0.3">
      <c r="A35" s="16" t="s">
        <v>247</v>
      </c>
      <c r="B35" s="18" t="s">
        <v>225</v>
      </c>
      <c r="C35" s="18" t="s">
        <v>812</v>
      </c>
      <c r="D35" s="27">
        <v>1</v>
      </c>
      <c r="E35" s="33" t="s">
        <v>2106</v>
      </c>
    </row>
    <row r="36" spans="1:7" x14ac:dyDescent="0.3">
      <c r="A36" s="16" t="s">
        <v>2224</v>
      </c>
      <c r="B36" s="18" t="s">
        <v>226</v>
      </c>
      <c r="C36" s="18" t="s">
        <v>2218</v>
      </c>
      <c r="D36" s="138">
        <f>$D$25/$D$29</f>
        <v>405.0632911392405</v>
      </c>
      <c r="E36" s="22" t="s">
        <v>232</v>
      </c>
    </row>
    <row r="37" spans="1:7" x14ac:dyDescent="0.3">
      <c r="A37" s="16" t="s">
        <v>2225</v>
      </c>
      <c r="B37" s="18" t="s">
        <v>226</v>
      </c>
      <c r="C37" s="18" t="s">
        <v>2217</v>
      </c>
      <c r="D37" s="138">
        <f>$D$26/$D$29</f>
        <v>37.974683544303794</v>
      </c>
      <c r="E37" s="22" t="s">
        <v>232</v>
      </c>
    </row>
    <row r="38" spans="1:7" x14ac:dyDescent="0.3">
      <c r="A38" s="16" t="s">
        <v>2226</v>
      </c>
      <c r="B38" s="18" t="s">
        <v>226</v>
      </c>
      <c r="C38" s="18"/>
      <c r="D38" s="138">
        <f>SUM($D$36:$D$37)</f>
        <v>443.03797468354429</v>
      </c>
      <c r="E38" s="22"/>
    </row>
    <row r="39" spans="1:7" x14ac:dyDescent="0.3">
      <c r="A39" s="578" t="s">
        <v>351</v>
      </c>
      <c r="B39" s="543" t="s">
        <v>131</v>
      </c>
      <c r="C39" s="543"/>
      <c r="D39" s="693">
        <f>'2. PROCESS RECAP '!$E$39</f>
        <v>17</v>
      </c>
      <c r="E39" s="579" t="s">
        <v>2208</v>
      </c>
    </row>
    <row r="40" spans="1:7" ht="15" thickBot="1" x14ac:dyDescent="0.35">
      <c r="A40" s="634" t="s">
        <v>246</v>
      </c>
      <c r="B40" s="635" t="s">
        <v>225</v>
      </c>
      <c r="C40" s="719" t="s">
        <v>1031</v>
      </c>
      <c r="D40" s="720">
        <f>'2. PROCESS RECAP '!$H$39</f>
        <v>2</v>
      </c>
      <c r="E40" s="637" t="s">
        <v>2209</v>
      </c>
    </row>
    <row r="41" spans="1:7" x14ac:dyDescent="0.3">
      <c r="A41" s="1147" t="s">
        <v>291</v>
      </c>
      <c r="B41" s="1148"/>
      <c r="C41" s="1148"/>
      <c r="D41" s="1148"/>
      <c r="E41" s="1149"/>
    </row>
    <row r="42" spans="1:7" x14ac:dyDescent="0.3">
      <c r="A42" s="285" t="s">
        <v>716</v>
      </c>
      <c r="B42" s="15" t="s">
        <v>132</v>
      </c>
      <c r="C42" s="15" t="s">
        <v>1038</v>
      </c>
      <c r="D42" s="286">
        <f>($D$39*(($D$38+($D$38/3))/3600))*'1. USER INPUTS'!$E$23</f>
        <v>1.1984612943376553E-2</v>
      </c>
      <c r="E42" s="276" t="s">
        <v>232</v>
      </c>
      <c r="G42" s="2"/>
    </row>
    <row r="43" spans="1:7" x14ac:dyDescent="0.3">
      <c r="A43" s="287" t="s">
        <v>701</v>
      </c>
      <c r="B43" s="39" t="s">
        <v>128</v>
      </c>
      <c r="C43" s="15" t="s">
        <v>276</v>
      </c>
      <c r="D43" s="286">
        <f>$D$28/$D$30</f>
        <v>2.5509948341697122E-5</v>
      </c>
      <c r="E43" s="276" t="s">
        <v>232</v>
      </c>
    </row>
    <row r="44" spans="1:7" x14ac:dyDescent="0.3">
      <c r="A44" s="287" t="s">
        <v>381</v>
      </c>
      <c r="B44" s="39" t="s">
        <v>128</v>
      </c>
      <c r="C44" s="15" t="s">
        <v>815</v>
      </c>
      <c r="D44" s="286">
        <f>(($D$34*($D$38/60)*$D$24)*(1/(100*100*100)))*'1. USER INPUTS'!$E$23</f>
        <v>2.8297786091007931E-5</v>
      </c>
      <c r="E44" s="276" t="s">
        <v>232</v>
      </c>
    </row>
    <row r="45" spans="1:7" x14ac:dyDescent="0.3">
      <c r="A45" s="285" t="s">
        <v>716</v>
      </c>
      <c r="B45" s="39" t="s">
        <v>132</v>
      </c>
      <c r="C45" s="15" t="s">
        <v>828</v>
      </c>
      <c r="D45" s="286">
        <f>(5*(($D$38/3600)+(($D$38/3)/3600))*'1. USER INPUTS'!$E$23)</f>
        <v>3.5248861598166331E-3</v>
      </c>
      <c r="E45" s="276" t="s">
        <v>232</v>
      </c>
    </row>
    <row r="46" spans="1:7" x14ac:dyDescent="0.3">
      <c r="A46" s="285" t="s">
        <v>716</v>
      </c>
      <c r="B46" s="39" t="s">
        <v>132</v>
      </c>
      <c r="C46" s="15" t="s">
        <v>829</v>
      </c>
      <c r="D46" s="286">
        <f>(5*(($D$38/3600)+(($D$38/3)/3600))*'1. USER INPUTS'!$E$23)</f>
        <v>3.5248861598166331E-3</v>
      </c>
      <c r="E46" s="276" t="s">
        <v>232</v>
      </c>
    </row>
    <row r="47" spans="1:7" x14ac:dyDescent="0.3">
      <c r="A47" s="1128" t="s">
        <v>292</v>
      </c>
      <c r="B47" s="1129"/>
      <c r="C47" s="1129"/>
      <c r="D47" s="1129"/>
      <c r="E47" s="1130"/>
    </row>
    <row r="48" spans="1:7" x14ac:dyDescent="0.3">
      <c r="A48" s="16" t="s">
        <v>322</v>
      </c>
      <c r="B48" s="47" t="s">
        <v>293</v>
      </c>
      <c r="C48" s="18"/>
      <c r="D48" s="27">
        <v>1</v>
      </c>
      <c r="E48" s="22"/>
    </row>
    <row r="49" spans="1:5" x14ac:dyDescent="0.3">
      <c r="A49" s="116" t="s">
        <v>1884</v>
      </c>
      <c r="B49" s="112" t="s">
        <v>128</v>
      </c>
      <c r="C49" s="112" t="s">
        <v>1883</v>
      </c>
      <c r="D49" s="115">
        <f>($D$43-$D$28)</f>
        <v>2.4234450924612264E-5</v>
      </c>
      <c r="E49" s="282" t="s">
        <v>232</v>
      </c>
    </row>
    <row r="50" spans="1:5" ht="15" thickBot="1" x14ac:dyDescent="0.35">
      <c r="A50" s="110" t="s">
        <v>2247</v>
      </c>
      <c r="B50" s="111" t="s">
        <v>128</v>
      </c>
      <c r="C50" s="111" t="s">
        <v>2219</v>
      </c>
      <c r="D50" s="117">
        <f>$D$44</f>
        <v>2.8297786091007931E-5</v>
      </c>
      <c r="E50" s="283" t="s">
        <v>232</v>
      </c>
    </row>
    <row r="51" spans="1:5" x14ac:dyDescent="0.3">
      <c r="A51" s="1163"/>
      <c r="B51" s="1164"/>
      <c r="C51" s="1164"/>
      <c r="D51" s="1164"/>
      <c r="E51" s="1165"/>
    </row>
    <row r="52" spans="1:5" ht="15" thickBot="1" x14ac:dyDescent="0.35">
      <c r="A52" s="1166"/>
      <c r="B52" s="1167"/>
      <c r="C52" s="1167"/>
      <c r="D52" s="1167"/>
      <c r="E52" s="1168"/>
    </row>
    <row r="53" spans="1:5" ht="30" customHeight="1" thickBot="1" x14ac:dyDescent="0.35">
      <c r="A53" s="638" t="s">
        <v>2127</v>
      </c>
      <c r="B53" s="35" t="s">
        <v>142</v>
      </c>
      <c r="C53" s="21" t="s">
        <v>256</v>
      </c>
      <c r="D53" s="26" t="s">
        <v>236</v>
      </c>
      <c r="E53" s="23" t="s">
        <v>212</v>
      </c>
    </row>
    <row r="54" spans="1:5" x14ac:dyDescent="0.3">
      <c r="A54" s="274" t="s">
        <v>266</v>
      </c>
      <c r="B54" s="226" t="s">
        <v>225</v>
      </c>
      <c r="C54" s="226" t="s">
        <v>2221</v>
      </c>
      <c r="D54" s="700" t="s">
        <v>210</v>
      </c>
      <c r="E54" s="24" t="s">
        <v>2106</v>
      </c>
    </row>
    <row r="55" spans="1:5" x14ac:dyDescent="0.3">
      <c r="A55" s="16" t="s">
        <v>2028</v>
      </c>
      <c r="B55" s="18" t="s">
        <v>225</v>
      </c>
      <c r="C55" s="18" t="s">
        <v>2070</v>
      </c>
      <c r="D55" s="27" t="s">
        <v>210</v>
      </c>
      <c r="E55" s="22" t="s">
        <v>2106</v>
      </c>
    </row>
    <row r="56" spans="1:5" x14ac:dyDescent="0.3">
      <c r="A56" s="119" t="s">
        <v>188</v>
      </c>
      <c r="B56" s="103" t="s">
        <v>309</v>
      </c>
      <c r="C56" s="103"/>
      <c r="D56" s="141">
        <f>'1. USER INPUTS'!$E$12</f>
        <v>200</v>
      </c>
      <c r="E56" s="33" t="s">
        <v>398</v>
      </c>
    </row>
    <row r="57" spans="1:5" x14ac:dyDescent="0.3">
      <c r="A57" s="16" t="s">
        <v>235</v>
      </c>
      <c r="B57" s="18" t="s">
        <v>231</v>
      </c>
      <c r="C57" s="18"/>
      <c r="D57" s="137">
        <f>PI()*(($D$56/1000)/2)^2</f>
        <v>3.1415926535897934E-2</v>
      </c>
      <c r="E57" s="22" t="s">
        <v>232</v>
      </c>
    </row>
    <row r="58" spans="1:5" x14ac:dyDescent="0.3">
      <c r="A58" s="16" t="s">
        <v>809</v>
      </c>
      <c r="B58" s="18" t="s">
        <v>129</v>
      </c>
      <c r="C58" s="18" t="s">
        <v>239</v>
      </c>
      <c r="D58" s="27">
        <f>'25. CHEM. &amp; MAT.'!$F$9</f>
        <v>4500</v>
      </c>
      <c r="E58" s="22" t="s">
        <v>1581</v>
      </c>
    </row>
    <row r="59" spans="1:5" x14ac:dyDescent="0.3">
      <c r="A59" s="16" t="s">
        <v>810</v>
      </c>
      <c r="B59" s="18" t="s">
        <v>129</v>
      </c>
      <c r="C59" s="18" t="s">
        <v>811</v>
      </c>
      <c r="D59" s="134">
        <f>'25. CHEM. &amp; MAT.'!$F$15</f>
        <v>1.784</v>
      </c>
      <c r="E59" s="22" t="s">
        <v>1581</v>
      </c>
    </row>
    <row r="60" spans="1:5" x14ac:dyDescent="0.3">
      <c r="A60" s="16" t="s">
        <v>762</v>
      </c>
      <c r="B60" s="18" t="s">
        <v>281</v>
      </c>
      <c r="C60" s="18" t="s">
        <v>1358</v>
      </c>
      <c r="D60" s="27">
        <v>300</v>
      </c>
      <c r="E60" s="22" t="s">
        <v>2211</v>
      </c>
    </row>
    <row r="61" spans="1:5" x14ac:dyDescent="0.3">
      <c r="A61" s="16" t="s">
        <v>1354</v>
      </c>
      <c r="B61" s="18" t="s">
        <v>128</v>
      </c>
      <c r="C61" s="18"/>
      <c r="D61" s="137">
        <f>($D$60*0.000000001)*$D$57*$D$58</f>
        <v>4.2411500823462215E-5</v>
      </c>
      <c r="E61" s="22" t="s">
        <v>232</v>
      </c>
    </row>
    <row r="62" spans="1:5" x14ac:dyDescent="0.3">
      <c r="A62" s="16" t="s">
        <v>1355</v>
      </c>
      <c r="B62" s="18" t="s">
        <v>128</v>
      </c>
      <c r="C62" s="18"/>
      <c r="D62" s="137">
        <f>$D$61*'1. USER INPUTS'!$E$23</f>
        <v>1.82213916726408E-7</v>
      </c>
      <c r="E62" s="22" t="s">
        <v>232</v>
      </c>
    </row>
    <row r="63" spans="1:5" x14ac:dyDescent="0.3">
      <c r="A63" s="16" t="s">
        <v>1032</v>
      </c>
      <c r="B63" s="18" t="s">
        <v>1030</v>
      </c>
      <c r="C63" s="18"/>
      <c r="D63" s="134">
        <f>1.25</f>
        <v>1.25</v>
      </c>
      <c r="E63" s="22" t="s">
        <v>855</v>
      </c>
    </row>
    <row r="64" spans="1:5" x14ac:dyDescent="0.3">
      <c r="A64" s="16" t="s">
        <v>1360</v>
      </c>
      <c r="B64" s="18" t="s">
        <v>214</v>
      </c>
      <c r="C64" s="18" t="s">
        <v>1361</v>
      </c>
      <c r="D64" s="153">
        <v>0.05</v>
      </c>
      <c r="E64" s="22" t="s">
        <v>2108</v>
      </c>
    </row>
    <row r="65" spans="1:7" x14ac:dyDescent="0.3">
      <c r="A65" s="16" t="s">
        <v>268</v>
      </c>
      <c r="B65" s="18" t="s">
        <v>274</v>
      </c>
      <c r="C65" s="18" t="s">
        <v>464</v>
      </c>
      <c r="D65" s="27" t="s">
        <v>275</v>
      </c>
      <c r="E65" s="22" t="s">
        <v>273</v>
      </c>
    </row>
    <row r="66" spans="1:7" x14ac:dyDescent="0.3">
      <c r="A66" s="16" t="s">
        <v>269</v>
      </c>
      <c r="B66" s="18" t="s">
        <v>270</v>
      </c>
      <c r="C66" s="18"/>
      <c r="D66" s="27" t="s">
        <v>272</v>
      </c>
      <c r="E66" s="22" t="s">
        <v>273</v>
      </c>
    </row>
    <row r="67" spans="1:7" x14ac:dyDescent="0.3">
      <c r="A67" s="16" t="s">
        <v>813</v>
      </c>
      <c r="B67" s="18" t="s">
        <v>131</v>
      </c>
      <c r="C67" s="18"/>
      <c r="D67" s="27">
        <v>2</v>
      </c>
      <c r="E67" s="22" t="s">
        <v>273</v>
      </c>
    </row>
    <row r="68" spans="1:7" x14ac:dyDescent="0.3">
      <c r="A68" s="16" t="s">
        <v>814</v>
      </c>
      <c r="B68" s="18" t="s">
        <v>531</v>
      </c>
      <c r="C68" s="18" t="s">
        <v>1381</v>
      </c>
      <c r="D68" s="27">
        <v>500</v>
      </c>
      <c r="E68" s="22" t="s">
        <v>273</v>
      </c>
    </row>
    <row r="69" spans="1:7" x14ac:dyDescent="0.3">
      <c r="A69" s="16" t="s">
        <v>247</v>
      </c>
      <c r="B69" s="18" t="s">
        <v>225</v>
      </c>
      <c r="C69" s="18" t="s">
        <v>812</v>
      </c>
      <c r="D69" s="27">
        <v>1</v>
      </c>
      <c r="E69" s="22" t="s">
        <v>2106</v>
      </c>
    </row>
    <row r="70" spans="1:7" x14ac:dyDescent="0.3">
      <c r="A70" s="16" t="s">
        <v>2226</v>
      </c>
      <c r="B70" s="18" t="s">
        <v>226</v>
      </c>
      <c r="C70" s="18" t="s">
        <v>1033</v>
      </c>
      <c r="D70" s="27">
        <f>($D$60/$D$63)</f>
        <v>240</v>
      </c>
      <c r="E70" s="22" t="s">
        <v>232</v>
      </c>
    </row>
    <row r="71" spans="1:7" x14ac:dyDescent="0.3">
      <c r="A71" s="578" t="s">
        <v>351</v>
      </c>
      <c r="B71" s="543" t="s">
        <v>131</v>
      </c>
      <c r="C71" s="543"/>
      <c r="D71" s="720">
        <f>'2. PROCESS RECAP '!$E$38</f>
        <v>17</v>
      </c>
      <c r="E71" s="579" t="s">
        <v>2208</v>
      </c>
    </row>
    <row r="72" spans="1:7" ht="15" thickBot="1" x14ac:dyDescent="0.35">
      <c r="A72" s="634" t="s">
        <v>246</v>
      </c>
      <c r="B72" s="635" t="s">
        <v>225</v>
      </c>
      <c r="C72" s="635" t="s">
        <v>2220</v>
      </c>
      <c r="D72" s="636">
        <f>'2. PROCESS RECAP '!$H$38</f>
        <v>2</v>
      </c>
      <c r="E72" s="637" t="s">
        <v>2209</v>
      </c>
    </row>
    <row r="73" spans="1:7" x14ac:dyDescent="0.3">
      <c r="A73" s="1147" t="s">
        <v>291</v>
      </c>
      <c r="B73" s="1148"/>
      <c r="C73" s="1148"/>
      <c r="D73" s="1148"/>
      <c r="E73" s="1149"/>
    </row>
    <row r="74" spans="1:7" x14ac:dyDescent="0.3">
      <c r="A74" s="285" t="s">
        <v>716</v>
      </c>
      <c r="B74" s="15" t="s">
        <v>132</v>
      </c>
      <c r="C74" s="15" t="s">
        <v>1038</v>
      </c>
      <c r="D74" s="286">
        <f>($D$71*(($D$70+($D$70/3))/3600))*'1. USER INPUTS'!$E$23</f>
        <v>6.4922360401834123E-3</v>
      </c>
      <c r="E74" s="276" t="s">
        <v>232</v>
      </c>
      <c r="G74" s="2"/>
    </row>
    <row r="75" spans="1:7" x14ac:dyDescent="0.3">
      <c r="A75" s="287" t="s">
        <v>703</v>
      </c>
      <c r="B75" s="39" t="s">
        <v>128</v>
      </c>
      <c r="C75" s="15" t="s">
        <v>277</v>
      </c>
      <c r="D75" s="286">
        <f>$D$62/$D$64</f>
        <v>3.6442783345281597E-6</v>
      </c>
      <c r="E75" s="276" t="s">
        <v>232</v>
      </c>
    </row>
    <row r="76" spans="1:7" x14ac:dyDescent="0.3">
      <c r="A76" s="287" t="s">
        <v>381</v>
      </c>
      <c r="B76" s="39" t="s">
        <v>128</v>
      </c>
      <c r="C76" s="15" t="s">
        <v>815</v>
      </c>
      <c r="D76" s="286">
        <f>(($D$68*($D$70/60))*(1/(100*100*100)))*$D$59*'1. USER INPUTS'!$E$23</f>
        <v>1.5329314979586011E-5</v>
      </c>
      <c r="E76" s="276" t="s">
        <v>232</v>
      </c>
    </row>
    <row r="77" spans="1:7" x14ac:dyDescent="0.3">
      <c r="A77" s="285" t="s">
        <v>716</v>
      </c>
      <c r="B77" s="39" t="s">
        <v>132</v>
      </c>
      <c r="C77" s="15" t="s">
        <v>828</v>
      </c>
      <c r="D77" s="286">
        <f>5*(($D$70/3600)+(($D$70/3)/3600))*'1. USER INPUTS'!$E$23</f>
        <v>1.9094811882892392E-3</v>
      </c>
      <c r="E77" s="276" t="s">
        <v>232</v>
      </c>
    </row>
    <row r="78" spans="1:7" x14ac:dyDescent="0.3">
      <c r="A78" s="285" t="s">
        <v>716</v>
      </c>
      <c r="B78" s="39" t="s">
        <v>132</v>
      </c>
      <c r="C78" s="15" t="s">
        <v>829</v>
      </c>
      <c r="D78" s="286">
        <f>5*(($D$70/3600)+(($D$70/3)/3600))*'1. USER INPUTS'!$E$23</f>
        <v>1.9094811882892392E-3</v>
      </c>
      <c r="E78" s="276" t="s">
        <v>232</v>
      </c>
    </row>
    <row r="79" spans="1:7" x14ac:dyDescent="0.3">
      <c r="A79" s="1128" t="s">
        <v>292</v>
      </c>
      <c r="B79" s="1129"/>
      <c r="C79" s="1129"/>
      <c r="D79" s="1129"/>
      <c r="E79" s="1130"/>
    </row>
    <row r="80" spans="1:7" x14ac:dyDescent="0.3">
      <c r="A80" s="16" t="s">
        <v>322</v>
      </c>
      <c r="B80" s="47" t="s">
        <v>293</v>
      </c>
      <c r="C80" s="18"/>
      <c r="D80" s="27">
        <v>1</v>
      </c>
      <c r="E80" s="22"/>
    </row>
    <row r="81" spans="1:5" x14ac:dyDescent="0.3">
      <c r="A81" s="116" t="s">
        <v>1884</v>
      </c>
      <c r="B81" s="112" t="s">
        <v>128</v>
      </c>
      <c r="C81" s="112" t="s">
        <v>1881</v>
      </c>
      <c r="D81" s="115">
        <f>($D$75-$D$62)</f>
        <v>3.4620644178017517E-6</v>
      </c>
      <c r="E81" s="282" t="s">
        <v>232</v>
      </c>
    </row>
    <row r="82" spans="1:5" ht="15" thickBot="1" x14ac:dyDescent="0.35">
      <c r="A82" s="110" t="s">
        <v>2247</v>
      </c>
      <c r="B82" s="111" t="s">
        <v>128</v>
      </c>
      <c r="C82" s="111" t="s">
        <v>2219</v>
      </c>
      <c r="D82" s="117">
        <f>$D$76</f>
        <v>1.5329314979586011E-5</v>
      </c>
      <c r="E82" s="283" t="s">
        <v>232</v>
      </c>
    </row>
    <row r="83" spans="1:5" x14ac:dyDescent="0.3">
      <c r="A83" s="1163"/>
      <c r="B83" s="1164"/>
      <c r="C83" s="1164"/>
      <c r="D83" s="1164"/>
      <c r="E83" s="1165"/>
    </row>
    <row r="84" spans="1:5" ht="15" thickBot="1" x14ac:dyDescent="0.35">
      <c r="A84" s="1166"/>
      <c r="B84" s="1167"/>
      <c r="C84" s="1167"/>
      <c r="D84" s="1167"/>
      <c r="E84" s="1168"/>
    </row>
    <row r="85" spans="1:5" ht="30" customHeight="1" thickBot="1" x14ac:dyDescent="0.35">
      <c r="A85" s="638" t="s">
        <v>2129</v>
      </c>
      <c r="B85" s="35" t="s">
        <v>142</v>
      </c>
      <c r="C85" s="21" t="s">
        <v>256</v>
      </c>
      <c r="D85" s="26" t="s">
        <v>236</v>
      </c>
      <c r="E85" s="23" t="s">
        <v>212</v>
      </c>
    </row>
    <row r="86" spans="1:5" x14ac:dyDescent="0.3">
      <c r="A86" s="274" t="s">
        <v>266</v>
      </c>
      <c r="B86" s="226" t="s">
        <v>225</v>
      </c>
      <c r="C86" s="226" t="s">
        <v>2222</v>
      </c>
      <c r="D86" s="700" t="s">
        <v>210</v>
      </c>
      <c r="E86" s="24" t="s">
        <v>2106</v>
      </c>
    </row>
    <row r="87" spans="1:5" x14ac:dyDescent="0.3">
      <c r="A87" s="18" t="s">
        <v>2028</v>
      </c>
      <c r="B87" s="18" t="s">
        <v>225</v>
      </c>
      <c r="C87" s="18" t="s">
        <v>2070</v>
      </c>
      <c r="D87" s="27" t="s">
        <v>210</v>
      </c>
      <c r="E87" s="27" t="s">
        <v>2106</v>
      </c>
    </row>
    <row r="88" spans="1:5" x14ac:dyDescent="0.3">
      <c r="A88" s="119" t="s">
        <v>188</v>
      </c>
      <c r="B88" s="103" t="s">
        <v>309</v>
      </c>
      <c r="C88" s="103"/>
      <c r="D88" s="141">
        <f>'1. USER INPUTS'!$E$12</f>
        <v>200</v>
      </c>
      <c r="E88" s="33" t="s">
        <v>398</v>
      </c>
    </row>
    <row r="89" spans="1:5" x14ac:dyDescent="0.3">
      <c r="A89" s="16" t="s">
        <v>235</v>
      </c>
      <c r="B89" s="18" t="s">
        <v>231</v>
      </c>
      <c r="C89" s="18"/>
      <c r="D89" s="137">
        <f>PI()*(($D$88/1000)/2)^2</f>
        <v>3.1415926535897934E-2</v>
      </c>
      <c r="E89" s="22" t="s">
        <v>232</v>
      </c>
    </row>
    <row r="90" spans="1:5" x14ac:dyDescent="0.3">
      <c r="A90" s="16" t="s">
        <v>809</v>
      </c>
      <c r="B90" s="18" t="s">
        <v>129</v>
      </c>
      <c r="C90" s="18" t="s">
        <v>897</v>
      </c>
      <c r="D90" s="138">
        <f>'25. CHEM. &amp; MAT.'!$F$10</f>
        <v>8900</v>
      </c>
      <c r="E90" s="22" t="s">
        <v>1581</v>
      </c>
    </row>
    <row r="91" spans="1:5" x14ac:dyDescent="0.3">
      <c r="A91" s="16" t="s">
        <v>810</v>
      </c>
      <c r="B91" s="18" t="s">
        <v>129</v>
      </c>
      <c r="C91" s="18" t="s">
        <v>811</v>
      </c>
      <c r="D91" s="134">
        <f>'25. CHEM. &amp; MAT.'!$F$15</f>
        <v>1.784</v>
      </c>
      <c r="E91" s="22" t="s">
        <v>1581</v>
      </c>
    </row>
    <row r="92" spans="1:5" x14ac:dyDescent="0.3">
      <c r="A92" s="16" t="s">
        <v>762</v>
      </c>
      <c r="B92" s="18" t="s">
        <v>281</v>
      </c>
      <c r="C92" s="18" t="s">
        <v>1357</v>
      </c>
      <c r="D92" s="27">
        <v>500</v>
      </c>
      <c r="E92" s="22" t="s">
        <v>2211</v>
      </c>
    </row>
    <row r="93" spans="1:5" x14ac:dyDescent="0.3">
      <c r="A93" s="16" t="s">
        <v>1354</v>
      </c>
      <c r="B93" s="18" t="s">
        <v>128</v>
      </c>
      <c r="C93" s="18"/>
      <c r="D93" s="137">
        <f>($D$92*0.000000001)*$D$89*$D$90</f>
        <v>1.3980087308474581E-4</v>
      </c>
      <c r="E93" s="22" t="s">
        <v>232</v>
      </c>
    </row>
    <row r="94" spans="1:5" x14ac:dyDescent="0.3">
      <c r="A94" s="16" t="s">
        <v>1355</v>
      </c>
      <c r="B94" s="18" t="s">
        <v>128</v>
      </c>
      <c r="C94" s="18"/>
      <c r="D94" s="137">
        <f>$D$93*'1. USER INPUTS'!$E$23</f>
        <v>6.006310588389004E-7</v>
      </c>
      <c r="E94" s="22" t="s">
        <v>232</v>
      </c>
    </row>
    <row r="95" spans="1:5" x14ac:dyDescent="0.3">
      <c r="A95" s="16" t="s">
        <v>1032</v>
      </c>
      <c r="B95" s="18" t="s">
        <v>1030</v>
      </c>
      <c r="C95" s="18"/>
      <c r="D95" s="139">
        <f>2.77</f>
        <v>2.77</v>
      </c>
      <c r="E95" s="22" t="s">
        <v>855</v>
      </c>
    </row>
    <row r="96" spans="1:5" x14ac:dyDescent="0.3">
      <c r="A96" s="16" t="s">
        <v>1360</v>
      </c>
      <c r="B96" s="18" t="s">
        <v>214</v>
      </c>
      <c r="C96" s="18" t="s">
        <v>1361</v>
      </c>
      <c r="D96" s="153">
        <v>0.05</v>
      </c>
      <c r="E96" s="22" t="s">
        <v>2108</v>
      </c>
    </row>
    <row r="97" spans="1:7" x14ac:dyDescent="0.3">
      <c r="A97" s="16" t="s">
        <v>268</v>
      </c>
      <c r="B97" s="18" t="s">
        <v>274</v>
      </c>
      <c r="C97" s="18" t="s">
        <v>464</v>
      </c>
      <c r="D97" s="27" t="s">
        <v>275</v>
      </c>
      <c r="E97" s="22" t="s">
        <v>273</v>
      </c>
    </row>
    <row r="98" spans="1:7" x14ac:dyDescent="0.3">
      <c r="A98" s="16" t="s">
        <v>269</v>
      </c>
      <c r="B98" s="18" t="s">
        <v>270</v>
      </c>
      <c r="C98" s="18" t="s">
        <v>361</v>
      </c>
      <c r="D98" s="27" t="s">
        <v>272</v>
      </c>
      <c r="E98" s="22" t="s">
        <v>273</v>
      </c>
    </row>
    <row r="99" spans="1:7" x14ac:dyDescent="0.3">
      <c r="A99" s="16" t="s">
        <v>813</v>
      </c>
      <c r="B99" s="18" t="s">
        <v>131</v>
      </c>
      <c r="C99" s="18"/>
      <c r="D99" s="27">
        <v>2</v>
      </c>
      <c r="E99" s="22" t="s">
        <v>273</v>
      </c>
    </row>
    <row r="100" spans="1:7" x14ac:dyDescent="0.3">
      <c r="A100" s="16" t="s">
        <v>814</v>
      </c>
      <c r="B100" s="18" t="s">
        <v>531</v>
      </c>
      <c r="C100" s="18" t="s">
        <v>1381</v>
      </c>
      <c r="D100" s="27">
        <v>500</v>
      </c>
      <c r="E100" s="22" t="s">
        <v>273</v>
      </c>
    </row>
    <row r="101" spans="1:7" x14ac:dyDescent="0.3">
      <c r="A101" s="16" t="s">
        <v>247</v>
      </c>
      <c r="B101" s="18" t="s">
        <v>225</v>
      </c>
      <c r="C101" s="18" t="s">
        <v>812</v>
      </c>
      <c r="D101" s="27">
        <v>1</v>
      </c>
      <c r="E101" s="22" t="s">
        <v>2106</v>
      </c>
    </row>
    <row r="102" spans="1:7" x14ac:dyDescent="0.3">
      <c r="A102" s="16" t="s">
        <v>858</v>
      </c>
      <c r="B102" s="18" t="s">
        <v>226</v>
      </c>
      <c r="C102" s="18" t="s">
        <v>1823</v>
      </c>
      <c r="D102" s="27">
        <v>180</v>
      </c>
      <c r="E102" s="22" t="s">
        <v>232</v>
      </c>
    </row>
    <row r="103" spans="1:7" x14ac:dyDescent="0.3">
      <c r="A103" s="578" t="s">
        <v>351</v>
      </c>
      <c r="B103" s="543" t="s">
        <v>131</v>
      </c>
      <c r="C103" s="543"/>
      <c r="D103" s="720">
        <f>'2. PROCESS RECAP '!$E$40</f>
        <v>17</v>
      </c>
      <c r="E103" s="579" t="s">
        <v>2208</v>
      </c>
    </row>
    <row r="104" spans="1:7" ht="15" thickBot="1" x14ac:dyDescent="0.35">
      <c r="A104" s="634" t="s">
        <v>246</v>
      </c>
      <c r="B104" s="635" t="s">
        <v>225</v>
      </c>
      <c r="C104" s="635" t="s">
        <v>1823</v>
      </c>
      <c r="D104" s="720">
        <f>'2. PROCESS RECAP '!$H$40</f>
        <v>1</v>
      </c>
      <c r="E104" s="637" t="s">
        <v>2209</v>
      </c>
    </row>
    <row r="105" spans="1:7" x14ac:dyDescent="0.3">
      <c r="A105" s="1147" t="s">
        <v>291</v>
      </c>
      <c r="B105" s="1148"/>
      <c r="C105" s="1148"/>
      <c r="D105" s="1148"/>
      <c r="E105" s="1149"/>
    </row>
    <row r="106" spans="1:7" x14ac:dyDescent="0.3">
      <c r="A106" s="285" t="s">
        <v>716</v>
      </c>
      <c r="B106" s="15" t="s">
        <v>132</v>
      </c>
      <c r="C106" s="15" t="s">
        <v>1038</v>
      </c>
      <c r="D106" s="286">
        <f>($D$103*(($D$102+($D$102/3))/3600))*'1. USER INPUTS'!$E$23</f>
        <v>4.8691770301375597E-3</v>
      </c>
      <c r="E106" s="276" t="s">
        <v>232</v>
      </c>
      <c r="G106" s="2"/>
    </row>
    <row r="107" spans="1:7" x14ac:dyDescent="0.3">
      <c r="A107" s="287" t="s">
        <v>705</v>
      </c>
      <c r="B107" s="39" t="s">
        <v>128</v>
      </c>
      <c r="C107" s="15" t="s">
        <v>1035</v>
      </c>
      <c r="D107" s="286">
        <f>$D$94/$D$96</f>
        <v>1.2012621176778007E-5</v>
      </c>
      <c r="E107" s="276" t="s">
        <v>232</v>
      </c>
    </row>
    <row r="108" spans="1:7" x14ac:dyDescent="0.3">
      <c r="A108" s="287" t="s">
        <v>381</v>
      </c>
      <c r="B108" s="39" t="s">
        <v>128</v>
      </c>
      <c r="C108" s="15" t="s">
        <v>815</v>
      </c>
      <c r="D108" s="286">
        <f>(($D$100*($D$102/60))*(1/(100*100*100)))*$D$91*'1. USER INPUTS'!$E$23</f>
        <v>1.1496986234689508E-5</v>
      </c>
      <c r="E108" s="276" t="s">
        <v>232</v>
      </c>
    </row>
    <row r="109" spans="1:7" x14ac:dyDescent="0.3">
      <c r="A109" s="285" t="s">
        <v>716</v>
      </c>
      <c r="B109" s="39" t="s">
        <v>132</v>
      </c>
      <c r="C109" s="15" t="s">
        <v>828</v>
      </c>
      <c r="D109" s="286">
        <f>5*(($D$102/3600)+(($D$102/3)/3600))*'1. USER INPUTS'!$E$23</f>
        <v>1.4321108912169291E-3</v>
      </c>
      <c r="E109" s="276" t="s">
        <v>232</v>
      </c>
    </row>
    <row r="110" spans="1:7" x14ac:dyDescent="0.3">
      <c r="A110" s="285" t="s">
        <v>716</v>
      </c>
      <c r="B110" s="39" t="s">
        <v>132</v>
      </c>
      <c r="C110" s="15" t="s">
        <v>829</v>
      </c>
      <c r="D110" s="286">
        <f>5*(($D$102/3600)+(($D$102/3)/3600))*'1. USER INPUTS'!$E$23</f>
        <v>1.4321108912169291E-3</v>
      </c>
      <c r="E110" s="276" t="s">
        <v>232</v>
      </c>
    </row>
    <row r="111" spans="1:7" x14ac:dyDescent="0.3">
      <c r="A111" s="1128" t="s">
        <v>292</v>
      </c>
      <c r="B111" s="1129"/>
      <c r="C111" s="1129"/>
      <c r="D111" s="1129"/>
      <c r="E111" s="1130"/>
    </row>
    <row r="112" spans="1:7" x14ac:dyDescent="0.3">
      <c r="A112" s="16" t="s">
        <v>322</v>
      </c>
      <c r="B112" s="47" t="s">
        <v>293</v>
      </c>
      <c r="C112" s="18"/>
      <c r="D112" s="27">
        <v>1</v>
      </c>
      <c r="E112" s="22"/>
    </row>
    <row r="113" spans="1:5" x14ac:dyDescent="0.3">
      <c r="A113" s="116" t="s">
        <v>1884</v>
      </c>
      <c r="B113" s="112" t="s">
        <v>128</v>
      </c>
      <c r="C113" s="112" t="s">
        <v>1881</v>
      </c>
      <c r="D113" s="115">
        <f>($D$107-$D$94)</f>
        <v>1.1411990117939107E-5</v>
      </c>
      <c r="E113" s="282" t="s">
        <v>232</v>
      </c>
    </row>
    <row r="114" spans="1:5" ht="15" thickBot="1" x14ac:dyDescent="0.35">
      <c r="A114" s="110" t="s">
        <v>2247</v>
      </c>
      <c r="B114" s="111" t="s">
        <v>128</v>
      </c>
      <c r="C114" s="111" t="s">
        <v>2219</v>
      </c>
      <c r="D114" s="117">
        <f>$D$108</f>
        <v>1.1496986234689508E-5</v>
      </c>
      <c r="E114" s="283" t="s">
        <v>232</v>
      </c>
    </row>
    <row r="115" spans="1:5" x14ac:dyDescent="0.3">
      <c r="A115" s="1163"/>
      <c r="B115" s="1164"/>
      <c r="C115" s="1164"/>
      <c r="D115" s="1164"/>
      <c r="E115" s="1165"/>
    </row>
    <row r="116" spans="1:5" ht="15" thickBot="1" x14ac:dyDescent="0.35">
      <c r="A116" s="1166"/>
      <c r="B116" s="1167"/>
      <c r="C116" s="1167"/>
      <c r="D116" s="1167"/>
      <c r="E116" s="1168"/>
    </row>
    <row r="117" spans="1:5" ht="30" customHeight="1" thickBot="1" x14ac:dyDescent="0.35">
      <c r="A117" s="638" t="s">
        <v>2130</v>
      </c>
      <c r="B117" s="35" t="s">
        <v>142</v>
      </c>
      <c r="C117" s="21" t="s">
        <v>256</v>
      </c>
      <c r="D117" s="26" t="s">
        <v>236</v>
      </c>
      <c r="E117" s="23" t="s">
        <v>212</v>
      </c>
    </row>
    <row r="118" spans="1:5" x14ac:dyDescent="0.3">
      <c r="A118" s="274" t="s">
        <v>266</v>
      </c>
      <c r="B118" s="226" t="s">
        <v>225</v>
      </c>
      <c r="C118" s="226" t="s">
        <v>2223</v>
      </c>
      <c r="D118" s="700" t="s">
        <v>210</v>
      </c>
      <c r="E118" s="24" t="s">
        <v>2106</v>
      </c>
    </row>
    <row r="119" spans="1:5" x14ac:dyDescent="0.3">
      <c r="A119" s="18" t="s">
        <v>2028</v>
      </c>
      <c r="B119" s="18" t="s">
        <v>225</v>
      </c>
      <c r="C119" s="18" t="s">
        <v>2070</v>
      </c>
      <c r="D119" s="27" t="s">
        <v>210</v>
      </c>
      <c r="E119" s="27" t="s">
        <v>2106</v>
      </c>
    </row>
    <row r="120" spans="1:5" x14ac:dyDescent="0.3">
      <c r="A120" s="18" t="s">
        <v>188</v>
      </c>
      <c r="B120" s="18" t="s">
        <v>309</v>
      </c>
      <c r="C120" s="18"/>
      <c r="D120" s="27">
        <f>'1. USER INPUTS'!$E$12</f>
        <v>200</v>
      </c>
      <c r="E120" s="27" t="s">
        <v>398</v>
      </c>
    </row>
    <row r="121" spans="1:5" x14ac:dyDescent="0.3">
      <c r="A121" s="16" t="s">
        <v>235</v>
      </c>
      <c r="B121" s="18" t="s">
        <v>231</v>
      </c>
      <c r="C121" s="18"/>
      <c r="D121" s="137">
        <f>PI()*(($D$120/1000)/2)^2</f>
        <v>3.1415926535897934E-2</v>
      </c>
      <c r="E121" s="22" t="s">
        <v>232</v>
      </c>
    </row>
    <row r="122" spans="1:5" x14ac:dyDescent="0.3">
      <c r="A122" s="16" t="s">
        <v>809</v>
      </c>
      <c r="B122" s="18" t="s">
        <v>129</v>
      </c>
      <c r="C122" s="18" t="s">
        <v>1034</v>
      </c>
      <c r="D122" s="134">
        <f>'25. CHEM. &amp; MAT.'!$F$11</f>
        <v>10503</v>
      </c>
      <c r="E122" s="22" t="s">
        <v>1581</v>
      </c>
    </row>
    <row r="123" spans="1:5" x14ac:dyDescent="0.3">
      <c r="A123" s="16" t="s">
        <v>810</v>
      </c>
      <c r="B123" s="18" t="s">
        <v>129</v>
      </c>
      <c r="C123" s="18" t="s">
        <v>811</v>
      </c>
      <c r="D123" s="134">
        <f>'25. CHEM. &amp; MAT.'!$F$15</f>
        <v>1.784</v>
      </c>
      <c r="E123" s="22" t="s">
        <v>1581</v>
      </c>
    </row>
    <row r="124" spans="1:5" x14ac:dyDescent="0.3">
      <c r="A124" s="16" t="s">
        <v>762</v>
      </c>
      <c r="B124" s="18" t="s">
        <v>281</v>
      </c>
      <c r="C124" s="18" t="s">
        <v>1356</v>
      </c>
      <c r="D124" s="27">
        <v>200</v>
      </c>
      <c r="E124" s="22" t="s">
        <v>2211</v>
      </c>
    </row>
    <row r="125" spans="1:5" x14ac:dyDescent="0.3">
      <c r="A125" s="16" t="s">
        <v>1354</v>
      </c>
      <c r="B125" s="18" t="s">
        <v>128</v>
      </c>
      <c r="C125" s="18"/>
      <c r="D125" s="137">
        <f>($D$124*0.000000001)*$D$121*$D$122</f>
        <v>6.5992295281307205E-5</v>
      </c>
      <c r="E125" s="22" t="s">
        <v>232</v>
      </c>
    </row>
    <row r="126" spans="1:5" x14ac:dyDescent="0.3">
      <c r="A126" s="16" t="s">
        <v>1355</v>
      </c>
      <c r="B126" s="18" t="s">
        <v>128</v>
      </c>
      <c r="C126" s="18"/>
      <c r="D126" s="137">
        <f>$D$125*'1. USER INPUTS'!$E$23</f>
        <v>2.8352485442629084E-7</v>
      </c>
      <c r="E126" s="22" t="s">
        <v>232</v>
      </c>
    </row>
    <row r="127" spans="1:5" x14ac:dyDescent="0.3">
      <c r="A127" s="16" t="s">
        <v>1032</v>
      </c>
      <c r="B127" s="18" t="s">
        <v>1030</v>
      </c>
      <c r="C127" s="18"/>
      <c r="D127" s="134">
        <f>1.7</f>
        <v>1.7</v>
      </c>
      <c r="E127" s="22" t="s">
        <v>855</v>
      </c>
    </row>
    <row r="128" spans="1:5" x14ac:dyDescent="0.3">
      <c r="A128" s="16" t="s">
        <v>1360</v>
      </c>
      <c r="B128" s="18" t="s">
        <v>214</v>
      </c>
      <c r="C128" s="18" t="s">
        <v>1361</v>
      </c>
      <c r="D128" s="153">
        <v>0.05</v>
      </c>
      <c r="E128" s="22" t="s">
        <v>2108</v>
      </c>
    </row>
    <row r="129" spans="1:7" x14ac:dyDescent="0.3">
      <c r="A129" s="16" t="s">
        <v>268</v>
      </c>
      <c r="B129" s="18" t="s">
        <v>274</v>
      </c>
      <c r="C129" s="18" t="s">
        <v>464</v>
      </c>
      <c r="D129" s="27" t="s">
        <v>275</v>
      </c>
      <c r="E129" s="22" t="s">
        <v>273</v>
      </c>
    </row>
    <row r="130" spans="1:7" x14ac:dyDescent="0.3">
      <c r="A130" s="16" t="s">
        <v>269</v>
      </c>
      <c r="B130" s="18" t="s">
        <v>270</v>
      </c>
      <c r="C130" s="18" t="s">
        <v>361</v>
      </c>
      <c r="D130" s="27" t="s">
        <v>272</v>
      </c>
      <c r="E130" s="22" t="s">
        <v>273</v>
      </c>
    </row>
    <row r="131" spans="1:7" x14ac:dyDescent="0.3">
      <c r="A131" s="16" t="s">
        <v>813</v>
      </c>
      <c r="B131" s="18" t="s">
        <v>131</v>
      </c>
      <c r="C131" s="18"/>
      <c r="D131" s="27">
        <v>2</v>
      </c>
      <c r="E131" s="22" t="s">
        <v>273</v>
      </c>
    </row>
    <row r="132" spans="1:7" x14ac:dyDescent="0.3">
      <c r="A132" s="16" t="s">
        <v>814</v>
      </c>
      <c r="B132" s="18" t="s">
        <v>531</v>
      </c>
      <c r="C132" s="18" t="s">
        <v>1381</v>
      </c>
      <c r="D132" s="27">
        <v>500</v>
      </c>
      <c r="E132" s="22" t="s">
        <v>273</v>
      </c>
    </row>
    <row r="133" spans="1:7" x14ac:dyDescent="0.3">
      <c r="A133" s="16" t="s">
        <v>247</v>
      </c>
      <c r="B133" s="18" t="s">
        <v>225</v>
      </c>
      <c r="C133" s="18" t="s">
        <v>812</v>
      </c>
      <c r="D133" s="27">
        <v>1</v>
      </c>
      <c r="E133" s="22" t="s">
        <v>2106</v>
      </c>
    </row>
    <row r="134" spans="1:7" x14ac:dyDescent="0.3">
      <c r="A134" s="16" t="s">
        <v>858</v>
      </c>
      <c r="B134" s="18" t="s">
        <v>226</v>
      </c>
      <c r="C134" s="18" t="s">
        <v>1824</v>
      </c>
      <c r="D134" s="138">
        <f>D124/D127</f>
        <v>117.64705882352942</v>
      </c>
      <c r="E134" s="22" t="s">
        <v>232</v>
      </c>
    </row>
    <row r="135" spans="1:7" x14ac:dyDescent="0.3">
      <c r="A135" s="578" t="s">
        <v>351</v>
      </c>
      <c r="B135" s="543" t="s">
        <v>131</v>
      </c>
      <c r="C135" s="719"/>
      <c r="D135" s="721">
        <f>'2. PROCESS RECAP '!$E$41</f>
        <v>17</v>
      </c>
      <c r="E135" s="579" t="s">
        <v>2208</v>
      </c>
    </row>
    <row r="136" spans="1:7" ht="15" thickBot="1" x14ac:dyDescent="0.35">
      <c r="A136" s="634" t="s">
        <v>246</v>
      </c>
      <c r="B136" s="635" t="s">
        <v>225</v>
      </c>
      <c r="C136" s="719" t="s">
        <v>1824</v>
      </c>
      <c r="D136" s="720">
        <f>'2. PROCESS RECAP '!$H$41</f>
        <v>1</v>
      </c>
      <c r="E136" s="637" t="s">
        <v>2209</v>
      </c>
    </row>
    <row r="137" spans="1:7" x14ac:dyDescent="0.3">
      <c r="A137" s="1147" t="s">
        <v>291</v>
      </c>
      <c r="B137" s="1148"/>
      <c r="C137" s="1148"/>
      <c r="D137" s="1148"/>
      <c r="E137" s="1149"/>
    </row>
    <row r="138" spans="1:7" x14ac:dyDescent="0.3">
      <c r="A138" s="285" t="s">
        <v>716</v>
      </c>
      <c r="B138" s="15" t="s">
        <v>132</v>
      </c>
      <c r="C138" s="15" t="s">
        <v>1038</v>
      </c>
      <c r="D138" s="286">
        <f>($D$135*(($D$134+($D$134/3))/3600))*'1. USER INPUTS'!$E$23</f>
        <v>3.1824686471487321E-3</v>
      </c>
      <c r="E138" s="276" t="s">
        <v>232</v>
      </c>
      <c r="G138" s="2"/>
    </row>
    <row r="139" spans="1:7" x14ac:dyDescent="0.3">
      <c r="A139" s="287" t="s">
        <v>1036</v>
      </c>
      <c r="B139" s="39" t="s">
        <v>128</v>
      </c>
      <c r="C139" s="15" t="s">
        <v>1037</v>
      </c>
      <c r="D139" s="286">
        <f>$D$126/$D$128</f>
        <v>5.6704970885258167E-6</v>
      </c>
      <c r="E139" s="276" t="s">
        <v>232</v>
      </c>
    </row>
    <row r="140" spans="1:7" x14ac:dyDescent="0.3">
      <c r="A140" s="287" t="s">
        <v>381</v>
      </c>
      <c r="B140" s="39" t="s">
        <v>128</v>
      </c>
      <c r="C140" s="15" t="s">
        <v>815</v>
      </c>
      <c r="D140" s="286">
        <f>(($D$132*($D$134/60))*(1/(100*100*100)))*$D$123*'1. USER INPUTS'!$E$23</f>
        <v>7.5143700880323587E-6</v>
      </c>
      <c r="E140" s="276" t="s">
        <v>232</v>
      </c>
    </row>
    <row r="141" spans="1:7" x14ac:dyDescent="0.3">
      <c r="A141" s="285" t="s">
        <v>716</v>
      </c>
      <c r="B141" s="39" t="s">
        <v>132</v>
      </c>
      <c r="C141" s="15" t="s">
        <v>828</v>
      </c>
      <c r="D141" s="286">
        <f>5*(($D$134/3600)+(($D$134/3)/3600))*'1. USER INPUTS'!$E$23</f>
        <v>9.3602019033786231E-4</v>
      </c>
      <c r="E141" s="276" t="s">
        <v>232</v>
      </c>
    </row>
    <row r="142" spans="1:7" x14ac:dyDescent="0.3">
      <c r="A142" s="285" t="s">
        <v>716</v>
      </c>
      <c r="B142" s="39" t="s">
        <v>132</v>
      </c>
      <c r="C142" s="15" t="s">
        <v>829</v>
      </c>
      <c r="D142" s="286">
        <f>5*(($D$134/3600)+(($D$134/3)/3600))*'1. USER INPUTS'!$E$23</f>
        <v>9.3602019033786231E-4</v>
      </c>
      <c r="E142" s="276" t="s">
        <v>232</v>
      </c>
    </row>
    <row r="143" spans="1:7" x14ac:dyDescent="0.3">
      <c r="A143" s="1128" t="s">
        <v>292</v>
      </c>
      <c r="B143" s="1129"/>
      <c r="C143" s="1129"/>
      <c r="D143" s="1129"/>
      <c r="E143" s="1130"/>
    </row>
    <row r="144" spans="1:7" x14ac:dyDescent="0.3">
      <c r="A144" s="16" t="s">
        <v>322</v>
      </c>
      <c r="B144" s="47" t="s">
        <v>293</v>
      </c>
      <c r="C144" s="18"/>
      <c r="D144" s="27">
        <v>1</v>
      </c>
      <c r="E144" s="22"/>
    </row>
    <row r="145" spans="1:5" x14ac:dyDescent="0.3">
      <c r="A145" s="116" t="s">
        <v>1884</v>
      </c>
      <c r="B145" s="112" t="s">
        <v>128</v>
      </c>
      <c r="C145" s="112" t="s">
        <v>1881</v>
      </c>
      <c r="D145" s="115">
        <f>($D$139-$D$126)</f>
        <v>5.3869722340995256E-6</v>
      </c>
      <c r="E145" s="282" t="s">
        <v>232</v>
      </c>
    </row>
    <row r="146" spans="1:5" ht="15" thickBot="1" x14ac:dyDescent="0.35">
      <c r="A146" s="110" t="s">
        <v>2247</v>
      </c>
      <c r="B146" s="111" t="s">
        <v>128</v>
      </c>
      <c r="C146" s="111" t="s">
        <v>2219</v>
      </c>
      <c r="D146" s="117">
        <f>$D$140</f>
        <v>7.5143700880323587E-6</v>
      </c>
      <c r="E146" s="283" t="s">
        <v>232</v>
      </c>
    </row>
    <row r="147" spans="1:5" x14ac:dyDescent="0.3">
      <c r="A147" s="9"/>
      <c r="B147" s="9"/>
      <c r="C147" s="9"/>
      <c r="D147" s="9"/>
      <c r="E147" s="9"/>
    </row>
    <row r="148" spans="1:5" x14ac:dyDescent="0.3">
      <c r="A148" s="9"/>
      <c r="B148" s="9"/>
      <c r="C148" s="9"/>
      <c r="D148" s="9"/>
      <c r="E148" s="9"/>
    </row>
    <row r="149" spans="1:5" x14ac:dyDescent="0.3">
      <c r="A149" s="9"/>
      <c r="B149" s="9"/>
      <c r="C149" s="9"/>
      <c r="D149" s="9"/>
      <c r="E149" s="9"/>
    </row>
    <row r="150" spans="1:5" x14ac:dyDescent="0.3">
      <c r="A150" s="9"/>
      <c r="B150" s="9"/>
      <c r="C150" s="9"/>
      <c r="D150" s="9"/>
      <c r="E150" s="9"/>
    </row>
    <row r="151" spans="1:5" x14ac:dyDescent="0.3">
      <c r="A151" s="9"/>
      <c r="B151" s="9"/>
      <c r="C151" s="9"/>
      <c r="D151" s="9"/>
      <c r="E151" s="9"/>
    </row>
    <row r="152" spans="1:5" x14ac:dyDescent="0.3">
      <c r="A152" s="9"/>
      <c r="B152" s="9"/>
      <c r="C152" s="9"/>
      <c r="D152" s="9"/>
      <c r="E152" s="9"/>
    </row>
    <row r="153" spans="1:5" x14ac:dyDescent="0.3">
      <c r="A153" s="9"/>
      <c r="B153" s="9"/>
      <c r="C153" s="9"/>
      <c r="D153" s="9"/>
      <c r="E153" s="9"/>
    </row>
    <row r="154" spans="1:5" x14ac:dyDescent="0.3">
      <c r="A154" s="9"/>
      <c r="B154" s="9"/>
      <c r="C154" s="9"/>
      <c r="D154" s="9"/>
      <c r="E154" s="9"/>
    </row>
    <row r="155" spans="1:5" x14ac:dyDescent="0.3">
      <c r="A155" s="9"/>
      <c r="B155" s="9"/>
      <c r="C155" s="9"/>
      <c r="D155" s="9"/>
      <c r="E155" s="9"/>
    </row>
    <row r="156" spans="1:5" x14ac:dyDescent="0.3">
      <c r="A156" s="9"/>
      <c r="B156" s="9"/>
      <c r="C156" s="9"/>
      <c r="D156" s="9"/>
      <c r="E156" s="9"/>
    </row>
    <row r="157" spans="1:5" x14ac:dyDescent="0.3">
      <c r="A157" s="9"/>
      <c r="B157" s="9"/>
      <c r="C157" s="9"/>
      <c r="D157" s="9"/>
      <c r="E157" s="9"/>
    </row>
    <row r="158" spans="1:5" x14ac:dyDescent="0.3">
      <c r="A158" s="9"/>
      <c r="B158" s="9"/>
      <c r="C158" s="9"/>
      <c r="D158" s="9"/>
      <c r="E158" s="9"/>
    </row>
    <row r="159" spans="1:5" x14ac:dyDescent="0.3">
      <c r="A159" s="9"/>
      <c r="B159" s="9"/>
      <c r="C159" s="9"/>
      <c r="D159" s="9"/>
      <c r="E159" s="9"/>
    </row>
    <row r="160" spans="1:5" x14ac:dyDescent="0.3">
      <c r="A160" s="9"/>
      <c r="B160" s="9"/>
      <c r="C160" s="9"/>
      <c r="D160" s="9"/>
      <c r="E160" s="9"/>
    </row>
    <row r="161" spans="1:5" x14ac:dyDescent="0.3">
      <c r="A161" s="9"/>
      <c r="B161" s="9"/>
      <c r="C161" s="9"/>
      <c r="D161" s="9"/>
      <c r="E161" s="9"/>
    </row>
    <row r="162" spans="1:5" x14ac:dyDescent="0.3">
      <c r="A162" s="9"/>
      <c r="B162" s="9"/>
      <c r="C162" s="9"/>
      <c r="D162" s="9"/>
      <c r="E162" s="9"/>
    </row>
    <row r="163" spans="1:5" x14ac:dyDescent="0.3">
      <c r="A163" s="9"/>
      <c r="B163" s="9"/>
      <c r="C163" s="9"/>
      <c r="D163" s="9"/>
      <c r="E163" s="9"/>
    </row>
    <row r="164" spans="1:5" x14ac:dyDescent="0.3">
      <c r="A164" s="9"/>
      <c r="B164" s="9"/>
      <c r="C164" s="9"/>
      <c r="D164" s="9"/>
      <c r="E164" s="9"/>
    </row>
    <row r="165" spans="1:5" x14ac:dyDescent="0.3">
      <c r="A165" s="9"/>
      <c r="B165" s="9"/>
      <c r="C165" s="9"/>
      <c r="D165" s="9"/>
      <c r="E165" s="9"/>
    </row>
    <row r="166" spans="1:5" x14ac:dyDescent="0.3">
      <c r="A166" s="9"/>
      <c r="B166" s="9"/>
      <c r="C166" s="9"/>
      <c r="D166" s="9"/>
      <c r="E166" s="9"/>
    </row>
    <row r="167" spans="1:5" x14ac:dyDescent="0.3">
      <c r="A167" s="9"/>
      <c r="B167" s="9"/>
      <c r="C167" s="9"/>
      <c r="D167" s="9"/>
      <c r="E167" s="9"/>
    </row>
    <row r="168" spans="1:5" x14ac:dyDescent="0.3">
      <c r="A168" s="9"/>
      <c r="B168" s="9"/>
      <c r="C168" s="9"/>
      <c r="D168" s="9"/>
      <c r="E168" s="9"/>
    </row>
    <row r="169" spans="1:5" x14ac:dyDescent="0.3">
      <c r="A169" s="9"/>
      <c r="B169" s="9"/>
      <c r="C169" s="9"/>
      <c r="D169" s="9"/>
      <c r="E169" s="9"/>
    </row>
    <row r="170" spans="1:5" x14ac:dyDescent="0.3">
      <c r="A170" s="9"/>
      <c r="B170" s="9"/>
      <c r="C170" s="9"/>
      <c r="D170" s="9"/>
      <c r="E170" s="9"/>
    </row>
    <row r="171" spans="1:5" x14ac:dyDescent="0.3">
      <c r="A171" s="9"/>
      <c r="B171" s="9"/>
      <c r="C171" s="9"/>
      <c r="D171" s="9"/>
      <c r="E171" s="9"/>
    </row>
    <row r="172" spans="1:5" x14ac:dyDescent="0.3">
      <c r="A172" s="9"/>
      <c r="B172" s="9"/>
      <c r="C172" s="9"/>
      <c r="D172" s="9"/>
      <c r="E172" s="9"/>
    </row>
    <row r="173" spans="1:5" x14ac:dyDescent="0.3">
      <c r="A173" s="9"/>
      <c r="B173" s="9"/>
      <c r="C173" s="9"/>
      <c r="D173" s="9"/>
      <c r="E173" s="9"/>
    </row>
    <row r="174" spans="1:5" x14ac:dyDescent="0.3">
      <c r="A174" s="9"/>
      <c r="B174" s="9"/>
      <c r="C174" s="9"/>
      <c r="D174" s="9"/>
      <c r="E174" s="9"/>
    </row>
    <row r="175" spans="1:5" x14ac:dyDescent="0.3">
      <c r="A175" s="9"/>
      <c r="B175" s="9"/>
      <c r="C175" s="9"/>
      <c r="D175" s="9"/>
      <c r="E175" s="9"/>
    </row>
    <row r="176" spans="1:5" x14ac:dyDescent="0.3">
      <c r="A176" s="9"/>
      <c r="B176" s="9"/>
      <c r="C176" s="9"/>
      <c r="D176" s="9"/>
      <c r="E176" s="9"/>
    </row>
    <row r="177" spans="1:5" x14ac:dyDescent="0.3">
      <c r="A177" s="9"/>
      <c r="B177" s="9"/>
      <c r="C177" s="9"/>
      <c r="D177" s="9"/>
      <c r="E177" s="9"/>
    </row>
    <row r="178" spans="1:5" x14ac:dyDescent="0.3">
      <c r="A178" s="9"/>
      <c r="B178" s="9"/>
      <c r="C178" s="9"/>
      <c r="D178" s="9"/>
      <c r="E178" s="9"/>
    </row>
    <row r="179" spans="1:5" x14ac:dyDescent="0.3">
      <c r="A179" s="9"/>
      <c r="B179" s="9"/>
      <c r="C179" s="9"/>
      <c r="D179" s="9"/>
      <c r="E179" s="9"/>
    </row>
    <row r="180" spans="1:5" x14ac:dyDescent="0.3">
      <c r="A180" s="9"/>
      <c r="B180" s="9"/>
      <c r="C180" s="9"/>
      <c r="D180" s="9"/>
      <c r="E180" s="9"/>
    </row>
    <row r="181" spans="1:5" x14ac:dyDescent="0.3">
      <c r="A181" s="9"/>
      <c r="B181" s="9"/>
      <c r="C181" s="9"/>
      <c r="D181" s="9"/>
      <c r="E181" s="9"/>
    </row>
    <row r="182" spans="1:5" x14ac:dyDescent="0.3">
      <c r="A182" s="9"/>
      <c r="B182" s="9"/>
      <c r="C182" s="9"/>
      <c r="D182" s="9"/>
      <c r="E182" s="9"/>
    </row>
    <row r="183" spans="1:5" x14ac:dyDescent="0.3">
      <c r="A183" s="9"/>
      <c r="B183" s="9"/>
      <c r="C183" s="9"/>
      <c r="D183" s="9"/>
      <c r="E183" s="9"/>
    </row>
    <row r="184" spans="1:5" x14ac:dyDescent="0.3">
      <c r="A184" s="9"/>
      <c r="B184" s="9"/>
      <c r="C184" s="9"/>
      <c r="D184" s="9"/>
      <c r="E184" s="9"/>
    </row>
    <row r="185" spans="1:5" x14ac:dyDescent="0.3">
      <c r="A185" s="9"/>
      <c r="B185" s="9"/>
      <c r="C185" s="9"/>
      <c r="D185" s="9"/>
      <c r="E185" s="9"/>
    </row>
    <row r="186" spans="1:5" x14ac:dyDescent="0.3">
      <c r="A186" s="9"/>
      <c r="B186" s="9"/>
      <c r="C186" s="9"/>
      <c r="D186" s="9"/>
      <c r="E186" s="9"/>
    </row>
    <row r="187" spans="1:5" x14ac:dyDescent="0.3">
      <c r="A187" s="9"/>
      <c r="B187" s="9"/>
      <c r="C187" s="9"/>
      <c r="D187" s="9"/>
      <c r="E187" s="9"/>
    </row>
    <row r="188" spans="1:5" x14ac:dyDescent="0.3">
      <c r="A188" s="9"/>
      <c r="B188" s="9"/>
      <c r="C188" s="9"/>
      <c r="D188" s="9"/>
      <c r="E188" s="9"/>
    </row>
    <row r="189" spans="1:5" x14ac:dyDescent="0.3">
      <c r="A189" s="9"/>
      <c r="B189" s="9"/>
      <c r="C189" s="9"/>
      <c r="D189" s="9"/>
      <c r="E189" s="9"/>
    </row>
    <row r="190" spans="1:5" x14ac:dyDescent="0.3">
      <c r="A190" s="9"/>
      <c r="B190" s="9"/>
      <c r="C190" s="9"/>
      <c r="D190" s="9"/>
      <c r="E190" s="9"/>
    </row>
    <row r="191" spans="1:5" x14ac:dyDescent="0.3">
      <c r="A191" s="9"/>
      <c r="B191" s="9"/>
      <c r="C191" s="9"/>
      <c r="D191" s="9"/>
      <c r="E191" s="9"/>
    </row>
    <row r="192" spans="1:5" x14ac:dyDescent="0.3">
      <c r="A192" s="9"/>
      <c r="B192" s="9"/>
      <c r="C192" s="9"/>
      <c r="D192" s="9"/>
      <c r="E192" s="9"/>
    </row>
    <row r="193" spans="1:5" x14ac:dyDescent="0.3">
      <c r="A193" s="9"/>
      <c r="B193" s="9"/>
      <c r="C193" s="9"/>
      <c r="D193" s="9"/>
      <c r="E193" s="9"/>
    </row>
    <row r="194" spans="1:5" x14ac:dyDescent="0.3">
      <c r="A194" s="9"/>
      <c r="B194" s="9"/>
      <c r="C194" s="9"/>
      <c r="D194" s="9"/>
      <c r="E194" s="9"/>
    </row>
    <row r="195" spans="1:5" x14ac:dyDescent="0.3">
      <c r="A195" s="9"/>
      <c r="B195" s="9"/>
      <c r="C195" s="9"/>
      <c r="D195" s="9"/>
      <c r="E195" s="9"/>
    </row>
    <row r="196" spans="1:5" x14ac:dyDescent="0.3">
      <c r="A196" s="9"/>
      <c r="B196" s="9"/>
      <c r="C196" s="9"/>
      <c r="D196" s="9"/>
      <c r="E196" s="9"/>
    </row>
    <row r="197" spans="1:5" x14ac:dyDescent="0.3">
      <c r="A197" s="9"/>
      <c r="B197" s="9"/>
      <c r="C197" s="9"/>
      <c r="D197" s="9"/>
      <c r="E197" s="9"/>
    </row>
    <row r="198" spans="1:5" x14ac:dyDescent="0.3">
      <c r="A198" s="9"/>
      <c r="B198" s="9"/>
      <c r="C198" s="9"/>
      <c r="D198" s="9"/>
      <c r="E198" s="9"/>
    </row>
    <row r="199" spans="1:5" x14ac:dyDescent="0.3">
      <c r="A199" s="9"/>
      <c r="B199" s="9"/>
      <c r="C199" s="9"/>
      <c r="D199" s="9"/>
      <c r="E199" s="9"/>
    </row>
    <row r="200" spans="1:5" x14ac:dyDescent="0.3">
      <c r="A200" s="9"/>
      <c r="B200" s="9"/>
      <c r="C200" s="9"/>
      <c r="D200" s="9"/>
      <c r="E200" s="9"/>
    </row>
    <row r="201" spans="1:5" x14ac:dyDescent="0.3">
      <c r="A201" s="9"/>
      <c r="B201" s="9"/>
      <c r="C201" s="9"/>
      <c r="D201" s="9"/>
      <c r="E201" s="9"/>
    </row>
    <row r="202" spans="1:5" x14ac:dyDescent="0.3">
      <c r="A202" s="9"/>
      <c r="B202" s="9"/>
      <c r="C202" s="9"/>
      <c r="D202" s="9"/>
      <c r="E202" s="9"/>
    </row>
    <row r="203" spans="1:5" x14ac:dyDescent="0.3">
      <c r="A203" s="9"/>
      <c r="B203" s="9"/>
      <c r="C203" s="9"/>
      <c r="D203" s="9"/>
      <c r="E203" s="9"/>
    </row>
    <row r="204" spans="1:5" x14ac:dyDescent="0.3">
      <c r="A204" s="9"/>
      <c r="B204" s="9"/>
      <c r="C204" s="9"/>
      <c r="D204" s="9"/>
      <c r="E204" s="9"/>
    </row>
    <row r="205" spans="1:5" x14ac:dyDescent="0.3">
      <c r="A205" s="9"/>
      <c r="B205" s="9"/>
      <c r="C205" s="9"/>
      <c r="D205" s="9"/>
      <c r="E205" s="9"/>
    </row>
    <row r="206" spans="1:5" x14ac:dyDescent="0.3">
      <c r="A206" s="9"/>
      <c r="B206" s="9"/>
      <c r="C206" s="9"/>
      <c r="D206" s="9"/>
      <c r="E206" s="9"/>
    </row>
    <row r="207" spans="1:5" x14ac:dyDescent="0.3">
      <c r="A207" s="9"/>
      <c r="B207" s="9"/>
      <c r="C207" s="9"/>
      <c r="D207" s="9"/>
      <c r="E207" s="9"/>
    </row>
    <row r="208" spans="1:5" x14ac:dyDescent="0.3">
      <c r="A208" s="9"/>
      <c r="B208" s="9"/>
      <c r="C208" s="9"/>
      <c r="D208" s="9"/>
      <c r="E208" s="9"/>
    </row>
    <row r="209" spans="1:5" x14ac:dyDescent="0.3">
      <c r="A209" s="9"/>
      <c r="B209" s="9"/>
      <c r="C209" s="9"/>
      <c r="D209" s="9"/>
      <c r="E209" s="9"/>
    </row>
    <row r="210" spans="1:5" x14ac:dyDescent="0.3">
      <c r="A210" s="9"/>
      <c r="B210" s="9"/>
      <c r="C210" s="9"/>
      <c r="D210" s="9"/>
      <c r="E210" s="9"/>
    </row>
    <row r="211" spans="1:5" x14ac:dyDescent="0.3">
      <c r="A211" s="9"/>
      <c r="B211" s="9"/>
      <c r="C211" s="9"/>
      <c r="D211" s="9"/>
      <c r="E211" s="9"/>
    </row>
    <row r="212" spans="1:5" x14ac:dyDescent="0.3">
      <c r="A212" s="9"/>
      <c r="B212" s="9"/>
      <c r="C212" s="9"/>
      <c r="D212" s="9"/>
      <c r="E212" s="9"/>
    </row>
    <row r="213" spans="1:5" x14ac:dyDescent="0.3">
      <c r="A213" s="9"/>
      <c r="B213" s="9"/>
      <c r="C213" s="9"/>
      <c r="D213" s="9"/>
      <c r="E213" s="9"/>
    </row>
    <row r="214" spans="1:5" x14ac:dyDescent="0.3">
      <c r="A214" s="9"/>
      <c r="B214" s="9"/>
      <c r="C214" s="9"/>
      <c r="D214" s="9"/>
      <c r="E214" s="9"/>
    </row>
    <row r="215" spans="1:5" x14ac:dyDescent="0.3">
      <c r="A215" s="9"/>
      <c r="B215" s="9"/>
      <c r="C215" s="9"/>
      <c r="D215" s="9"/>
      <c r="E215" s="9"/>
    </row>
    <row r="216" spans="1:5" x14ac:dyDescent="0.3">
      <c r="A216" s="9"/>
      <c r="B216" s="9"/>
      <c r="C216" s="9"/>
      <c r="D216" s="9"/>
      <c r="E216" s="9"/>
    </row>
    <row r="217" spans="1:5" x14ac:dyDescent="0.3">
      <c r="A217" s="9"/>
      <c r="B217" s="9"/>
      <c r="C217" s="9"/>
      <c r="D217" s="9"/>
      <c r="E217" s="9"/>
    </row>
    <row r="218" spans="1:5" x14ac:dyDescent="0.3">
      <c r="A218" s="9"/>
      <c r="B218" s="9"/>
      <c r="C218" s="9"/>
      <c r="D218" s="9"/>
      <c r="E218" s="9"/>
    </row>
    <row r="219" spans="1:5" x14ac:dyDescent="0.3">
      <c r="A219" s="9"/>
      <c r="B219" s="9"/>
      <c r="C219" s="9"/>
      <c r="D219" s="9"/>
      <c r="E219" s="9"/>
    </row>
    <row r="220" spans="1:5" x14ac:dyDescent="0.3">
      <c r="A220" s="9"/>
      <c r="B220" s="9"/>
      <c r="C220" s="9"/>
      <c r="D220" s="9"/>
      <c r="E220" s="9"/>
    </row>
    <row r="221" spans="1:5" x14ac:dyDescent="0.3">
      <c r="A221" s="9"/>
      <c r="B221" s="9"/>
      <c r="C221" s="9"/>
      <c r="D221" s="9"/>
      <c r="E221" s="9"/>
    </row>
    <row r="222" spans="1:5" x14ac:dyDescent="0.3">
      <c r="A222" s="9"/>
      <c r="B222" s="9"/>
      <c r="C222" s="9"/>
      <c r="D222" s="9"/>
      <c r="E222" s="9"/>
    </row>
    <row r="223" spans="1:5" x14ac:dyDescent="0.3">
      <c r="A223" s="9"/>
      <c r="B223" s="9"/>
      <c r="C223" s="9"/>
      <c r="D223" s="9"/>
      <c r="E223" s="9"/>
    </row>
    <row r="224" spans="1:5" x14ac:dyDescent="0.3">
      <c r="A224" s="9"/>
      <c r="B224" s="9"/>
      <c r="C224" s="9"/>
      <c r="D224" s="9"/>
      <c r="E224" s="9"/>
    </row>
    <row r="225" spans="1:5" x14ac:dyDescent="0.3">
      <c r="A225" s="9"/>
      <c r="B225" s="9"/>
      <c r="C225" s="9"/>
      <c r="D225" s="9"/>
      <c r="E225" s="9"/>
    </row>
    <row r="226" spans="1:5" x14ac:dyDescent="0.3">
      <c r="A226" s="9"/>
      <c r="B226" s="9"/>
      <c r="C226" s="9"/>
      <c r="D226" s="9"/>
      <c r="E226" s="9"/>
    </row>
    <row r="227" spans="1:5" x14ac:dyDescent="0.3">
      <c r="A227" s="9"/>
      <c r="B227" s="9"/>
      <c r="C227" s="9"/>
      <c r="D227" s="9"/>
      <c r="E227" s="9"/>
    </row>
    <row r="228" spans="1:5" x14ac:dyDescent="0.3">
      <c r="A228" s="9"/>
      <c r="B228" s="9"/>
      <c r="C228" s="9"/>
      <c r="D228" s="9"/>
      <c r="E228" s="9"/>
    </row>
    <row r="229" spans="1:5" x14ac:dyDescent="0.3">
      <c r="A229" s="9"/>
      <c r="B229" s="9"/>
      <c r="C229" s="9"/>
      <c r="D229" s="9"/>
      <c r="E229" s="9"/>
    </row>
    <row r="230" spans="1:5" x14ac:dyDescent="0.3">
      <c r="A230" s="9"/>
      <c r="B230" s="9"/>
      <c r="C230" s="9"/>
      <c r="D230" s="9"/>
      <c r="E230" s="9"/>
    </row>
    <row r="231" spans="1:5" x14ac:dyDescent="0.3">
      <c r="A231" s="9"/>
      <c r="B231" s="9"/>
      <c r="C231" s="9"/>
      <c r="D231" s="9"/>
      <c r="E231" s="9"/>
    </row>
    <row r="232" spans="1:5" x14ac:dyDescent="0.3">
      <c r="A232" s="9"/>
      <c r="B232" s="9"/>
      <c r="C232" s="9"/>
      <c r="D232" s="9"/>
      <c r="E232" s="9"/>
    </row>
    <row r="233" spans="1:5" x14ac:dyDescent="0.3">
      <c r="A233" s="9"/>
      <c r="B233" s="9"/>
      <c r="C233" s="9"/>
      <c r="D233" s="9"/>
      <c r="E233" s="9"/>
    </row>
    <row r="234" spans="1:5" x14ac:dyDescent="0.3">
      <c r="A234" s="9"/>
      <c r="B234" s="9"/>
      <c r="C234" s="9"/>
      <c r="D234" s="9"/>
      <c r="E234" s="9"/>
    </row>
    <row r="235" spans="1:5" x14ac:dyDescent="0.3">
      <c r="A235" s="9"/>
      <c r="B235" s="9"/>
      <c r="C235" s="9"/>
      <c r="D235" s="9"/>
      <c r="E235" s="9"/>
    </row>
    <row r="236" spans="1:5" x14ac:dyDescent="0.3">
      <c r="A236" s="9"/>
      <c r="B236" s="9"/>
      <c r="C236" s="9"/>
      <c r="D236" s="9"/>
      <c r="E236" s="9"/>
    </row>
    <row r="237" spans="1:5" x14ac:dyDescent="0.3">
      <c r="A237" s="9"/>
      <c r="B237" s="9"/>
      <c r="C237" s="9"/>
      <c r="D237" s="9"/>
      <c r="E237" s="9"/>
    </row>
    <row r="238" spans="1:5" x14ac:dyDescent="0.3">
      <c r="A238" s="9"/>
      <c r="B238" s="9"/>
      <c r="C238" s="9"/>
      <c r="D238" s="9"/>
      <c r="E238" s="9"/>
    </row>
    <row r="239" spans="1:5" x14ac:dyDescent="0.3">
      <c r="A239" s="9"/>
      <c r="B239" s="9"/>
      <c r="C239" s="9"/>
      <c r="D239" s="9"/>
      <c r="E239" s="9"/>
    </row>
    <row r="240" spans="1:5" x14ac:dyDescent="0.3">
      <c r="A240" s="9"/>
      <c r="B240" s="9"/>
      <c r="C240" s="9"/>
      <c r="D240" s="9"/>
      <c r="E240" s="9"/>
    </row>
    <row r="241" spans="1:5" x14ac:dyDescent="0.3">
      <c r="A241" s="9"/>
      <c r="B241" s="9"/>
      <c r="C241" s="9"/>
      <c r="D241" s="9"/>
      <c r="E241" s="9"/>
    </row>
    <row r="242" spans="1:5" x14ac:dyDescent="0.3">
      <c r="A242" s="9"/>
      <c r="B242" s="9"/>
      <c r="C242" s="9"/>
      <c r="D242" s="9"/>
      <c r="E242" s="9"/>
    </row>
    <row r="243" spans="1:5" x14ac:dyDescent="0.3">
      <c r="A243" s="9"/>
      <c r="B243" s="9"/>
      <c r="C243" s="9"/>
      <c r="D243" s="9"/>
      <c r="E243" s="9"/>
    </row>
    <row r="244" spans="1:5" x14ac:dyDescent="0.3">
      <c r="A244" s="9"/>
      <c r="B244" s="9"/>
      <c r="C244" s="9"/>
      <c r="D244" s="9"/>
      <c r="E244" s="9"/>
    </row>
    <row r="245" spans="1:5" x14ac:dyDescent="0.3">
      <c r="A245" s="9"/>
      <c r="B245" s="9"/>
      <c r="C245" s="9"/>
      <c r="D245" s="9"/>
      <c r="E245" s="9"/>
    </row>
    <row r="246" spans="1:5" x14ac:dyDescent="0.3">
      <c r="A246" s="9"/>
      <c r="B246" s="9"/>
      <c r="C246" s="9"/>
      <c r="D246" s="9"/>
      <c r="E246" s="9"/>
    </row>
    <row r="247" spans="1:5" x14ac:dyDescent="0.3">
      <c r="A247" s="9"/>
      <c r="B247" s="9"/>
      <c r="C247" s="9"/>
      <c r="D247" s="9"/>
      <c r="E247" s="9"/>
    </row>
    <row r="248" spans="1:5" x14ac:dyDescent="0.3">
      <c r="A248" s="9"/>
      <c r="B248" s="9"/>
      <c r="C248" s="9"/>
      <c r="D248" s="9"/>
      <c r="E248" s="9"/>
    </row>
    <row r="249" spans="1:5" x14ac:dyDescent="0.3">
      <c r="A249" s="9"/>
      <c r="B249" s="9"/>
      <c r="C249" s="9"/>
      <c r="D249" s="9"/>
      <c r="E249" s="9"/>
    </row>
    <row r="250" spans="1:5" x14ac:dyDescent="0.3">
      <c r="A250" s="9"/>
      <c r="B250" s="9"/>
      <c r="C250" s="9"/>
      <c r="D250" s="9"/>
      <c r="E250" s="9"/>
    </row>
    <row r="251" spans="1:5" x14ac:dyDescent="0.3">
      <c r="A251" s="9"/>
      <c r="B251" s="9"/>
      <c r="C251" s="9"/>
      <c r="D251" s="9"/>
      <c r="E251" s="9"/>
    </row>
    <row r="252" spans="1:5" x14ac:dyDescent="0.3">
      <c r="A252" s="9"/>
      <c r="B252" s="9"/>
      <c r="C252" s="9"/>
      <c r="D252" s="9"/>
      <c r="E252" s="9"/>
    </row>
    <row r="253" spans="1:5" x14ac:dyDescent="0.3">
      <c r="A253" s="9"/>
      <c r="B253" s="9"/>
      <c r="C253" s="9"/>
      <c r="D253" s="9"/>
      <c r="E253" s="9"/>
    </row>
    <row r="254" spans="1:5" x14ac:dyDescent="0.3">
      <c r="A254" s="9"/>
      <c r="B254" s="9"/>
      <c r="C254" s="9"/>
      <c r="D254" s="9"/>
      <c r="E254" s="9"/>
    </row>
    <row r="255" spans="1:5" x14ac:dyDescent="0.3">
      <c r="A255" s="9"/>
      <c r="B255" s="9"/>
      <c r="C255" s="9"/>
      <c r="D255" s="9"/>
      <c r="E255" s="9"/>
    </row>
    <row r="256" spans="1:5" x14ac:dyDescent="0.3">
      <c r="A256" s="9"/>
      <c r="B256" s="9"/>
      <c r="C256" s="9"/>
      <c r="D256" s="9"/>
      <c r="E256" s="9"/>
    </row>
  </sheetData>
  <sheetProtection algorithmName="SHA-512" hashValue="qK+8YucYoQN8MMdWHEMJtHX5GiLFelcCbFXLIjBNpjMyrKnmY8Ov+41YGb2Gl2hqIhPRDjVeOLTlwh1tnnlTGA==" saltValue="vYRE9AqaWTqhCeaV6yDr/g==" spinCount="100000" sheet="1" objects="1" scenarios="1"/>
  <mergeCells count="14">
    <mergeCell ref="A16:E17"/>
    <mergeCell ref="A51:E52"/>
    <mergeCell ref="A83:E84"/>
    <mergeCell ref="A115:E116"/>
    <mergeCell ref="A5:E5"/>
    <mergeCell ref="A41:E41"/>
    <mergeCell ref="A73:E73"/>
    <mergeCell ref="A105:E105"/>
    <mergeCell ref="A12:E12"/>
    <mergeCell ref="A137:E137"/>
    <mergeCell ref="A47:E47"/>
    <mergeCell ref="A79:E79"/>
    <mergeCell ref="A111:E111"/>
    <mergeCell ref="A143:E14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FA87B-1426-4037-AC30-B03893FF0186}">
  <dimension ref="A1:E121"/>
  <sheetViews>
    <sheetView zoomScale="85" zoomScaleNormal="85" workbookViewId="0">
      <selection activeCell="A20" sqref="A20"/>
    </sheetView>
  </sheetViews>
  <sheetFormatPr baseColWidth="10" defaultRowHeight="14.4" x14ac:dyDescent="0.3"/>
  <cols>
    <col min="1" max="1" width="89.109375" bestFit="1" customWidth="1"/>
    <col min="2" max="2" width="11.6640625" customWidth="1"/>
    <col min="3" max="3" width="141.21875" bestFit="1" customWidth="1"/>
    <col min="5" max="5" width="48.6640625" customWidth="1"/>
  </cols>
  <sheetData>
    <row r="1" spans="1:5" ht="15" thickBot="1" x14ac:dyDescent="0.35">
      <c r="A1" t="s">
        <v>135</v>
      </c>
    </row>
    <row r="2" spans="1:5" ht="30" customHeight="1" thickBot="1" x14ac:dyDescent="0.35">
      <c r="A2" s="638" t="s">
        <v>2123</v>
      </c>
      <c r="B2" s="35" t="s">
        <v>142</v>
      </c>
      <c r="C2" s="21" t="s">
        <v>256</v>
      </c>
      <c r="D2" s="26" t="s">
        <v>236</v>
      </c>
      <c r="E2" s="23" t="s">
        <v>212</v>
      </c>
    </row>
    <row r="3" spans="1:5" x14ac:dyDescent="0.3">
      <c r="A3" s="18" t="s">
        <v>2186</v>
      </c>
      <c r="B3" s="18" t="s">
        <v>225</v>
      </c>
      <c r="C3" s="18"/>
      <c r="D3" s="27">
        <f>SUM($D$41,$D$74,$D$108)</f>
        <v>6</v>
      </c>
      <c r="E3" s="22" t="s">
        <v>232</v>
      </c>
    </row>
    <row r="4" spans="1:5" x14ac:dyDescent="0.3">
      <c r="A4" s="18" t="s">
        <v>2178</v>
      </c>
      <c r="B4" s="18" t="s">
        <v>226</v>
      </c>
      <c r="C4" s="18"/>
      <c r="D4" s="138">
        <f>SUM($D$39*$D$41,$D$72*$D$74,$D$107*$D$108)</f>
        <v>902.7</v>
      </c>
      <c r="E4" s="22" t="s">
        <v>232</v>
      </c>
    </row>
    <row r="5" spans="1:5" x14ac:dyDescent="0.3">
      <c r="A5" s="1125" t="s">
        <v>291</v>
      </c>
      <c r="B5" s="1126"/>
      <c r="C5" s="1126"/>
      <c r="D5" s="1126"/>
      <c r="E5" s="1127"/>
    </row>
    <row r="6" spans="1:5" x14ac:dyDescent="0.3">
      <c r="A6" s="285" t="s">
        <v>716</v>
      </c>
      <c r="B6" s="15" t="s">
        <v>132</v>
      </c>
      <c r="C6" s="15" t="s">
        <v>2229</v>
      </c>
      <c r="D6" s="286">
        <f>SUM($D$43,$D$48,$D$76,$D$81,$D$110)</f>
        <v>1.0941327208897338E-2</v>
      </c>
      <c r="E6" s="276" t="s">
        <v>232</v>
      </c>
    </row>
    <row r="7" spans="1:5" x14ac:dyDescent="0.3">
      <c r="A7" s="293" t="s">
        <v>704</v>
      </c>
      <c r="B7" s="15" t="s">
        <v>128</v>
      </c>
      <c r="C7" s="15"/>
      <c r="D7" s="286">
        <f>SUM($D$44,$D$77)</f>
        <v>4.3129165177710797E-4</v>
      </c>
      <c r="E7" s="276" t="s">
        <v>232</v>
      </c>
    </row>
    <row r="8" spans="1:5" x14ac:dyDescent="0.3">
      <c r="A8" s="293" t="s">
        <v>430</v>
      </c>
      <c r="B8" s="15" t="s">
        <v>128</v>
      </c>
      <c r="C8" s="15"/>
      <c r="D8" s="286">
        <f>SUM($D$45,$D$78,$D$112)</f>
        <v>5.3214105327306646E-3</v>
      </c>
      <c r="E8" s="276" t="s">
        <v>232</v>
      </c>
    </row>
    <row r="9" spans="1:5" x14ac:dyDescent="0.3">
      <c r="A9" s="285" t="s">
        <v>158</v>
      </c>
      <c r="B9" s="15" t="s">
        <v>128</v>
      </c>
      <c r="C9" s="15"/>
      <c r="D9" s="286">
        <f>SUM($D$46:$D$47,$D$79:$D$80,$D$113:$D$114)</f>
        <v>1.48955795871727</v>
      </c>
      <c r="E9" s="276" t="s">
        <v>232</v>
      </c>
    </row>
    <row r="10" spans="1:5" x14ac:dyDescent="0.3">
      <c r="A10" s="3" t="s">
        <v>380</v>
      </c>
      <c r="B10" s="15" t="s">
        <v>128</v>
      </c>
      <c r="C10" s="3"/>
      <c r="D10" s="307">
        <f>$D$111</f>
        <v>1.5820495710368969E-3</v>
      </c>
      <c r="E10" s="276" t="s">
        <v>232</v>
      </c>
    </row>
    <row r="11" spans="1:5" x14ac:dyDescent="0.3">
      <c r="A11" s="3" t="s">
        <v>962</v>
      </c>
      <c r="B11" s="15" t="s">
        <v>128</v>
      </c>
      <c r="C11" s="3"/>
      <c r="D11" s="307">
        <f>$D$115</f>
        <v>2.2813526497085681E-3</v>
      </c>
      <c r="E11" s="276" t="s">
        <v>232</v>
      </c>
    </row>
    <row r="12" spans="1:5" x14ac:dyDescent="0.3">
      <c r="A12" s="1128" t="s">
        <v>292</v>
      </c>
      <c r="B12" s="1129"/>
      <c r="C12" s="1129"/>
      <c r="D12" s="1129"/>
      <c r="E12" s="1130"/>
    </row>
    <row r="13" spans="1:5" x14ac:dyDescent="0.3">
      <c r="A13" s="16" t="s">
        <v>322</v>
      </c>
      <c r="B13" s="47" t="s">
        <v>293</v>
      </c>
      <c r="C13" s="18"/>
      <c r="D13" s="27">
        <v>1</v>
      </c>
      <c r="E13" s="22"/>
    </row>
    <row r="14" spans="1:5" x14ac:dyDescent="0.3">
      <c r="A14" s="116" t="s">
        <v>407</v>
      </c>
      <c r="B14" s="112" t="s">
        <v>128</v>
      </c>
      <c r="C14" s="112" t="s">
        <v>1938</v>
      </c>
      <c r="D14" s="124">
        <f>SUM($D$51,$D$84)</f>
        <v>4.3129165177710797E-4</v>
      </c>
      <c r="E14" s="291" t="s">
        <v>232</v>
      </c>
    </row>
    <row r="15" spans="1:5" x14ac:dyDescent="0.3">
      <c r="A15" s="116" t="s">
        <v>161</v>
      </c>
      <c r="B15" s="112" t="s">
        <v>128</v>
      </c>
      <c r="C15" s="112" t="s">
        <v>1908</v>
      </c>
      <c r="D15" s="124">
        <f>SUM($D$52,$D$85)</f>
        <v>1.0586249634529014E-4</v>
      </c>
      <c r="E15" s="291" t="s">
        <v>232</v>
      </c>
    </row>
    <row r="16" spans="1:5" x14ac:dyDescent="0.3">
      <c r="A16" s="112" t="s">
        <v>796</v>
      </c>
      <c r="B16" s="112" t="s">
        <v>521</v>
      </c>
      <c r="C16" s="112" t="s">
        <v>1908</v>
      </c>
      <c r="D16" s="124">
        <f>SUM($D$53,$D$86)</f>
        <v>9.7629788318365392E-4</v>
      </c>
      <c r="E16" s="291" t="s">
        <v>232</v>
      </c>
    </row>
    <row r="17" spans="1:5" x14ac:dyDescent="0.3">
      <c r="A17" s="572" t="s">
        <v>155</v>
      </c>
      <c r="B17" s="546" t="s">
        <v>128</v>
      </c>
      <c r="C17" s="546" t="s">
        <v>1922</v>
      </c>
      <c r="D17" s="124">
        <f>$D$118</f>
        <v>1.5820495710368969E-3</v>
      </c>
      <c r="E17" s="291" t="s">
        <v>232</v>
      </c>
    </row>
    <row r="18" spans="1:5" x14ac:dyDescent="0.3">
      <c r="A18" s="116" t="s">
        <v>161</v>
      </c>
      <c r="B18" s="113" t="s">
        <v>128</v>
      </c>
      <c r="C18" s="113" t="s">
        <v>1922</v>
      </c>
      <c r="D18" s="124">
        <f>$D$119</f>
        <v>5.2155480363853743E-3</v>
      </c>
      <c r="E18" s="291" t="s">
        <v>232</v>
      </c>
    </row>
    <row r="19" spans="1:5" x14ac:dyDescent="0.3">
      <c r="A19" s="112" t="s">
        <v>159</v>
      </c>
      <c r="B19" s="112" t="s">
        <v>521</v>
      </c>
      <c r="C19" s="113" t="s">
        <v>1922</v>
      </c>
      <c r="D19" s="124">
        <f>$D$120</f>
        <v>5.13618178299031E-4</v>
      </c>
      <c r="E19" s="291" t="s">
        <v>232</v>
      </c>
    </row>
    <row r="20" spans="1:5" ht="15" thickBot="1" x14ac:dyDescent="0.35">
      <c r="A20" s="301" t="s">
        <v>816</v>
      </c>
      <c r="B20" s="111" t="s">
        <v>128</v>
      </c>
      <c r="C20" s="118" t="s">
        <v>1923</v>
      </c>
      <c r="D20" s="117">
        <f>$D$121</f>
        <v>2.2813526497085681E-3</v>
      </c>
      <c r="E20" s="283" t="s">
        <v>232</v>
      </c>
    </row>
    <row r="21" spans="1:5" x14ac:dyDescent="0.3">
      <c r="A21" s="1140"/>
      <c r="B21" s="1141"/>
      <c r="C21" s="1141"/>
      <c r="D21" s="1141"/>
      <c r="E21" s="1142"/>
    </row>
    <row r="22" spans="1:5" ht="15" thickBot="1" x14ac:dyDescent="0.35">
      <c r="A22" s="1143"/>
      <c r="B22" s="1144"/>
      <c r="C22" s="1144"/>
      <c r="D22" s="1144"/>
      <c r="E22" s="1145"/>
    </row>
    <row r="23" spans="1:5" ht="30" customHeight="1" thickBot="1" x14ac:dyDescent="0.35">
      <c r="A23" s="651" t="s">
        <v>2124</v>
      </c>
      <c r="B23" s="145" t="s">
        <v>142</v>
      </c>
      <c r="C23" s="99" t="s">
        <v>256</v>
      </c>
      <c r="D23" s="100" t="s">
        <v>236</v>
      </c>
      <c r="E23" s="101" t="s">
        <v>212</v>
      </c>
    </row>
    <row r="24" spans="1:5" x14ac:dyDescent="0.3">
      <c r="A24" s="1134" t="s">
        <v>266</v>
      </c>
      <c r="B24" s="1132" t="s">
        <v>225</v>
      </c>
      <c r="C24" s="226" t="s">
        <v>2204</v>
      </c>
      <c r="D24" s="700" t="s">
        <v>210</v>
      </c>
      <c r="E24" s="1172" t="s">
        <v>2185</v>
      </c>
    </row>
    <row r="25" spans="1:5" x14ac:dyDescent="0.3">
      <c r="A25" s="1146"/>
      <c r="B25" s="1139"/>
      <c r="C25" s="391" t="s">
        <v>368</v>
      </c>
      <c r="D25" s="706" t="s">
        <v>210</v>
      </c>
      <c r="E25" s="1138"/>
    </row>
    <row r="26" spans="1:5" x14ac:dyDescent="0.3">
      <c r="A26" s="1135"/>
      <c r="B26" s="1133"/>
      <c r="C26" s="391" t="s">
        <v>2202</v>
      </c>
      <c r="D26" s="706" t="s">
        <v>210</v>
      </c>
      <c r="E26" s="1138"/>
    </row>
    <row r="27" spans="1:5" x14ac:dyDescent="0.3">
      <c r="A27" s="119" t="s">
        <v>2028</v>
      </c>
      <c r="B27" s="103" t="s">
        <v>225</v>
      </c>
      <c r="C27" s="18" t="s">
        <v>1061</v>
      </c>
      <c r="D27" s="27" t="s">
        <v>210</v>
      </c>
      <c r="E27" s="1173"/>
    </row>
    <row r="28" spans="1:5" x14ac:dyDescent="0.3">
      <c r="A28" s="119" t="s">
        <v>369</v>
      </c>
      <c r="B28" s="103" t="s">
        <v>281</v>
      </c>
      <c r="C28" s="152"/>
      <c r="D28" s="141">
        <v>600</v>
      </c>
      <c r="E28" s="22" t="s">
        <v>2185</v>
      </c>
    </row>
    <row r="29" spans="1:5" x14ac:dyDescent="0.3">
      <c r="A29" s="16" t="s">
        <v>774</v>
      </c>
      <c r="B29" s="18" t="s">
        <v>271</v>
      </c>
      <c r="C29" s="18"/>
      <c r="D29" s="27">
        <v>200</v>
      </c>
      <c r="E29" s="22" t="s">
        <v>2185</v>
      </c>
    </row>
    <row r="30" spans="1:5" x14ac:dyDescent="0.3">
      <c r="A30" s="16" t="s">
        <v>744</v>
      </c>
      <c r="B30" s="18" t="s">
        <v>1222</v>
      </c>
      <c r="C30" s="18"/>
      <c r="D30" s="27">
        <v>250</v>
      </c>
      <c r="E30" s="22" t="s">
        <v>367</v>
      </c>
    </row>
    <row r="31" spans="1:5" x14ac:dyDescent="0.3">
      <c r="A31" s="16" t="s">
        <v>791</v>
      </c>
      <c r="B31" s="18" t="s">
        <v>129</v>
      </c>
      <c r="C31" s="18"/>
      <c r="D31" s="139">
        <f>'26. CHEM. SOL._MODEL'!$D$219</f>
        <v>1014</v>
      </c>
      <c r="E31" s="22" t="s">
        <v>1682</v>
      </c>
    </row>
    <row r="32" spans="1:5" x14ac:dyDescent="0.3">
      <c r="A32" s="16" t="s">
        <v>1055</v>
      </c>
      <c r="B32" s="18" t="s">
        <v>225</v>
      </c>
      <c r="C32" s="18" t="s">
        <v>1058</v>
      </c>
      <c r="D32" s="161">
        <f>'26. CHEM. SOL._MODEL'!$D$228</f>
        <v>4.3999999999999997E-2</v>
      </c>
      <c r="E32" s="22" t="s">
        <v>367</v>
      </c>
    </row>
    <row r="33" spans="1:5" x14ac:dyDescent="0.3">
      <c r="A33" s="16" t="s">
        <v>1056</v>
      </c>
      <c r="B33" s="18" t="s">
        <v>225</v>
      </c>
      <c r="C33" s="18" t="s">
        <v>1059</v>
      </c>
      <c r="D33" s="161">
        <f>'26. CHEM. SOL._MODEL'!$D$229</f>
        <v>1.0799999999999999E-2</v>
      </c>
      <c r="E33" s="22" t="s">
        <v>367</v>
      </c>
    </row>
    <row r="34" spans="1:5" x14ac:dyDescent="0.3">
      <c r="A34" s="16" t="s">
        <v>1057</v>
      </c>
      <c r="B34" s="18" t="s">
        <v>225</v>
      </c>
      <c r="C34" s="18" t="s">
        <v>1060</v>
      </c>
      <c r="D34" s="161">
        <f>'26. CHEM. SOL._MODEL'!$D$230</f>
        <v>0.94520000000000004</v>
      </c>
      <c r="E34" s="22" t="s">
        <v>367</v>
      </c>
    </row>
    <row r="35" spans="1:5" x14ac:dyDescent="0.3">
      <c r="A35" s="16" t="s">
        <v>403</v>
      </c>
      <c r="B35" s="18" t="s">
        <v>446</v>
      </c>
      <c r="C35" s="18" t="s">
        <v>285</v>
      </c>
      <c r="D35" s="27">
        <v>25</v>
      </c>
      <c r="E35" s="22" t="s">
        <v>367</v>
      </c>
    </row>
    <row r="36" spans="1:5" x14ac:dyDescent="0.3">
      <c r="A36" s="16" t="s">
        <v>775</v>
      </c>
      <c r="B36" s="18" t="s">
        <v>129</v>
      </c>
      <c r="C36" s="18"/>
      <c r="D36" s="27">
        <v>1000</v>
      </c>
      <c r="E36" s="22" t="s">
        <v>1581</v>
      </c>
    </row>
    <row r="37" spans="1:5" x14ac:dyDescent="0.3">
      <c r="A37" s="16" t="s">
        <v>247</v>
      </c>
      <c r="B37" s="18" t="s">
        <v>225</v>
      </c>
      <c r="C37" s="18" t="s">
        <v>1048</v>
      </c>
      <c r="D37" s="27">
        <v>1</v>
      </c>
      <c r="E37" s="22" t="s">
        <v>2185</v>
      </c>
    </row>
    <row r="38" spans="1:5" x14ac:dyDescent="0.3">
      <c r="A38" s="16" t="s">
        <v>790</v>
      </c>
      <c r="B38" s="18" t="s">
        <v>226</v>
      </c>
      <c r="C38" s="18"/>
      <c r="D38" s="27">
        <f>($D$28/$D$29)*60</f>
        <v>180</v>
      </c>
      <c r="E38" s="22" t="s">
        <v>232</v>
      </c>
    </row>
    <row r="39" spans="1:5" x14ac:dyDescent="0.3">
      <c r="A39" s="16" t="s">
        <v>2117</v>
      </c>
      <c r="B39" s="18" t="s">
        <v>226</v>
      </c>
      <c r="C39" s="18"/>
      <c r="D39" s="27">
        <f>$D$38+120</f>
        <v>300</v>
      </c>
      <c r="E39" s="22" t="s">
        <v>2185</v>
      </c>
    </row>
    <row r="40" spans="1:5" x14ac:dyDescent="0.3">
      <c r="A40" s="578" t="s">
        <v>351</v>
      </c>
      <c r="B40" s="543" t="s">
        <v>131</v>
      </c>
      <c r="C40" s="507"/>
      <c r="D40" s="693">
        <f>'2. PROCESS RECAP '!$E$49</f>
        <v>4.5</v>
      </c>
      <c r="E40" s="579" t="s">
        <v>2208</v>
      </c>
    </row>
    <row r="41" spans="1:5" ht="15" thickBot="1" x14ac:dyDescent="0.35">
      <c r="A41" s="634" t="s">
        <v>246</v>
      </c>
      <c r="B41" s="635" t="s">
        <v>225</v>
      </c>
      <c r="C41" s="717"/>
      <c r="D41" s="636">
        <f>'2. PROCESS RECAP '!$H$49</f>
        <v>2</v>
      </c>
      <c r="E41" s="637" t="s">
        <v>2209</v>
      </c>
    </row>
    <row r="42" spans="1:5" x14ac:dyDescent="0.3">
      <c r="A42" s="1122" t="s">
        <v>291</v>
      </c>
      <c r="B42" s="1123"/>
      <c r="C42" s="1123"/>
      <c r="D42" s="1123"/>
      <c r="E42" s="1124"/>
    </row>
    <row r="43" spans="1:5" x14ac:dyDescent="0.3">
      <c r="A43" s="285" t="s">
        <v>716</v>
      </c>
      <c r="B43" s="15" t="s">
        <v>132</v>
      </c>
      <c r="C43" s="15" t="s">
        <v>1038</v>
      </c>
      <c r="D43" s="286">
        <f>($D$40*(($D$39+$D$39/3)/3600))*'1. USER INPUTS'!$E$23*$D$41</f>
        <v>4.2963326736507879E-3</v>
      </c>
      <c r="E43" s="276" t="s">
        <v>232</v>
      </c>
    </row>
    <row r="44" spans="1:5" x14ac:dyDescent="0.3">
      <c r="A44" s="293" t="s">
        <v>704</v>
      </c>
      <c r="B44" s="15" t="s">
        <v>128</v>
      </c>
      <c r="C44" s="15"/>
      <c r="D44" s="286">
        <f>((($D$30/1000)*$D$32*($D$38/60)*($D$31/1000))*$D$41*'1. USER INPUTS'!$E$23)</f>
        <v>2.8752776785140533E-4</v>
      </c>
      <c r="E44" s="276" t="s">
        <v>232</v>
      </c>
    </row>
    <row r="45" spans="1:5" x14ac:dyDescent="0.3">
      <c r="A45" s="293" t="s">
        <v>430</v>
      </c>
      <c r="B45" s="15" t="s">
        <v>128</v>
      </c>
      <c r="C45" s="15"/>
      <c r="D45" s="107">
        <f>((($D$30/1000)*$D$33*($D$38/60)*($D$31/1000))*$D$41*'1. USER INPUTS'!$E$23)</f>
        <v>7.0574997563526757E-5</v>
      </c>
      <c r="E45" s="276" t="s">
        <v>232</v>
      </c>
    </row>
    <row r="46" spans="1:5" x14ac:dyDescent="0.3">
      <c r="A46" s="285" t="s">
        <v>158</v>
      </c>
      <c r="B46" s="15" t="s">
        <v>128</v>
      </c>
      <c r="C46" s="15"/>
      <c r="D46" s="107">
        <f>((($D$30/1000)*$D$34*($D$38/60)*($D$31/1000))*$D$41*'1. USER INPUTS'!$E$23)</f>
        <v>6.1766192312079178E-3</v>
      </c>
      <c r="E46" s="276" t="s">
        <v>232</v>
      </c>
    </row>
    <row r="47" spans="1:5" x14ac:dyDescent="0.3">
      <c r="A47" s="285" t="s">
        <v>158</v>
      </c>
      <c r="B47" s="15" t="s">
        <v>128</v>
      </c>
      <c r="C47" s="15"/>
      <c r="D47" s="107">
        <f>($D$35*($D$38/60)*($D$36/1000)*$D$41)*'1. USER INPUTS'!$E$23</f>
        <v>0.64444990104761812</v>
      </c>
      <c r="E47" s="276" t="s">
        <v>232</v>
      </c>
    </row>
    <row r="48" spans="1:5" x14ac:dyDescent="0.3">
      <c r="A48" s="285" t="s">
        <v>716</v>
      </c>
      <c r="B48" s="39" t="s">
        <v>132</v>
      </c>
      <c r="C48" s="15" t="s">
        <v>2201</v>
      </c>
      <c r="D48" s="107">
        <f>3*(($D$39+($D$39/3))/3600)*$D$41*'1. USER INPUTS'!$E$23</f>
        <v>2.8642217824338583E-3</v>
      </c>
      <c r="E48" s="276" t="s">
        <v>232</v>
      </c>
    </row>
    <row r="49" spans="1:5" x14ac:dyDescent="0.3">
      <c r="A49" s="1128" t="s">
        <v>292</v>
      </c>
      <c r="B49" s="1129"/>
      <c r="C49" s="1129"/>
      <c r="D49" s="1129"/>
      <c r="E49" s="1130"/>
    </row>
    <row r="50" spans="1:5" x14ac:dyDescent="0.3">
      <c r="A50" s="16" t="s">
        <v>322</v>
      </c>
      <c r="B50" s="18" t="s">
        <v>293</v>
      </c>
      <c r="C50" s="18"/>
      <c r="D50" s="27">
        <v>1</v>
      </c>
      <c r="E50" s="22"/>
    </row>
    <row r="51" spans="1:5" x14ac:dyDescent="0.3">
      <c r="A51" s="116" t="s">
        <v>407</v>
      </c>
      <c r="B51" s="112" t="s">
        <v>128</v>
      </c>
      <c r="C51" s="112" t="s">
        <v>1938</v>
      </c>
      <c r="D51" s="115">
        <f>D44</f>
        <v>2.8752776785140533E-4</v>
      </c>
      <c r="E51" s="282" t="s">
        <v>232</v>
      </c>
    </row>
    <row r="52" spans="1:5" x14ac:dyDescent="0.3">
      <c r="A52" s="116" t="s">
        <v>161</v>
      </c>
      <c r="B52" s="112" t="s">
        <v>128</v>
      </c>
      <c r="C52" s="112" t="s">
        <v>1908</v>
      </c>
      <c r="D52" s="115">
        <f>D45</f>
        <v>7.0574997563526757E-5</v>
      </c>
      <c r="E52" s="282" t="s">
        <v>232</v>
      </c>
    </row>
    <row r="53" spans="1:5" ht="15" thickBot="1" x14ac:dyDescent="0.35">
      <c r="A53" s="110" t="s">
        <v>159</v>
      </c>
      <c r="B53" s="111" t="s">
        <v>521</v>
      </c>
      <c r="C53" s="111" t="s">
        <v>1908</v>
      </c>
      <c r="D53" s="114">
        <f>SUM($D$44:$D$47)/1000</f>
        <v>6.5098462304424094E-4</v>
      </c>
      <c r="E53" s="283" t="s">
        <v>232</v>
      </c>
    </row>
    <row r="54" spans="1:5" x14ac:dyDescent="0.3">
      <c r="A54" s="1140"/>
      <c r="B54" s="1141"/>
      <c r="C54" s="1141"/>
      <c r="D54" s="1141"/>
      <c r="E54" s="1142"/>
    </row>
    <row r="55" spans="1:5" ht="15" thickBot="1" x14ac:dyDescent="0.35">
      <c r="A55" s="1143"/>
      <c r="B55" s="1144"/>
      <c r="C55" s="1144"/>
      <c r="D55" s="1144"/>
      <c r="E55" s="1145"/>
    </row>
    <row r="56" spans="1:5" ht="30" customHeight="1" thickBot="1" x14ac:dyDescent="0.35">
      <c r="A56" s="638" t="s">
        <v>2126</v>
      </c>
      <c r="B56" s="35" t="s">
        <v>142</v>
      </c>
      <c r="C56" s="21" t="s">
        <v>256</v>
      </c>
      <c r="D56" s="26" t="s">
        <v>236</v>
      </c>
      <c r="E56" s="23" t="s">
        <v>212</v>
      </c>
    </row>
    <row r="57" spans="1:5" x14ac:dyDescent="0.3">
      <c r="A57" s="1134" t="s">
        <v>266</v>
      </c>
      <c r="B57" s="1132" t="s">
        <v>225</v>
      </c>
      <c r="C57" s="226" t="s">
        <v>2203</v>
      </c>
      <c r="D57" s="700" t="s">
        <v>210</v>
      </c>
      <c r="E57" s="1172" t="s">
        <v>2185</v>
      </c>
    </row>
    <row r="58" spans="1:5" x14ac:dyDescent="0.3">
      <c r="A58" s="1146"/>
      <c r="B58" s="1139"/>
      <c r="C58" s="391" t="s">
        <v>368</v>
      </c>
      <c r="D58" s="706" t="s">
        <v>210</v>
      </c>
      <c r="E58" s="1138"/>
    </row>
    <row r="59" spans="1:5" x14ac:dyDescent="0.3">
      <c r="A59" s="1135"/>
      <c r="B59" s="1133"/>
      <c r="C59" s="391" t="s">
        <v>2202</v>
      </c>
      <c r="D59" s="706" t="s">
        <v>210</v>
      </c>
      <c r="E59" s="1138"/>
    </row>
    <row r="60" spans="1:5" x14ac:dyDescent="0.3">
      <c r="A60" s="119" t="s">
        <v>2028</v>
      </c>
      <c r="B60" s="103" t="s">
        <v>225</v>
      </c>
      <c r="C60" s="18" t="s">
        <v>1061</v>
      </c>
      <c r="D60" s="27" t="s">
        <v>210</v>
      </c>
      <c r="E60" s="1173"/>
    </row>
    <row r="61" spans="1:5" x14ac:dyDescent="0.3">
      <c r="A61" s="16" t="s">
        <v>369</v>
      </c>
      <c r="B61" s="18" t="s">
        <v>281</v>
      </c>
      <c r="C61" s="44"/>
      <c r="D61" s="27">
        <v>150</v>
      </c>
      <c r="E61" s="22" t="s">
        <v>2185</v>
      </c>
    </row>
    <row r="62" spans="1:5" x14ac:dyDescent="0.3">
      <c r="A62" s="16" t="s">
        <v>774</v>
      </c>
      <c r="B62" s="18" t="s">
        <v>271</v>
      </c>
      <c r="C62" s="18"/>
      <c r="D62" s="27">
        <v>50</v>
      </c>
      <c r="E62" s="22" t="s">
        <v>2185</v>
      </c>
    </row>
    <row r="63" spans="1:5" x14ac:dyDescent="0.3">
      <c r="A63" s="16" t="s">
        <v>744</v>
      </c>
      <c r="B63" s="18" t="s">
        <v>1222</v>
      </c>
      <c r="C63" s="18"/>
      <c r="D63" s="27">
        <v>250</v>
      </c>
      <c r="E63" s="22" t="s">
        <v>367</v>
      </c>
    </row>
    <row r="64" spans="1:5" x14ac:dyDescent="0.3">
      <c r="A64" s="16" t="s">
        <v>791</v>
      </c>
      <c r="B64" s="18" t="s">
        <v>129</v>
      </c>
      <c r="C64" s="18"/>
      <c r="D64" s="139">
        <f>'26. CHEM. SOL._MODEL'!$D$219</f>
        <v>1014</v>
      </c>
      <c r="E64" s="22" t="s">
        <v>1682</v>
      </c>
    </row>
    <row r="65" spans="1:5" x14ac:dyDescent="0.3">
      <c r="A65" s="16" t="s">
        <v>1055</v>
      </c>
      <c r="B65" s="18" t="s">
        <v>225</v>
      </c>
      <c r="C65" s="18" t="s">
        <v>1058</v>
      </c>
      <c r="D65" s="27">
        <f>'26. CHEM. SOL._MODEL'!$D$228</f>
        <v>4.3999999999999997E-2</v>
      </c>
      <c r="E65" s="22" t="s">
        <v>367</v>
      </c>
    </row>
    <row r="66" spans="1:5" x14ac:dyDescent="0.3">
      <c r="A66" s="16" t="s">
        <v>1056</v>
      </c>
      <c r="B66" s="18" t="s">
        <v>225</v>
      </c>
      <c r="C66" s="18" t="s">
        <v>1059</v>
      </c>
      <c r="D66" s="161">
        <f>'26. CHEM. SOL._MODEL'!$D$229</f>
        <v>1.0799999999999999E-2</v>
      </c>
      <c r="E66" s="22" t="s">
        <v>367</v>
      </c>
    </row>
    <row r="67" spans="1:5" x14ac:dyDescent="0.3">
      <c r="A67" s="16" t="s">
        <v>1057</v>
      </c>
      <c r="B67" s="18" t="s">
        <v>225</v>
      </c>
      <c r="C67" s="18" t="s">
        <v>1060</v>
      </c>
      <c r="D67" s="161">
        <f>'26. CHEM. SOL._MODEL'!$D$230</f>
        <v>0.94520000000000004</v>
      </c>
      <c r="E67" s="22" t="s">
        <v>367</v>
      </c>
    </row>
    <row r="68" spans="1:5" x14ac:dyDescent="0.3">
      <c r="A68" s="16" t="s">
        <v>403</v>
      </c>
      <c r="B68" s="18" t="s">
        <v>446</v>
      </c>
      <c r="C68" s="18" t="s">
        <v>285</v>
      </c>
      <c r="D68" s="27">
        <v>25</v>
      </c>
      <c r="E68" s="22" t="s">
        <v>367</v>
      </c>
    </row>
    <row r="69" spans="1:5" x14ac:dyDescent="0.3">
      <c r="A69" s="16" t="s">
        <v>775</v>
      </c>
      <c r="B69" s="18" t="s">
        <v>129</v>
      </c>
      <c r="C69" s="18"/>
      <c r="D69" s="134">
        <f>'25. CHEM. &amp; MAT.'!$F$62</f>
        <v>1000</v>
      </c>
      <c r="E69" s="22" t="s">
        <v>1581</v>
      </c>
    </row>
    <row r="70" spans="1:5" x14ac:dyDescent="0.3">
      <c r="A70" s="16" t="s">
        <v>247</v>
      </c>
      <c r="B70" s="18" t="s">
        <v>225</v>
      </c>
      <c r="C70" s="18" t="s">
        <v>1048</v>
      </c>
      <c r="D70" s="27">
        <v>1</v>
      </c>
      <c r="E70" s="22" t="s">
        <v>2185</v>
      </c>
    </row>
    <row r="71" spans="1:5" x14ac:dyDescent="0.3">
      <c r="A71" s="16" t="s">
        <v>790</v>
      </c>
      <c r="B71" s="18" t="s">
        <v>226</v>
      </c>
      <c r="C71" s="18"/>
      <c r="D71" s="27">
        <f>($D$61/$D$62)*60</f>
        <v>180</v>
      </c>
      <c r="E71" s="22" t="s">
        <v>232</v>
      </c>
    </row>
    <row r="72" spans="1:5" x14ac:dyDescent="0.3">
      <c r="A72" s="16" t="s">
        <v>2117</v>
      </c>
      <c r="B72" s="18" t="s">
        <v>226</v>
      </c>
      <c r="C72" s="18"/>
      <c r="D72" s="27">
        <f>D71+120</f>
        <v>300</v>
      </c>
      <c r="E72" s="22" t="s">
        <v>2185</v>
      </c>
    </row>
    <row r="73" spans="1:5" x14ac:dyDescent="0.3">
      <c r="A73" s="578" t="s">
        <v>351</v>
      </c>
      <c r="B73" s="543" t="s">
        <v>131</v>
      </c>
      <c r="C73" s="507"/>
      <c r="D73" s="693">
        <f>'2. PROCESS RECAP '!$E$50</f>
        <v>4.5</v>
      </c>
      <c r="E73" s="579" t="s">
        <v>2208</v>
      </c>
    </row>
    <row r="74" spans="1:5" ht="15" thickBot="1" x14ac:dyDescent="0.35">
      <c r="A74" s="634" t="s">
        <v>246</v>
      </c>
      <c r="B74" s="635" t="s">
        <v>225</v>
      </c>
      <c r="C74" s="717"/>
      <c r="D74" s="636">
        <f>'2. PROCESS RECAP '!$H$50</f>
        <v>1</v>
      </c>
      <c r="E74" s="637" t="s">
        <v>2209</v>
      </c>
    </row>
    <row r="75" spans="1:5" x14ac:dyDescent="0.3">
      <c r="A75" s="1122" t="s">
        <v>291</v>
      </c>
      <c r="B75" s="1123"/>
      <c r="C75" s="1123"/>
      <c r="D75" s="1123"/>
      <c r="E75" s="1124"/>
    </row>
    <row r="76" spans="1:5" x14ac:dyDescent="0.3">
      <c r="A76" s="285" t="s">
        <v>716</v>
      </c>
      <c r="B76" s="15" t="s">
        <v>132</v>
      </c>
      <c r="C76" s="15" t="s">
        <v>1038</v>
      </c>
      <c r="D76" s="286">
        <f>($D$73*(($D$72+$D$72/3)/3600))*'1. USER INPUTS'!$E$23*$D$74</f>
        <v>2.1481663368253939E-3</v>
      </c>
      <c r="E76" s="276" t="s">
        <v>232</v>
      </c>
    </row>
    <row r="77" spans="1:5" x14ac:dyDescent="0.3">
      <c r="A77" s="293" t="s">
        <v>704</v>
      </c>
      <c r="B77" s="15" t="s">
        <v>128</v>
      </c>
      <c r="C77" s="15"/>
      <c r="D77" s="286">
        <f>((($D$63/1000)*$D$65*($D$71/60)*($D$64/1000))*$D$74*'1. USER INPUTS'!$E$23)</f>
        <v>1.4376388392570266E-4</v>
      </c>
      <c r="E77" s="276" t="s">
        <v>232</v>
      </c>
    </row>
    <row r="78" spans="1:5" x14ac:dyDescent="0.3">
      <c r="A78" s="293" t="s">
        <v>430</v>
      </c>
      <c r="B78" s="15" t="s">
        <v>128</v>
      </c>
      <c r="C78" s="15"/>
      <c r="D78" s="107">
        <f>((($D$63/1000)*$D$66*($D$71/60)*($D$64/1000))*$D$74*'1. USER INPUTS'!$E$23)</f>
        <v>3.5287498781763379E-5</v>
      </c>
      <c r="E78" s="276" t="s">
        <v>232</v>
      </c>
    </row>
    <row r="79" spans="1:5" x14ac:dyDescent="0.3">
      <c r="A79" s="285" t="s">
        <v>158</v>
      </c>
      <c r="B79" s="15" t="s">
        <v>128</v>
      </c>
      <c r="C79" s="15"/>
      <c r="D79" s="107">
        <f>((($D$63/1000)*$D$67*($D$71/60)*($D$64/1000))*$D$74*'1. USER INPUTS'!$E$23)</f>
        <v>3.0883096156039589E-3</v>
      </c>
      <c r="E79" s="276" t="s">
        <v>232</v>
      </c>
    </row>
    <row r="80" spans="1:5" x14ac:dyDescent="0.3">
      <c r="A80" s="285" t="s">
        <v>158</v>
      </c>
      <c r="B80" s="15" t="s">
        <v>128</v>
      </c>
      <c r="C80" s="15"/>
      <c r="D80" s="107">
        <f>($D$68*($D$71/60)*($D$69/1000)*$D$74)*'1. USER INPUTS'!$E$23</f>
        <v>0.32222495052380906</v>
      </c>
      <c r="E80" s="276" t="s">
        <v>232</v>
      </c>
    </row>
    <row r="81" spans="1:5" x14ac:dyDescent="0.3">
      <c r="A81" s="285" t="s">
        <v>716</v>
      </c>
      <c r="B81" s="39" t="s">
        <v>132</v>
      </c>
      <c r="C81" s="15" t="s">
        <v>2201</v>
      </c>
      <c r="D81" s="107">
        <f>3*(($D$71+($D$71/3))/3600)*$D$74*'1. USER INPUTS'!$E$23</f>
        <v>8.5926653473015764E-4</v>
      </c>
      <c r="E81" s="276" t="s">
        <v>232</v>
      </c>
    </row>
    <row r="82" spans="1:5" x14ac:dyDescent="0.3">
      <c r="A82" s="1128" t="s">
        <v>292</v>
      </c>
      <c r="B82" s="1129"/>
      <c r="C82" s="1129"/>
      <c r="D82" s="1129"/>
      <c r="E82" s="1130"/>
    </row>
    <row r="83" spans="1:5" x14ac:dyDescent="0.3">
      <c r="A83" s="16" t="s">
        <v>322</v>
      </c>
      <c r="B83" s="18" t="s">
        <v>293</v>
      </c>
      <c r="C83" s="18"/>
      <c r="D83" s="27">
        <v>1</v>
      </c>
      <c r="E83" s="22"/>
    </row>
    <row r="84" spans="1:5" x14ac:dyDescent="0.3">
      <c r="A84" s="116" t="s">
        <v>407</v>
      </c>
      <c r="B84" s="112" t="s">
        <v>128</v>
      </c>
      <c r="C84" s="112" t="s">
        <v>1938</v>
      </c>
      <c r="D84" s="115">
        <f>$D$77</f>
        <v>1.4376388392570266E-4</v>
      </c>
      <c r="E84" s="282" t="s">
        <v>232</v>
      </c>
    </row>
    <row r="85" spans="1:5" x14ac:dyDescent="0.3">
      <c r="A85" s="116" t="s">
        <v>161</v>
      </c>
      <c r="B85" s="112" t="s">
        <v>128</v>
      </c>
      <c r="C85" s="112" t="s">
        <v>1908</v>
      </c>
      <c r="D85" s="115">
        <f>$D$78</f>
        <v>3.5287498781763379E-5</v>
      </c>
      <c r="E85" s="282" t="s">
        <v>232</v>
      </c>
    </row>
    <row r="86" spans="1:5" ht="15" thickBot="1" x14ac:dyDescent="0.35">
      <c r="A86" s="110" t="s">
        <v>159</v>
      </c>
      <c r="B86" s="111" t="s">
        <v>521</v>
      </c>
      <c r="C86" s="111" t="s">
        <v>1908</v>
      </c>
      <c r="D86" s="114">
        <f>SUM($D$79:$D$80)/1000</f>
        <v>3.2531326013941303E-4</v>
      </c>
      <c r="E86" s="283" t="s">
        <v>232</v>
      </c>
    </row>
    <row r="87" spans="1:5" x14ac:dyDescent="0.3">
      <c r="A87" s="1140"/>
      <c r="B87" s="1141"/>
      <c r="C87" s="1141"/>
      <c r="D87" s="1141"/>
      <c r="E87" s="1142"/>
    </row>
    <row r="88" spans="1:5" ht="15" thickBot="1" x14ac:dyDescent="0.35">
      <c r="A88" s="1143"/>
      <c r="B88" s="1144"/>
      <c r="C88" s="1144"/>
      <c r="D88" s="1144"/>
      <c r="E88" s="1145"/>
    </row>
    <row r="89" spans="1:5" ht="30" customHeight="1" thickBot="1" x14ac:dyDescent="0.35">
      <c r="A89" s="638" t="s">
        <v>2125</v>
      </c>
      <c r="B89" s="35" t="s">
        <v>142</v>
      </c>
      <c r="C89" s="21" t="s">
        <v>256</v>
      </c>
      <c r="D89" s="26" t="s">
        <v>236</v>
      </c>
      <c r="E89" s="23" t="s">
        <v>212</v>
      </c>
    </row>
    <row r="90" spans="1:5" ht="14.4" customHeight="1" x14ac:dyDescent="0.3">
      <c r="A90" s="1134" t="s">
        <v>266</v>
      </c>
      <c r="B90" s="151" t="s">
        <v>225</v>
      </c>
      <c r="C90" s="19" t="s">
        <v>2207</v>
      </c>
      <c r="D90" s="136" t="s">
        <v>210</v>
      </c>
      <c r="E90" s="1136" t="s">
        <v>2185</v>
      </c>
    </row>
    <row r="91" spans="1:5" ht="14.4" customHeight="1" x14ac:dyDescent="0.3">
      <c r="A91" s="1135"/>
      <c r="B91" s="18" t="s">
        <v>225</v>
      </c>
      <c r="C91" s="103" t="s">
        <v>2205</v>
      </c>
      <c r="D91" s="141" t="s">
        <v>210</v>
      </c>
      <c r="E91" s="1137"/>
    </row>
    <row r="92" spans="1:5" ht="14.4" customHeight="1" x14ac:dyDescent="0.3">
      <c r="A92" s="119" t="s">
        <v>2028</v>
      </c>
      <c r="B92" s="18" t="s">
        <v>225</v>
      </c>
      <c r="C92" s="103" t="s">
        <v>2206</v>
      </c>
      <c r="D92" s="141" t="s">
        <v>210</v>
      </c>
      <c r="E92" s="1138"/>
    </row>
    <row r="93" spans="1:5" x14ac:dyDescent="0.3">
      <c r="A93" s="16" t="s">
        <v>775</v>
      </c>
      <c r="B93" s="18" t="s">
        <v>129</v>
      </c>
      <c r="C93" s="18"/>
      <c r="D93" s="168">
        <f>'25. CHEM. &amp; MAT.'!$F$62</f>
        <v>1000</v>
      </c>
      <c r="E93" s="22" t="s">
        <v>1581</v>
      </c>
    </row>
    <row r="94" spans="1:5" x14ac:dyDescent="0.3">
      <c r="A94" s="16" t="s">
        <v>403</v>
      </c>
      <c r="B94" s="18" t="s">
        <v>446</v>
      </c>
      <c r="C94" s="18"/>
      <c r="D94" s="27">
        <v>20</v>
      </c>
      <c r="E94" s="22" t="s">
        <v>2185</v>
      </c>
    </row>
    <row r="95" spans="1:5" x14ac:dyDescent="0.3">
      <c r="A95" s="16" t="s">
        <v>2031</v>
      </c>
      <c r="B95" s="18" t="s">
        <v>226</v>
      </c>
      <c r="C95" s="18"/>
      <c r="D95" s="27">
        <v>60</v>
      </c>
      <c r="E95" s="22" t="s">
        <v>2185</v>
      </c>
    </row>
    <row r="96" spans="1:5" x14ac:dyDescent="0.3">
      <c r="A96" s="16" t="s">
        <v>1435</v>
      </c>
      <c r="B96" s="18" t="s">
        <v>129</v>
      </c>
      <c r="C96" s="18" t="s">
        <v>1440</v>
      </c>
      <c r="D96" s="139">
        <f>'26. CHEM. SOL._MODEL'!$D$44</f>
        <v>1018.8372093023255</v>
      </c>
      <c r="E96" s="22" t="s">
        <v>1682</v>
      </c>
    </row>
    <row r="97" spans="1:5" x14ac:dyDescent="0.3">
      <c r="A97" s="16" t="s">
        <v>1436</v>
      </c>
      <c r="B97" s="18" t="s">
        <v>446</v>
      </c>
      <c r="C97" s="18"/>
      <c r="D97" s="27">
        <v>20</v>
      </c>
      <c r="E97" s="22" t="s">
        <v>2185</v>
      </c>
    </row>
    <row r="98" spans="1:5" x14ac:dyDescent="0.3">
      <c r="A98" s="46" t="s">
        <v>1439</v>
      </c>
      <c r="B98" s="18" t="s">
        <v>226</v>
      </c>
      <c r="C98" s="18"/>
      <c r="D98" s="27">
        <v>60</v>
      </c>
      <c r="E98" s="22" t="s">
        <v>2185</v>
      </c>
    </row>
    <row r="99" spans="1:5" x14ac:dyDescent="0.3">
      <c r="A99" s="4" t="s">
        <v>1684</v>
      </c>
      <c r="B99" s="18" t="s">
        <v>214</v>
      </c>
      <c r="C99" s="18"/>
      <c r="D99" s="161">
        <f>'26. CHEM. SOL._MODEL'!$D$55</f>
        <v>6.0237388724035607E-3</v>
      </c>
      <c r="E99" s="22" t="s">
        <v>1682</v>
      </c>
    </row>
    <row r="100" spans="1:5" x14ac:dyDescent="0.3">
      <c r="A100" s="76" t="s">
        <v>1685</v>
      </c>
      <c r="B100" s="18" t="s">
        <v>214</v>
      </c>
      <c r="C100" s="18"/>
      <c r="D100" s="161">
        <f>'26. CHEM. SOL._MODEL'!$D$57</f>
        <v>1.985847979913262E-2</v>
      </c>
      <c r="E100" s="22" t="s">
        <v>1682</v>
      </c>
    </row>
    <row r="101" spans="1:5" x14ac:dyDescent="0.3">
      <c r="A101" s="76" t="s">
        <v>1472</v>
      </c>
      <c r="B101" s="18" t="s">
        <v>214</v>
      </c>
      <c r="C101" s="18"/>
      <c r="D101" s="161">
        <f>'26. CHEM. SOL._MODEL'!$D$56</f>
        <v>0.97411778132846383</v>
      </c>
      <c r="E101" s="22" t="s">
        <v>1682</v>
      </c>
    </row>
    <row r="102" spans="1:5" x14ac:dyDescent="0.3">
      <c r="A102" s="16" t="s">
        <v>841</v>
      </c>
      <c r="B102" s="18" t="s">
        <v>129</v>
      </c>
      <c r="C102" s="18"/>
      <c r="D102" s="134">
        <f>'25. CHEM. &amp; MAT.'!$F$14</f>
        <v>1.25</v>
      </c>
      <c r="E102" s="22" t="s">
        <v>1581</v>
      </c>
    </row>
    <row r="103" spans="1:5" x14ac:dyDescent="0.3">
      <c r="A103" s="16" t="s">
        <v>745</v>
      </c>
      <c r="B103" s="18" t="s">
        <v>446</v>
      </c>
      <c r="C103" s="18"/>
      <c r="D103" s="27">
        <v>141.6</v>
      </c>
      <c r="E103" s="22" t="s">
        <v>2185</v>
      </c>
    </row>
    <row r="104" spans="1:5" ht="15" customHeight="1" x14ac:dyDescent="0.3">
      <c r="A104" s="16" t="s">
        <v>1226</v>
      </c>
      <c r="B104" s="18" t="s">
        <v>226</v>
      </c>
      <c r="C104" s="18"/>
      <c r="D104" s="144">
        <v>60</v>
      </c>
      <c r="E104" s="22" t="s">
        <v>2185</v>
      </c>
    </row>
    <row r="105" spans="1:5" ht="15" customHeight="1" x14ac:dyDescent="0.3">
      <c r="A105" s="16" t="s">
        <v>247</v>
      </c>
      <c r="B105" s="18" t="s">
        <v>225</v>
      </c>
      <c r="C105" s="18" t="s">
        <v>1225</v>
      </c>
      <c r="D105" s="27">
        <v>1</v>
      </c>
      <c r="E105" s="22" t="s">
        <v>2185</v>
      </c>
    </row>
    <row r="106" spans="1:5" x14ac:dyDescent="0.3">
      <c r="A106" s="16" t="s">
        <v>2117</v>
      </c>
      <c r="B106" s="18" t="s">
        <v>226</v>
      </c>
      <c r="C106" s="18"/>
      <c r="D106" s="18">
        <f>SUM(D95,D98,D104)</f>
        <v>180</v>
      </c>
      <c r="E106" s="22" t="s">
        <v>232</v>
      </c>
    </row>
    <row r="107" spans="1:5" x14ac:dyDescent="0.3">
      <c r="A107" s="578" t="s">
        <v>351</v>
      </c>
      <c r="B107" s="543" t="s">
        <v>131</v>
      </c>
      <c r="C107" s="543"/>
      <c r="D107" s="693">
        <f>'2. PROCESS RECAP '!$E$51</f>
        <v>0.9</v>
      </c>
      <c r="E107" s="579" t="s">
        <v>2208</v>
      </c>
    </row>
    <row r="108" spans="1:5" ht="15" thickBot="1" x14ac:dyDescent="0.35">
      <c r="A108" s="718" t="s">
        <v>246</v>
      </c>
      <c r="B108" s="719" t="s">
        <v>225</v>
      </c>
      <c r="C108" s="719"/>
      <c r="D108" s="720">
        <f>'2. PROCESS RECAP '!$H$51</f>
        <v>3</v>
      </c>
      <c r="E108" s="637" t="s">
        <v>2209</v>
      </c>
    </row>
    <row r="109" spans="1:5" x14ac:dyDescent="0.3">
      <c r="A109" s="1147" t="s">
        <v>291</v>
      </c>
      <c r="B109" s="1148"/>
      <c r="C109" s="1148"/>
      <c r="D109" s="1148"/>
      <c r="E109" s="1149"/>
    </row>
    <row r="110" spans="1:5" x14ac:dyDescent="0.3">
      <c r="A110" s="285" t="s">
        <v>716</v>
      </c>
      <c r="B110" s="15" t="s">
        <v>132</v>
      </c>
      <c r="C110" s="15" t="s">
        <v>1038</v>
      </c>
      <c r="D110" s="286">
        <f>($D$107*(($D$106+$D$106/3)/3600))*$D$108*'1. USER INPUTS'!$E$23</f>
        <v>7.7333988125714175E-4</v>
      </c>
      <c r="E110" s="276" t="s">
        <v>232</v>
      </c>
    </row>
    <row r="111" spans="1:5" x14ac:dyDescent="0.3">
      <c r="A111" s="285" t="s">
        <v>380</v>
      </c>
      <c r="B111" s="15" t="s">
        <v>128</v>
      </c>
      <c r="C111" s="15" t="s">
        <v>1441</v>
      </c>
      <c r="D111" s="286">
        <f>($D$98/60)*$D$97*($D$96/1000)*$D$99*$D$108*'1. USER INPUTS'!$E$23</f>
        <v>1.5820495710368969E-3</v>
      </c>
      <c r="E111" s="276" t="s">
        <v>232</v>
      </c>
    </row>
    <row r="112" spans="1:5" x14ac:dyDescent="0.3">
      <c r="A112" s="293" t="s">
        <v>430</v>
      </c>
      <c r="B112" s="3" t="s">
        <v>128</v>
      </c>
      <c r="C112" s="3"/>
      <c r="D112" s="307">
        <f>($D$98/60)*$D$97*($D$96/1000)*$D$100*$D$108*'1. USER INPUTS'!$E$23</f>
        <v>5.2155480363853743E-3</v>
      </c>
      <c r="E112" s="276" t="s">
        <v>232</v>
      </c>
    </row>
    <row r="113" spans="1:5" x14ac:dyDescent="0.3">
      <c r="A113" s="285" t="s">
        <v>158</v>
      </c>
      <c r="B113" s="15" t="s">
        <v>128</v>
      </c>
      <c r="C113" s="3"/>
      <c r="D113" s="307">
        <f>($D$98/60)*$D$97*($D$96/1000)*$D$101*$D$108*'1. USER INPUTS'!$E$23</f>
        <v>0.25583821787998373</v>
      </c>
      <c r="E113" s="276" t="s">
        <v>232</v>
      </c>
    </row>
    <row r="114" spans="1:5" x14ac:dyDescent="0.3">
      <c r="A114" s="285" t="s">
        <v>158</v>
      </c>
      <c r="B114" s="15" t="s">
        <v>128</v>
      </c>
      <c r="C114" s="3"/>
      <c r="D114" s="307">
        <f>($D$95/60)*$D$94*($D$93/1000)*D108*'1. USER INPUTS'!$E$23</f>
        <v>0.25777996041904727</v>
      </c>
      <c r="E114" s="276" t="s">
        <v>232</v>
      </c>
    </row>
    <row r="115" spans="1:5" x14ac:dyDescent="0.3">
      <c r="A115" s="3" t="s">
        <v>962</v>
      </c>
      <c r="B115" s="15" t="s">
        <v>128</v>
      </c>
      <c r="C115" s="3"/>
      <c r="D115" s="307">
        <f>($D$104/60)*$D$103*($D$102/1000)*D108*'1. USER INPUTS'!$E$23</f>
        <v>2.2813526497085681E-3</v>
      </c>
      <c r="E115" s="276" t="s">
        <v>232</v>
      </c>
    </row>
    <row r="116" spans="1:5" x14ac:dyDescent="0.3">
      <c r="A116" s="1128" t="s">
        <v>292</v>
      </c>
      <c r="B116" s="1129"/>
      <c r="C116" s="1129"/>
      <c r="D116" s="1129"/>
      <c r="E116" s="1130"/>
    </row>
    <row r="117" spans="1:5" x14ac:dyDescent="0.3">
      <c r="A117" s="16" t="s">
        <v>322</v>
      </c>
      <c r="B117" s="47" t="s">
        <v>293</v>
      </c>
      <c r="C117" s="18"/>
      <c r="D117" s="27">
        <v>1</v>
      </c>
      <c r="E117" s="22"/>
    </row>
    <row r="118" spans="1:5" x14ac:dyDescent="0.3">
      <c r="A118" s="312" t="s">
        <v>155</v>
      </c>
      <c r="B118" s="113" t="s">
        <v>128</v>
      </c>
      <c r="C118" s="113" t="s">
        <v>1879</v>
      </c>
      <c r="D118" s="124">
        <f>$D$111</f>
        <v>1.5820495710368969E-3</v>
      </c>
      <c r="E118" s="291" t="s">
        <v>232</v>
      </c>
    </row>
    <row r="119" spans="1:5" x14ac:dyDescent="0.3">
      <c r="A119" s="116" t="s">
        <v>161</v>
      </c>
      <c r="B119" s="113" t="s">
        <v>128</v>
      </c>
      <c r="C119" s="113" t="s">
        <v>1879</v>
      </c>
      <c r="D119" s="124">
        <f>$D$112</f>
        <v>5.2155480363853743E-3</v>
      </c>
      <c r="E119" s="291" t="s">
        <v>232</v>
      </c>
    </row>
    <row r="120" spans="1:5" x14ac:dyDescent="0.3">
      <c r="A120" s="312" t="s">
        <v>159</v>
      </c>
      <c r="B120" s="113" t="s">
        <v>521</v>
      </c>
      <c r="C120" s="113" t="s">
        <v>1879</v>
      </c>
      <c r="D120" s="124">
        <f>SUM($D$113:$D$114)/1000</f>
        <v>5.13618178299031E-4</v>
      </c>
      <c r="E120" s="291" t="s">
        <v>232</v>
      </c>
    </row>
    <row r="121" spans="1:5" ht="15" thickBot="1" x14ac:dyDescent="0.35">
      <c r="A121" s="301" t="s">
        <v>816</v>
      </c>
      <c r="B121" s="111" t="s">
        <v>128</v>
      </c>
      <c r="C121" s="118" t="s">
        <v>1876</v>
      </c>
      <c r="D121" s="117">
        <f>$D$115</f>
        <v>2.2813526497085681E-3</v>
      </c>
      <c r="E121" s="283" t="s">
        <v>232</v>
      </c>
    </row>
  </sheetData>
  <sheetProtection algorithmName="SHA-512" hashValue="KymqLbOtgYXvFToStvdB3iI24mMovklba/9RIU10rYwtNXru53170QMEH0yGy6EuQzay1jmSZdin8QtYL3/d4g==" saltValue="a1SUSoCeFKGdH/wyAkyucg==" spinCount="100000" sheet="1" objects="1" scenarios="1"/>
  <mergeCells count="19">
    <mergeCell ref="A5:E5"/>
    <mergeCell ref="A12:E12"/>
    <mergeCell ref="A42:E42"/>
    <mergeCell ref="A49:E49"/>
    <mergeCell ref="A75:E75"/>
    <mergeCell ref="A109:E109"/>
    <mergeCell ref="A116:E116"/>
    <mergeCell ref="A21:E22"/>
    <mergeCell ref="A54:E55"/>
    <mergeCell ref="A87:E88"/>
    <mergeCell ref="A82:E82"/>
    <mergeCell ref="E24:E27"/>
    <mergeCell ref="E57:E60"/>
    <mergeCell ref="A24:A26"/>
    <mergeCell ref="B24:B26"/>
    <mergeCell ref="A57:A59"/>
    <mergeCell ref="B57:B59"/>
    <mergeCell ref="E90:E92"/>
    <mergeCell ref="A90:A9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8B1D-21F4-4D1F-B0D1-2B25A4A18E29}">
  <dimension ref="A1:E67"/>
  <sheetViews>
    <sheetView zoomScale="85" zoomScaleNormal="85" workbookViewId="0">
      <selection activeCell="D47" sqref="D47"/>
    </sheetView>
  </sheetViews>
  <sheetFormatPr baseColWidth="10" defaultRowHeight="14.4" x14ac:dyDescent="0.3"/>
  <cols>
    <col min="1" max="1" width="66" customWidth="1"/>
    <col min="2" max="2" width="15.33203125" customWidth="1"/>
    <col min="3" max="3" width="132.77734375" bestFit="1" customWidth="1"/>
    <col min="4" max="4" width="23.88671875" customWidth="1"/>
    <col min="5" max="5" width="58.21875" bestFit="1" customWidth="1"/>
  </cols>
  <sheetData>
    <row r="1" spans="1:5" ht="15" thickBot="1" x14ac:dyDescent="0.35">
      <c r="A1" t="s">
        <v>135</v>
      </c>
    </row>
    <row r="2" spans="1:5" ht="30" customHeight="1" thickBot="1" x14ac:dyDescent="0.35">
      <c r="A2" s="638" t="s">
        <v>1887</v>
      </c>
      <c r="B2" s="35" t="s">
        <v>142</v>
      </c>
      <c r="C2" s="21" t="s">
        <v>256</v>
      </c>
      <c r="D2" s="26" t="s">
        <v>236</v>
      </c>
      <c r="E2" s="23" t="s">
        <v>212</v>
      </c>
    </row>
    <row r="3" spans="1:5" x14ac:dyDescent="0.3">
      <c r="A3" s="18" t="s">
        <v>2186</v>
      </c>
      <c r="B3" s="18" t="s">
        <v>225</v>
      </c>
      <c r="C3" s="18"/>
      <c r="D3" s="27">
        <f>SUM($D$31,$D$58)</f>
        <v>2</v>
      </c>
      <c r="E3" s="22" t="s">
        <v>232</v>
      </c>
    </row>
    <row r="4" spans="1:5" x14ac:dyDescent="0.3">
      <c r="A4" s="18" t="s">
        <v>2178</v>
      </c>
      <c r="B4" s="18" t="s">
        <v>226</v>
      </c>
      <c r="C4" s="18"/>
      <c r="D4" s="138">
        <f>SUM($D$29,$D$55)</f>
        <v>417.72727272727269</v>
      </c>
      <c r="E4" s="22" t="s">
        <v>232</v>
      </c>
    </row>
    <row r="5" spans="1:5" x14ac:dyDescent="0.3">
      <c r="A5" s="1125" t="s">
        <v>291</v>
      </c>
      <c r="B5" s="1126"/>
      <c r="C5" s="1126"/>
      <c r="D5" s="1126"/>
      <c r="E5" s="1127"/>
    </row>
    <row r="6" spans="1:5" x14ac:dyDescent="0.3">
      <c r="A6" s="285" t="s">
        <v>716</v>
      </c>
      <c r="B6" s="15" t="s">
        <v>132</v>
      </c>
      <c r="C6" s="15" t="s">
        <v>2229</v>
      </c>
      <c r="D6" s="107">
        <f>SUM($D$33,$D$60,$D$62)</f>
        <v>5.6386111544186549E-3</v>
      </c>
      <c r="E6" s="276" t="s">
        <v>232</v>
      </c>
    </row>
    <row r="7" spans="1:5" x14ac:dyDescent="0.3">
      <c r="A7" s="293" t="s">
        <v>158</v>
      </c>
      <c r="B7" s="15" t="s">
        <v>128</v>
      </c>
      <c r="C7" s="15"/>
      <c r="D7" s="107">
        <f>$D$61</f>
        <v>0.53297308735630033</v>
      </c>
      <c r="E7" s="276" t="s">
        <v>232</v>
      </c>
    </row>
    <row r="8" spans="1:5" x14ac:dyDescent="0.3">
      <c r="A8" s="293" t="s">
        <v>400</v>
      </c>
      <c r="B8" s="15" t="s">
        <v>128</v>
      </c>
      <c r="C8" s="15" t="s">
        <v>1051</v>
      </c>
      <c r="D8" s="107">
        <f>$D$35</f>
        <v>3.7522569518475129E-5</v>
      </c>
      <c r="E8" s="276" t="s">
        <v>232</v>
      </c>
    </row>
    <row r="9" spans="1:5" x14ac:dyDescent="0.3">
      <c r="A9" s="298" t="s">
        <v>718</v>
      </c>
      <c r="B9" s="15" t="s">
        <v>128</v>
      </c>
      <c r="C9" s="15" t="s">
        <v>1052</v>
      </c>
      <c r="D9" s="107">
        <f>$D$34</f>
        <v>2.9964066306120425E-4</v>
      </c>
      <c r="E9" s="276" t="s">
        <v>232</v>
      </c>
    </row>
    <row r="10" spans="1:5" x14ac:dyDescent="0.3">
      <c r="A10" s="1128" t="s">
        <v>292</v>
      </c>
      <c r="B10" s="1129"/>
      <c r="C10" s="1129"/>
      <c r="D10" s="1129"/>
      <c r="E10" s="1130"/>
    </row>
    <row r="11" spans="1:5" x14ac:dyDescent="0.3">
      <c r="A11" s="16" t="s">
        <v>322</v>
      </c>
      <c r="B11" s="18" t="s">
        <v>293</v>
      </c>
      <c r="C11" s="18"/>
      <c r="D11" s="27">
        <v>1</v>
      </c>
      <c r="E11" s="34"/>
    </row>
    <row r="12" spans="1:5" x14ac:dyDescent="0.3">
      <c r="A12" s="539" t="s">
        <v>1844</v>
      </c>
      <c r="B12" s="294" t="s">
        <v>153</v>
      </c>
      <c r="C12" s="113" t="s">
        <v>1910</v>
      </c>
      <c r="D12" s="115">
        <f>$D$65</f>
        <v>2.0598945852741302E-4</v>
      </c>
      <c r="E12" s="291" t="s">
        <v>232</v>
      </c>
    </row>
    <row r="13" spans="1:5" ht="15" thickBot="1" x14ac:dyDescent="0.35">
      <c r="A13" s="112" t="s">
        <v>1957</v>
      </c>
      <c r="B13" s="112" t="s">
        <v>128</v>
      </c>
      <c r="C13" s="113" t="s">
        <v>1911</v>
      </c>
      <c r="D13" s="115">
        <f>$D$66</f>
        <v>5.3297308735630032E-4</v>
      </c>
      <c r="E13" s="291" t="s">
        <v>232</v>
      </c>
    </row>
    <row r="14" spans="1:5" x14ac:dyDescent="0.3">
      <c r="A14" s="1163"/>
      <c r="B14" s="1164"/>
      <c r="C14" s="1164"/>
      <c r="D14" s="1164"/>
      <c r="E14" s="1165"/>
    </row>
    <row r="15" spans="1:5" ht="15" thickBot="1" x14ac:dyDescent="0.35">
      <c r="A15" s="1166"/>
      <c r="B15" s="1167"/>
      <c r="C15" s="1167"/>
      <c r="D15" s="1167"/>
      <c r="E15" s="1168"/>
    </row>
    <row r="16" spans="1:5" ht="30" customHeight="1" thickBot="1" x14ac:dyDescent="0.35">
      <c r="A16" s="638" t="s">
        <v>2134</v>
      </c>
      <c r="B16" s="35" t="s">
        <v>142</v>
      </c>
      <c r="C16" s="21" t="s">
        <v>256</v>
      </c>
      <c r="D16" s="26" t="s">
        <v>236</v>
      </c>
      <c r="E16" s="23" t="s">
        <v>212</v>
      </c>
    </row>
    <row r="17" spans="1:5" x14ac:dyDescent="0.3">
      <c r="A17" s="1134" t="s">
        <v>266</v>
      </c>
      <c r="B17" s="1132" t="s">
        <v>225</v>
      </c>
      <c r="C17" s="19" t="s">
        <v>399</v>
      </c>
      <c r="D17" s="300" t="s">
        <v>210</v>
      </c>
      <c r="E17" s="1136" t="s">
        <v>2106</v>
      </c>
    </row>
    <row r="18" spans="1:5" x14ac:dyDescent="0.3">
      <c r="A18" s="1146"/>
      <c r="B18" s="1139"/>
      <c r="C18" s="18" t="s">
        <v>2184</v>
      </c>
      <c r="D18" s="154" t="s">
        <v>210</v>
      </c>
      <c r="E18" s="1137"/>
    </row>
    <row r="19" spans="1:5" x14ac:dyDescent="0.3">
      <c r="A19" s="1146"/>
      <c r="B19" s="1139"/>
      <c r="C19" s="103" t="s">
        <v>1998</v>
      </c>
      <c r="D19" s="154" t="s">
        <v>210</v>
      </c>
      <c r="E19" s="1137"/>
    </row>
    <row r="20" spans="1:5" x14ac:dyDescent="0.3">
      <c r="A20" s="1135"/>
      <c r="B20" s="1133"/>
      <c r="C20" s="103" t="s">
        <v>2189</v>
      </c>
      <c r="D20" s="154" t="s">
        <v>210</v>
      </c>
      <c r="E20" s="1137"/>
    </row>
    <row r="21" spans="1:5" x14ac:dyDescent="0.3">
      <c r="A21" s="16" t="s">
        <v>2028</v>
      </c>
      <c r="B21" s="18" t="s">
        <v>225</v>
      </c>
      <c r="C21" s="103" t="s">
        <v>1054</v>
      </c>
      <c r="D21" s="154" t="s">
        <v>210</v>
      </c>
      <c r="E21" s="1138"/>
    </row>
    <row r="22" spans="1:5" x14ac:dyDescent="0.3">
      <c r="A22" s="119" t="s">
        <v>188</v>
      </c>
      <c r="B22" s="103" t="s">
        <v>309</v>
      </c>
      <c r="D22" s="154">
        <f>'1. USER INPUTS'!$E$12</f>
        <v>200</v>
      </c>
      <c r="E22" s="33" t="s">
        <v>398</v>
      </c>
    </row>
    <row r="23" spans="1:5" x14ac:dyDescent="0.3">
      <c r="A23" s="16" t="s">
        <v>235</v>
      </c>
      <c r="B23" s="18" t="s">
        <v>231</v>
      </c>
      <c r="C23" s="18"/>
      <c r="D23" s="137">
        <f>PI()*(($D$44/1000)/2)^2</f>
        <v>3.1415926535897934E-2</v>
      </c>
      <c r="E23" s="22" t="s">
        <v>232</v>
      </c>
    </row>
    <row r="24" spans="1:5" x14ac:dyDescent="0.3">
      <c r="A24" s="16" t="s">
        <v>395</v>
      </c>
      <c r="B24" s="18" t="s">
        <v>130</v>
      </c>
      <c r="C24" s="18" t="s">
        <v>2183</v>
      </c>
      <c r="D24" s="275">
        <f>0.001</f>
        <v>1E-3</v>
      </c>
      <c r="E24" s="22" t="s">
        <v>2185</v>
      </c>
    </row>
    <row r="25" spans="1:5" x14ac:dyDescent="0.3">
      <c r="A25" s="16" t="s">
        <v>759</v>
      </c>
      <c r="B25" s="18" t="s">
        <v>129</v>
      </c>
      <c r="C25" s="18" t="s">
        <v>1997</v>
      </c>
      <c r="D25" s="134">
        <f>'25. CHEM. &amp; MAT.'!F95</f>
        <v>2220</v>
      </c>
      <c r="E25" s="22" t="s">
        <v>1878</v>
      </c>
    </row>
    <row r="26" spans="1:5" x14ac:dyDescent="0.3">
      <c r="A26" s="16" t="s">
        <v>878</v>
      </c>
      <c r="B26" s="18" t="s">
        <v>130</v>
      </c>
      <c r="C26" s="18" t="s">
        <v>2188</v>
      </c>
      <c r="D26" s="275">
        <f>0.0002</f>
        <v>2.0000000000000001E-4</v>
      </c>
      <c r="E26" s="22" t="s">
        <v>2185</v>
      </c>
    </row>
    <row r="27" spans="1:5" x14ac:dyDescent="0.3">
      <c r="A27" s="16" t="s">
        <v>879</v>
      </c>
      <c r="B27" s="18" t="s">
        <v>129</v>
      </c>
      <c r="C27" s="18" t="s">
        <v>2187</v>
      </c>
      <c r="D27" s="134">
        <f>'25. CHEM. &amp; MAT.'!$F$97</f>
        <v>1390</v>
      </c>
      <c r="E27" s="22" t="s">
        <v>1878</v>
      </c>
    </row>
    <row r="28" spans="1:5" x14ac:dyDescent="0.3">
      <c r="A28" s="16" t="s">
        <v>247</v>
      </c>
      <c r="B28" s="18" t="s">
        <v>225</v>
      </c>
      <c r="C28" s="18" t="s">
        <v>1048</v>
      </c>
      <c r="D28" s="138">
        <v>1</v>
      </c>
      <c r="E28" s="22" t="s">
        <v>2185</v>
      </c>
    </row>
    <row r="29" spans="1:5" x14ac:dyDescent="0.3">
      <c r="A29" s="16" t="s">
        <v>2117</v>
      </c>
      <c r="B29" s="18" t="s">
        <v>226</v>
      </c>
      <c r="C29" s="18"/>
      <c r="D29" s="138">
        <v>120</v>
      </c>
      <c r="E29" s="22" t="s">
        <v>2185</v>
      </c>
    </row>
    <row r="30" spans="1:5" x14ac:dyDescent="0.3">
      <c r="A30" s="578" t="s">
        <v>351</v>
      </c>
      <c r="B30" s="543" t="s">
        <v>131</v>
      </c>
      <c r="C30" s="543"/>
      <c r="D30" s="701">
        <f>'2. PROCESS RECAP '!$E$53</f>
        <v>7.2</v>
      </c>
      <c r="E30" s="579" t="s">
        <v>2208</v>
      </c>
    </row>
    <row r="31" spans="1:5" ht="15" thickBot="1" x14ac:dyDescent="0.35">
      <c r="A31" s="634" t="s">
        <v>246</v>
      </c>
      <c r="B31" s="635" t="s">
        <v>225</v>
      </c>
      <c r="C31" s="635"/>
      <c r="D31" s="636">
        <f>'2. PROCESS RECAP '!$H$53</f>
        <v>1</v>
      </c>
      <c r="E31" s="637" t="s">
        <v>2209</v>
      </c>
    </row>
    <row r="32" spans="1:5" x14ac:dyDescent="0.3">
      <c r="A32" s="702" t="s">
        <v>291</v>
      </c>
      <c r="B32" s="703"/>
      <c r="C32" s="703"/>
      <c r="D32" s="704"/>
      <c r="E32" s="705"/>
    </row>
    <row r="33" spans="1:5" x14ac:dyDescent="0.3">
      <c r="A33" s="285" t="s">
        <v>716</v>
      </c>
      <c r="B33" s="15" t="s">
        <v>132</v>
      </c>
      <c r="C33" s="15" t="s">
        <v>1038</v>
      </c>
      <c r="D33" s="107">
        <f>($D$30*(($D$29+$D$29/3)/3600))*'1. USER INPUTS'!$E$23</f>
        <v>1.3748264555682522E-3</v>
      </c>
      <c r="E33" s="109" t="s">
        <v>232</v>
      </c>
    </row>
    <row r="34" spans="1:5" x14ac:dyDescent="0.3">
      <c r="A34" s="298" t="s">
        <v>718</v>
      </c>
      <c r="B34" s="15" t="s">
        <v>128</v>
      </c>
      <c r="C34" s="15" t="s">
        <v>2190</v>
      </c>
      <c r="D34" s="107">
        <f>((PI()*($D$22*0.001/2)^2))*$D$24*$D$25*'1. USER INPUTS'!$E$23</f>
        <v>2.9964066306120425E-4</v>
      </c>
      <c r="E34" s="109" t="s">
        <v>232</v>
      </c>
    </row>
    <row r="35" spans="1:5" x14ac:dyDescent="0.3">
      <c r="A35" s="293" t="s">
        <v>400</v>
      </c>
      <c r="B35" s="15" t="s">
        <v>128</v>
      </c>
      <c r="C35" s="15"/>
      <c r="D35" s="299">
        <f>((PI()*($D$22*0.001/2)^2))*$D$26*$D$27*'1. USER INPUTS'!$E$23</f>
        <v>3.7522569518475129E-5</v>
      </c>
      <c r="E35" s="109" t="s">
        <v>232</v>
      </c>
    </row>
    <row r="36" spans="1:5" x14ac:dyDescent="0.3">
      <c r="A36" s="65" t="s">
        <v>292</v>
      </c>
      <c r="B36" s="288"/>
      <c r="C36" s="288"/>
      <c r="D36" s="289"/>
      <c r="E36" s="290"/>
    </row>
    <row r="37" spans="1:5" x14ac:dyDescent="0.3">
      <c r="A37" s="16" t="s">
        <v>322</v>
      </c>
      <c r="B37" s="18" t="s">
        <v>293</v>
      </c>
      <c r="C37" s="18"/>
      <c r="D37" s="27">
        <v>1</v>
      </c>
      <c r="E37" s="22"/>
    </row>
    <row r="38" spans="1:5" ht="15" thickBot="1" x14ac:dyDescent="0.35">
      <c r="A38" s="110"/>
      <c r="B38" s="111"/>
      <c r="C38" s="111"/>
      <c r="D38" s="114"/>
      <c r="E38" s="283"/>
    </row>
    <row r="39" spans="1:5" x14ac:dyDescent="0.3">
      <c r="A39" s="1163"/>
      <c r="B39" s="1164"/>
      <c r="C39" s="1164"/>
      <c r="D39" s="1164"/>
      <c r="E39" s="1165"/>
    </row>
    <row r="40" spans="1:5" ht="15" thickBot="1" x14ac:dyDescent="0.35">
      <c r="A40" s="1166"/>
      <c r="B40" s="1167"/>
      <c r="C40" s="1167"/>
      <c r="D40" s="1167"/>
      <c r="E40" s="1168"/>
    </row>
    <row r="41" spans="1:5" ht="30" customHeight="1" thickBot="1" x14ac:dyDescent="0.35">
      <c r="A41" s="638" t="s">
        <v>2135</v>
      </c>
      <c r="B41" s="35" t="s">
        <v>142</v>
      </c>
      <c r="C41" s="21" t="s">
        <v>256</v>
      </c>
      <c r="D41" s="26" t="s">
        <v>236</v>
      </c>
      <c r="E41" s="23" t="s">
        <v>212</v>
      </c>
    </row>
    <row r="42" spans="1:5" x14ac:dyDescent="0.3">
      <c r="A42" s="274" t="s">
        <v>266</v>
      </c>
      <c r="B42" s="18" t="s">
        <v>225</v>
      </c>
      <c r="C42" s="226" t="s">
        <v>2194</v>
      </c>
      <c r="D42" s="700" t="s">
        <v>210</v>
      </c>
      <c r="E42" s="1136" t="s">
        <v>2185</v>
      </c>
    </row>
    <row r="43" spans="1:5" x14ac:dyDescent="0.3">
      <c r="A43" s="16" t="s">
        <v>2028</v>
      </c>
      <c r="B43" s="18" t="s">
        <v>225</v>
      </c>
      <c r="C43" s="18" t="s">
        <v>2193</v>
      </c>
      <c r="D43" s="27" t="s">
        <v>210</v>
      </c>
      <c r="E43" s="1138"/>
    </row>
    <row r="44" spans="1:5" x14ac:dyDescent="0.3">
      <c r="A44" s="16" t="s">
        <v>188</v>
      </c>
      <c r="B44" s="18" t="s">
        <v>309</v>
      </c>
      <c r="C44" s="18"/>
      <c r="D44" s="27">
        <f>'1. USER INPUTS'!$E$12</f>
        <v>200</v>
      </c>
      <c r="E44" s="22" t="s">
        <v>398</v>
      </c>
    </row>
    <row r="45" spans="1:5" x14ac:dyDescent="0.3">
      <c r="A45" s="16" t="s">
        <v>235</v>
      </c>
      <c r="B45" s="18" t="s">
        <v>231</v>
      </c>
      <c r="C45" s="18"/>
      <c r="D45" s="137">
        <f>PI()*((D44/1000)/2)^2</f>
        <v>3.1415926535897934E-2</v>
      </c>
      <c r="E45" s="22" t="s">
        <v>232</v>
      </c>
    </row>
    <row r="46" spans="1:5" x14ac:dyDescent="0.3">
      <c r="A46" s="16" t="s">
        <v>240</v>
      </c>
      <c r="B46" s="18" t="s">
        <v>130</v>
      </c>
      <c r="C46" s="18" t="s">
        <v>300</v>
      </c>
      <c r="D46" s="137">
        <f>0.000725</f>
        <v>7.2499999999999995E-4</v>
      </c>
      <c r="E46" s="22" t="s">
        <v>2191</v>
      </c>
    </row>
    <row r="47" spans="1:5" x14ac:dyDescent="0.3">
      <c r="A47" s="16" t="s">
        <v>260</v>
      </c>
      <c r="B47" s="18" t="s">
        <v>130</v>
      </c>
      <c r="C47" s="18"/>
      <c r="D47" s="137">
        <f>'1. USER INPUTS'!$E$5*0.001</f>
        <v>7.0000000000000007E-5</v>
      </c>
      <c r="E47" s="22" t="s">
        <v>398</v>
      </c>
    </row>
    <row r="48" spans="1:5" x14ac:dyDescent="0.3">
      <c r="A48" s="16" t="s">
        <v>775</v>
      </c>
      <c r="B48" s="18" t="s">
        <v>129</v>
      </c>
      <c r="C48" s="18"/>
      <c r="D48" s="27">
        <f>'25. CHEM. &amp; MAT.'!$F$62</f>
        <v>1000</v>
      </c>
      <c r="E48" s="22" t="s">
        <v>1878</v>
      </c>
    </row>
    <row r="49" spans="1:5" x14ac:dyDescent="0.3">
      <c r="A49" s="16" t="s">
        <v>234</v>
      </c>
      <c r="B49" s="18" t="s">
        <v>129</v>
      </c>
      <c r="C49" s="18"/>
      <c r="D49" s="138">
        <f>'25. CHEM. &amp; MAT.'!$F$3</f>
        <v>2330</v>
      </c>
      <c r="E49" s="22" t="s">
        <v>1878</v>
      </c>
    </row>
    <row r="50" spans="1:5" x14ac:dyDescent="0.3">
      <c r="A50" s="16" t="s">
        <v>388</v>
      </c>
      <c r="B50" s="18" t="s">
        <v>128</v>
      </c>
      <c r="C50" s="18" t="s">
        <v>389</v>
      </c>
      <c r="D50" s="137">
        <f>(($D$46-$D$47)*$D$45)*$D$49</f>
        <v>4.7945416282760632E-2</v>
      </c>
      <c r="E50" s="22" t="s">
        <v>232</v>
      </c>
    </row>
    <row r="51" spans="1:5" x14ac:dyDescent="0.3">
      <c r="A51" s="16" t="s">
        <v>242</v>
      </c>
      <c r="B51" s="18" t="s">
        <v>128</v>
      </c>
      <c r="C51" s="18"/>
      <c r="D51" s="137">
        <f>$D$47*$D$45*$D$49</f>
        <v>5.1239376180049531E-3</v>
      </c>
      <c r="E51" s="22" t="s">
        <v>232</v>
      </c>
    </row>
    <row r="52" spans="1:5" x14ac:dyDescent="0.3">
      <c r="A52" s="16" t="s">
        <v>387</v>
      </c>
      <c r="B52" s="18" t="s">
        <v>264</v>
      </c>
      <c r="C52" s="18" t="s">
        <v>1053</v>
      </c>
      <c r="D52" s="139">
        <f>2.2</f>
        <v>2.2000000000000002</v>
      </c>
      <c r="E52" s="22" t="s">
        <v>2185</v>
      </c>
    </row>
    <row r="53" spans="1:5" x14ac:dyDescent="0.3">
      <c r="A53" s="16" t="s">
        <v>394</v>
      </c>
      <c r="B53" s="18" t="s">
        <v>446</v>
      </c>
      <c r="C53" s="18" t="s">
        <v>284</v>
      </c>
      <c r="D53" s="139">
        <v>25</v>
      </c>
      <c r="E53" s="22" t="s">
        <v>2185</v>
      </c>
    </row>
    <row r="54" spans="1:5" x14ac:dyDescent="0.3">
      <c r="A54" s="16" t="s">
        <v>247</v>
      </c>
      <c r="B54" s="18" t="s">
        <v>225</v>
      </c>
      <c r="C54" s="18" t="s">
        <v>1048</v>
      </c>
      <c r="D54" s="138">
        <v>1</v>
      </c>
      <c r="E54" s="22" t="s">
        <v>2185</v>
      </c>
    </row>
    <row r="55" spans="1:5" x14ac:dyDescent="0.3">
      <c r="A55" s="16" t="s">
        <v>1864</v>
      </c>
      <c r="B55" s="18" t="s">
        <v>226</v>
      </c>
      <c r="C55" s="18" t="s">
        <v>1865</v>
      </c>
      <c r="D55" s="138">
        <f>($D$46-$D$47)/($D$52*0.000001)</f>
        <v>297.72727272727269</v>
      </c>
      <c r="E55" s="22" t="s">
        <v>232</v>
      </c>
    </row>
    <row r="56" spans="1:5" x14ac:dyDescent="0.3">
      <c r="A56" s="16" t="s">
        <v>2117</v>
      </c>
      <c r="B56" s="18" t="s">
        <v>226</v>
      </c>
      <c r="C56" s="18" t="s">
        <v>1866</v>
      </c>
      <c r="D56" s="138">
        <f>$D$55+120</f>
        <v>417.72727272727269</v>
      </c>
      <c r="E56" s="22" t="s">
        <v>232</v>
      </c>
    </row>
    <row r="57" spans="1:5" x14ac:dyDescent="0.3">
      <c r="A57" s="578" t="s">
        <v>351</v>
      </c>
      <c r="B57" s="543" t="s">
        <v>131</v>
      </c>
      <c r="C57" s="543"/>
      <c r="D57" s="701">
        <f>'2. PROCESS RECAP '!$E$54</f>
        <v>6</v>
      </c>
      <c r="E57" s="579" t="s">
        <v>2208</v>
      </c>
    </row>
    <row r="58" spans="1:5" ht="15" thickBot="1" x14ac:dyDescent="0.35">
      <c r="A58" s="634" t="s">
        <v>246</v>
      </c>
      <c r="B58" s="635" t="s">
        <v>225</v>
      </c>
      <c r="C58" s="635"/>
      <c r="D58" s="636">
        <f>'2. PROCESS RECAP '!$H$54</f>
        <v>1</v>
      </c>
      <c r="E58" s="637" t="s">
        <v>2209</v>
      </c>
    </row>
    <row r="59" spans="1:5" x14ac:dyDescent="0.3">
      <c r="A59" s="707" t="s">
        <v>291</v>
      </c>
      <c r="B59" s="708"/>
      <c r="C59" s="708"/>
      <c r="D59" s="709"/>
      <c r="E59" s="710"/>
    </row>
    <row r="60" spans="1:5" x14ac:dyDescent="0.3">
      <c r="A60" s="285" t="s">
        <v>716</v>
      </c>
      <c r="B60" s="15" t="s">
        <v>132</v>
      </c>
      <c r="C60" s="15" t="s">
        <v>1038</v>
      </c>
      <c r="D60" s="286">
        <f>$D$57*(($D$55+$D$55/3)/3600)*'1. USER INPUTS'!$E$23</f>
        <v>2.8425231325669353E-3</v>
      </c>
      <c r="E60" s="276" t="s">
        <v>232</v>
      </c>
    </row>
    <row r="61" spans="1:5" x14ac:dyDescent="0.3">
      <c r="A61" s="293" t="s">
        <v>158</v>
      </c>
      <c r="B61" s="15" t="s">
        <v>128</v>
      </c>
      <c r="C61" s="15" t="s">
        <v>284</v>
      </c>
      <c r="D61" s="107">
        <f>($D$55/60)*($D$53/1000)*$D$48*'1. USER INPUTS'!$E$23</f>
        <v>0.53297308735630033</v>
      </c>
      <c r="E61" s="276" t="s">
        <v>232</v>
      </c>
    </row>
    <row r="62" spans="1:5" x14ac:dyDescent="0.3">
      <c r="A62" s="285" t="s">
        <v>370</v>
      </c>
      <c r="B62" s="39" t="s">
        <v>132</v>
      </c>
      <c r="C62" s="15" t="s">
        <v>2200</v>
      </c>
      <c r="D62" s="286">
        <f>3*(($D$55+($D$55/3))/3600)*'1. USER INPUTS'!$E$23</f>
        <v>1.4212615662834677E-3</v>
      </c>
      <c r="E62" s="276" t="s">
        <v>232</v>
      </c>
    </row>
    <row r="63" spans="1:5" x14ac:dyDescent="0.3">
      <c r="A63" s="65" t="s">
        <v>292</v>
      </c>
      <c r="B63" s="288"/>
      <c r="C63" s="288"/>
      <c r="D63" s="289"/>
      <c r="E63" s="290"/>
    </row>
    <row r="64" spans="1:5" x14ac:dyDescent="0.3">
      <c r="A64" s="16" t="s">
        <v>322</v>
      </c>
      <c r="B64" s="18" t="s">
        <v>293</v>
      </c>
      <c r="C64" s="18"/>
      <c r="D64" s="27">
        <v>1</v>
      </c>
      <c r="E64" s="22"/>
    </row>
    <row r="65" spans="1:5" x14ac:dyDescent="0.3">
      <c r="A65" s="539" t="s">
        <v>1844</v>
      </c>
      <c r="B65" s="294" t="s">
        <v>153</v>
      </c>
      <c r="C65" s="113" t="s">
        <v>1905</v>
      </c>
      <c r="D65" s="124">
        <f>(($D$45*($D$46-$D$47))*$D$49)*$D$58*'1. USER INPUTS'!$E$23</f>
        <v>2.0598945852741302E-4</v>
      </c>
      <c r="E65" s="291" t="s">
        <v>232</v>
      </c>
    </row>
    <row r="66" spans="1:5" ht="15" thickBot="1" x14ac:dyDescent="0.35">
      <c r="A66" s="133" t="s">
        <v>1957</v>
      </c>
      <c r="B66" s="547" t="s">
        <v>521</v>
      </c>
      <c r="C66" s="111" t="s">
        <v>1906</v>
      </c>
      <c r="D66" s="114">
        <f>$D$61/1000</f>
        <v>5.3297308735630032E-4</v>
      </c>
      <c r="E66" s="283" t="s">
        <v>232</v>
      </c>
    </row>
    <row r="67" spans="1:5" ht="30" customHeight="1" x14ac:dyDescent="0.3"/>
  </sheetData>
  <sheetProtection algorithmName="SHA-512" hashValue="6gAhJ1kxkNNlKpBWMFV2GTTeHE4cq3eU4eH//Kmgzt8E/AOiJJCDdBClHdsFhJPcDY3GphCnaCcwenlE1AJEQQ==" saltValue="lmn1WXxCp/GK9T4q43z7hA==" spinCount="100000" sheet="1" objects="1" scenarios="1"/>
  <mergeCells count="8">
    <mergeCell ref="E42:E43"/>
    <mergeCell ref="B17:B20"/>
    <mergeCell ref="A5:E5"/>
    <mergeCell ref="A10:E10"/>
    <mergeCell ref="A14:E15"/>
    <mergeCell ref="A39:E40"/>
    <mergeCell ref="A17:A20"/>
    <mergeCell ref="E17:E2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35C3F-128C-4A96-AB7E-85846D4E36B5}">
  <dimension ref="A1:E64"/>
  <sheetViews>
    <sheetView zoomScale="85" zoomScaleNormal="85" workbookViewId="0"/>
  </sheetViews>
  <sheetFormatPr baseColWidth="10" defaultRowHeight="14.4" x14ac:dyDescent="0.3"/>
  <cols>
    <col min="1" max="1" width="63.88671875" customWidth="1"/>
    <col min="2" max="2" width="11.33203125" bestFit="1" customWidth="1"/>
    <col min="3" max="3" width="143.77734375" bestFit="1" customWidth="1"/>
    <col min="4" max="4" width="19.6640625" customWidth="1"/>
    <col min="5" max="5" width="45.6640625" customWidth="1"/>
  </cols>
  <sheetData>
    <row r="1" spans="1:5" ht="15" thickBot="1" x14ac:dyDescent="0.35">
      <c r="A1" t="s">
        <v>135</v>
      </c>
    </row>
    <row r="2" spans="1:5" ht="30" customHeight="1" thickBot="1" x14ac:dyDescent="0.35">
      <c r="A2" s="638" t="s">
        <v>1886</v>
      </c>
      <c r="B2" s="35" t="s">
        <v>142</v>
      </c>
      <c r="C2" s="21" t="s">
        <v>256</v>
      </c>
      <c r="D2" s="26" t="s">
        <v>236</v>
      </c>
      <c r="E2" s="23" t="s">
        <v>212</v>
      </c>
    </row>
    <row r="3" spans="1:5" x14ac:dyDescent="0.3">
      <c r="A3" s="18" t="s">
        <v>2186</v>
      </c>
      <c r="B3" s="18" t="s">
        <v>225</v>
      </c>
      <c r="C3" s="18"/>
      <c r="D3" s="27">
        <f>SUM($D$28,$D$55)</f>
        <v>2</v>
      </c>
      <c r="E3" s="22" t="s">
        <v>232</v>
      </c>
    </row>
    <row r="4" spans="1:5" x14ac:dyDescent="0.3">
      <c r="A4" s="18" t="s">
        <v>2178</v>
      </c>
      <c r="B4" s="18" t="s">
        <v>226</v>
      </c>
      <c r="C4" s="18"/>
      <c r="D4" s="138">
        <f>SUM($D$26,$D$49)</f>
        <v>602.66666666666663</v>
      </c>
      <c r="E4" s="22" t="s">
        <v>232</v>
      </c>
    </row>
    <row r="5" spans="1:5" x14ac:dyDescent="0.3">
      <c r="A5" s="1125" t="s">
        <v>291</v>
      </c>
      <c r="B5" s="1126"/>
      <c r="C5" s="1126"/>
      <c r="D5" s="1126"/>
      <c r="E5" s="1127"/>
    </row>
    <row r="6" spans="1:5" x14ac:dyDescent="0.3">
      <c r="A6" s="285" t="s">
        <v>716</v>
      </c>
      <c r="B6" s="15" t="s">
        <v>132</v>
      </c>
      <c r="C6" s="15" t="s">
        <v>2229</v>
      </c>
      <c r="D6" s="107">
        <f>SUM($D$30,$D$57,$D$59)</f>
        <v>6.2121787992343233E-3</v>
      </c>
      <c r="E6" s="276" t="s">
        <v>232</v>
      </c>
    </row>
    <row r="7" spans="1:5" x14ac:dyDescent="0.3">
      <c r="A7" s="293" t="s">
        <v>158</v>
      </c>
      <c r="B7" s="15" t="s">
        <v>128</v>
      </c>
      <c r="C7" s="15"/>
      <c r="D7" s="107">
        <f>$D$58</f>
        <v>0.24326790338804904</v>
      </c>
      <c r="E7" s="276" t="s">
        <v>232</v>
      </c>
    </row>
    <row r="8" spans="1:5" x14ac:dyDescent="0.3">
      <c r="A8" s="293" t="s">
        <v>404</v>
      </c>
      <c r="B8" s="15" t="s">
        <v>128</v>
      </c>
      <c r="C8" s="15" t="s">
        <v>1046</v>
      </c>
      <c r="D8" s="286">
        <f>$D$31</f>
        <v>5.0123404213100309E-5</v>
      </c>
      <c r="E8" s="276" t="s">
        <v>232</v>
      </c>
    </row>
    <row r="9" spans="1:5" x14ac:dyDescent="0.3">
      <c r="A9" s="1128" t="s">
        <v>292</v>
      </c>
      <c r="B9" s="1129"/>
      <c r="C9" s="1129"/>
      <c r="D9" s="1129"/>
      <c r="E9" s="1130"/>
    </row>
    <row r="10" spans="1:5" x14ac:dyDescent="0.3">
      <c r="A10" s="16" t="s">
        <v>322</v>
      </c>
      <c r="B10" s="18" t="s">
        <v>293</v>
      </c>
      <c r="C10" s="18"/>
      <c r="D10" s="27">
        <v>1</v>
      </c>
      <c r="E10" s="22"/>
    </row>
    <row r="11" spans="1:5" x14ac:dyDescent="0.3">
      <c r="A11" s="539" t="s">
        <v>1844</v>
      </c>
      <c r="B11" s="294" t="s">
        <v>153</v>
      </c>
      <c r="C11" s="113" t="s">
        <v>1905</v>
      </c>
      <c r="D11" s="281">
        <f>$D$62</f>
        <v>2.2955975703213253E-7</v>
      </c>
      <c r="E11" s="282" t="s">
        <v>232</v>
      </c>
    </row>
    <row r="12" spans="1:5" x14ac:dyDescent="0.3">
      <c r="A12" s="545" t="s">
        <v>1957</v>
      </c>
      <c r="B12" s="546" t="s">
        <v>521</v>
      </c>
      <c r="C12" s="113" t="s">
        <v>1906</v>
      </c>
      <c r="D12" s="295">
        <f>$D$63</f>
        <v>2.4326790338804905E-4</v>
      </c>
      <c r="E12" s="282" t="s">
        <v>232</v>
      </c>
    </row>
    <row r="13" spans="1:5" ht="15" thickBot="1" x14ac:dyDescent="0.35">
      <c r="A13" s="110" t="s">
        <v>927</v>
      </c>
      <c r="B13" s="111" t="s">
        <v>128</v>
      </c>
      <c r="C13" s="111" t="s">
        <v>1907</v>
      </c>
      <c r="D13" s="295">
        <f>-SUM($D$34,$D$64)</f>
        <v>-8.7645973731575438E-5</v>
      </c>
      <c r="E13" s="282" t="s">
        <v>232</v>
      </c>
    </row>
    <row r="14" spans="1:5" x14ac:dyDescent="0.3">
      <c r="A14" s="1163"/>
      <c r="B14" s="1164"/>
      <c r="C14" s="1164"/>
      <c r="D14" s="1164"/>
      <c r="E14" s="1165"/>
    </row>
    <row r="15" spans="1:5" ht="15" thickBot="1" x14ac:dyDescent="0.35">
      <c r="A15" s="1166"/>
      <c r="B15" s="1167"/>
      <c r="C15" s="1167"/>
      <c r="D15" s="1167"/>
      <c r="E15" s="1168"/>
    </row>
    <row r="16" spans="1:5" ht="30" customHeight="1" thickBot="1" x14ac:dyDescent="0.35">
      <c r="A16" s="638" t="s">
        <v>2199</v>
      </c>
      <c r="B16" s="35" t="s">
        <v>142</v>
      </c>
      <c r="C16" s="21" t="s">
        <v>256</v>
      </c>
      <c r="D16" s="26" t="s">
        <v>236</v>
      </c>
      <c r="E16" s="23" t="s">
        <v>212</v>
      </c>
    </row>
    <row r="17" spans="1:5" x14ac:dyDescent="0.3">
      <c r="A17" s="1134" t="s">
        <v>266</v>
      </c>
      <c r="B17" s="1132" t="s">
        <v>225</v>
      </c>
      <c r="C17" s="226" t="s">
        <v>2195</v>
      </c>
      <c r="D17" s="700" t="s">
        <v>210</v>
      </c>
      <c r="E17" s="1136" t="s">
        <v>2185</v>
      </c>
    </row>
    <row r="18" spans="1:5" x14ac:dyDescent="0.3">
      <c r="A18" s="1135"/>
      <c r="B18" s="1133"/>
      <c r="C18" s="391" t="s">
        <v>2182</v>
      </c>
      <c r="D18" s="706" t="s">
        <v>210</v>
      </c>
      <c r="E18" s="1137"/>
    </row>
    <row r="19" spans="1:5" x14ac:dyDescent="0.3">
      <c r="A19" s="18" t="s">
        <v>2028</v>
      </c>
      <c r="B19" s="18" t="s">
        <v>225</v>
      </c>
      <c r="C19" s="18" t="s">
        <v>2198</v>
      </c>
      <c r="D19" s="27" t="s">
        <v>210</v>
      </c>
      <c r="E19" s="1138"/>
    </row>
    <row r="20" spans="1:5" x14ac:dyDescent="0.3">
      <c r="A20" s="16" t="s">
        <v>188</v>
      </c>
      <c r="B20" s="18" t="s">
        <v>309</v>
      </c>
      <c r="C20" s="18"/>
      <c r="D20" s="139">
        <f>'1. USER INPUTS'!$E$12</f>
        <v>200</v>
      </c>
      <c r="E20" s="22" t="s">
        <v>398</v>
      </c>
    </row>
    <row r="21" spans="1:5" x14ac:dyDescent="0.3">
      <c r="A21" s="16" t="s">
        <v>235</v>
      </c>
      <c r="B21" s="18" t="s">
        <v>231</v>
      </c>
      <c r="C21" s="18"/>
      <c r="D21" s="137">
        <f>PI()*(($D$20/1000)/2)^2</f>
        <v>3.1415926535897934E-2</v>
      </c>
      <c r="E21" s="22" t="s">
        <v>232</v>
      </c>
    </row>
    <row r="22" spans="1:5" x14ac:dyDescent="0.3">
      <c r="A22" s="16" t="s">
        <v>999</v>
      </c>
      <c r="B22" s="18" t="s">
        <v>130</v>
      </c>
      <c r="C22" s="44"/>
      <c r="D22" s="137">
        <f>($D$20+76)*0.001</f>
        <v>0.27600000000000002</v>
      </c>
      <c r="E22" s="33" t="s">
        <v>2192</v>
      </c>
    </row>
    <row r="23" spans="1:5" x14ac:dyDescent="0.3">
      <c r="A23" s="16" t="s">
        <v>1000</v>
      </c>
      <c r="B23" s="18" t="s">
        <v>130</v>
      </c>
      <c r="C23" s="44"/>
      <c r="D23" s="137">
        <f>0.00015</f>
        <v>1.4999999999999999E-4</v>
      </c>
      <c r="E23" s="33" t="s">
        <v>2106</v>
      </c>
    </row>
    <row r="24" spans="1:5" x14ac:dyDescent="0.3">
      <c r="A24" s="16" t="s">
        <v>1001</v>
      </c>
      <c r="B24" s="18" t="s">
        <v>129</v>
      </c>
      <c r="C24" s="44" t="s">
        <v>1046</v>
      </c>
      <c r="D24" s="134">
        <f>'25. CHEM. &amp; MAT.'!$F$96</f>
        <v>1300</v>
      </c>
      <c r="E24" s="22" t="s">
        <v>1581</v>
      </c>
    </row>
    <row r="25" spans="1:5" x14ac:dyDescent="0.3">
      <c r="A25" s="16" t="s">
        <v>247</v>
      </c>
      <c r="B25" s="18" t="s">
        <v>225</v>
      </c>
      <c r="C25" s="18" t="s">
        <v>1048</v>
      </c>
      <c r="D25" s="138">
        <v>1</v>
      </c>
      <c r="E25" s="22" t="s">
        <v>2185</v>
      </c>
    </row>
    <row r="26" spans="1:5" x14ac:dyDescent="0.3">
      <c r="A26" s="16" t="s">
        <v>2180</v>
      </c>
      <c r="B26" s="18" t="s">
        <v>226</v>
      </c>
      <c r="C26" s="18"/>
      <c r="D26" s="138">
        <v>240</v>
      </c>
      <c r="E26" s="22" t="s">
        <v>2185</v>
      </c>
    </row>
    <row r="27" spans="1:5" x14ac:dyDescent="0.3">
      <c r="A27" s="578" t="s">
        <v>351</v>
      </c>
      <c r="B27" s="543" t="s">
        <v>131</v>
      </c>
      <c r="C27" s="507"/>
      <c r="D27" s="701">
        <f>'2. PROCESS RECAP '!$E$56</f>
        <v>7.2</v>
      </c>
      <c r="E27" s="579" t="s">
        <v>2208</v>
      </c>
    </row>
    <row r="28" spans="1:5" ht="15" thickBot="1" x14ac:dyDescent="0.35">
      <c r="A28" s="634" t="s">
        <v>246</v>
      </c>
      <c r="B28" s="635" t="s">
        <v>225</v>
      </c>
      <c r="C28" s="635"/>
      <c r="D28" s="636">
        <f>'2. PROCESS RECAP '!$H$56</f>
        <v>1</v>
      </c>
      <c r="E28" s="637" t="s">
        <v>2209</v>
      </c>
    </row>
    <row r="29" spans="1:5" x14ac:dyDescent="0.3">
      <c r="A29" s="1122" t="s">
        <v>291</v>
      </c>
      <c r="B29" s="1123"/>
      <c r="C29" s="1123"/>
      <c r="D29" s="1123"/>
      <c r="E29" s="1124"/>
    </row>
    <row r="30" spans="1:5" x14ac:dyDescent="0.3">
      <c r="A30" s="285" t="s">
        <v>716</v>
      </c>
      <c r="B30" s="15" t="s">
        <v>132</v>
      </c>
      <c r="C30" s="15" t="s">
        <v>1038</v>
      </c>
      <c r="D30" s="286">
        <f>$D$27*(($D$26+$D$26/3)/3600)*'1. USER INPUTS'!$E$23</f>
        <v>2.7496529111365044E-3</v>
      </c>
      <c r="E30" s="276" t="s">
        <v>232</v>
      </c>
    </row>
    <row r="31" spans="1:5" x14ac:dyDescent="0.3">
      <c r="A31" s="293" t="s">
        <v>404</v>
      </c>
      <c r="B31" s="15" t="s">
        <v>128</v>
      </c>
      <c r="C31" s="15"/>
      <c r="D31" s="286">
        <f>((($D$22/2)^2)*PI())*$D$23*$D$24*'1. USER INPUTS'!$E$23</f>
        <v>5.0123404213100309E-5</v>
      </c>
      <c r="E31" s="276" t="s">
        <v>232</v>
      </c>
    </row>
    <row r="32" spans="1:5" x14ac:dyDescent="0.3">
      <c r="A32" s="1128" t="s">
        <v>292</v>
      </c>
      <c r="B32" s="1129"/>
      <c r="C32" s="1129"/>
      <c r="D32" s="1129"/>
      <c r="E32" s="1130"/>
    </row>
    <row r="33" spans="1:5" x14ac:dyDescent="0.3">
      <c r="A33" s="16" t="s">
        <v>322</v>
      </c>
      <c r="B33" s="18" t="s">
        <v>293</v>
      </c>
      <c r="C33" s="18"/>
      <c r="D33" s="27">
        <v>1</v>
      </c>
      <c r="E33" s="22"/>
    </row>
    <row r="34" spans="1:5" ht="15" thickBot="1" x14ac:dyDescent="0.35">
      <c r="A34" s="110" t="s">
        <v>927</v>
      </c>
      <c r="B34" s="111" t="s">
        <v>128</v>
      </c>
      <c r="C34" s="111" t="s">
        <v>2197</v>
      </c>
      <c r="D34" s="114">
        <f>'21. THINNING'!D35</f>
        <v>3.7522569518475129E-5</v>
      </c>
      <c r="E34" s="283" t="s">
        <v>232</v>
      </c>
    </row>
    <row r="35" spans="1:5" ht="30" customHeight="1" thickBot="1" x14ac:dyDescent="0.35">
      <c r="A35" s="667"/>
      <c r="B35" s="668"/>
      <c r="C35" s="668"/>
      <c r="D35" s="668"/>
      <c r="E35" s="669"/>
    </row>
    <row r="36" spans="1:5" ht="30" customHeight="1" thickBot="1" x14ac:dyDescent="0.35">
      <c r="A36" s="638" t="s">
        <v>2133</v>
      </c>
      <c r="B36" s="35" t="s">
        <v>142</v>
      </c>
      <c r="C36" s="21" t="s">
        <v>256</v>
      </c>
      <c r="D36" s="26" t="s">
        <v>236</v>
      </c>
      <c r="E36" s="23" t="s">
        <v>212</v>
      </c>
    </row>
    <row r="37" spans="1:5" x14ac:dyDescent="0.3">
      <c r="A37" s="29" t="s">
        <v>266</v>
      </c>
      <c r="B37" s="19" t="s">
        <v>225</v>
      </c>
      <c r="C37" s="19" t="s">
        <v>2181</v>
      </c>
      <c r="D37" s="136" t="s">
        <v>210</v>
      </c>
      <c r="E37" s="33" t="s">
        <v>2106</v>
      </c>
    </row>
    <row r="38" spans="1:5" x14ac:dyDescent="0.3">
      <c r="A38" s="119" t="s">
        <v>2028</v>
      </c>
      <c r="B38" s="103" t="s">
        <v>225</v>
      </c>
      <c r="C38" s="103" t="s">
        <v>2027</v>
      </c>
      <c r="D38" s="141" t="s">
        <v>210</v>
      </c>
      <c r="E38" s="33" t="s">
        <v>2106</v>
      </c>
    </row>
    <row r="39" spans="1:5" x14ac:dyDescent="0.3">
      <c r="A39" s="16" t="s">
        <v>307</v>
      </c>
      <c r="B39" s="18" t="s">
        <v>130</v>
      </c>
      <c r="C39" s="44"/>
      <c r="D39" s="137">
        <f>'1. USER INPUTS'!$E$3*0.001</f>
        <v>0.01</v>
      </c>
      <c r="E39" s="22" t="s">
        <v>398</v>
      </c>
    </row>
    <row r="40" spans="1:5" x14ac:dyDescent="0.3">
      <c r="A40" s="16" t="s">
        <v>308</v>
      </c>
      <c r="B40" s="18" t="s">
        <v>130</v>
      </c>
      <c r="C40" s="44"/>
      <c r="D40" s="137">
        <f>'1. USER INPUTS'!$E$4*0.001</f>
        <v>0.01</v>
      </c>
      <c r="E40" s="22" t="s">
        <v>398</v>
      </c>
    </row>
    <row r="41" spans="1:5" x14ac:dyDescent="0.3">
      <c r="A41" s="16" t="s">
        <v>1019</v>
      </c>
      <c r="B41" s="18" t="s">
        <v>130</v>
      </c>
      <c r="C41" s="44"/>
      <c r="D41" s="275">
        <f>0.00007</f>
        <v>6.9999999999999994E-5</v>
      </c>
      <c r="E41" s="22" t="s">
        <v>2109</v>
      </c>
    </row>
    <row r="42" spans="1:5" x14ac:dyDescent="0.3">
      <c r="A42" s="16" t="s">
        <v>788</v>
      </c>
      <c r="B42" s="18" t="s">
        <v>130</v>
      </c>
      <c r="C42" s="44" t="s">
        <v>1004</v>
      </c>
      <c r="D42" s="275">
        <f>('1. USER INPUTS'!$E$6*0.001)/2</f>
        <v>6.0000000000000002E-5</v>
      </c>
      <c r="E42" s="22" t="s">
        <v>2109</v>
      </c>
    </row>
    <row r="43" spans="1:5" x14ac:dyDescent="0.3">
      <c r="A43" s="16" t="s">
        <v>789</v>
      </c>
      <c r="B43" s="18" t="s">
        <v>130</v>
      </c>
      <c r="C43" s="44" t="s">
        <v>1004</v>
      </c>
      <c r="D43" s="275">
        <f>('1. USER INPUTS'!$E$7*0.001)/2</f>
        <v>6.0000000000000002E-5</v>
      </c>
      <c r="E43" s="22" t="s">
        <v>2109</v>
      </c>
    </row>
    <row r="44" spans="1:5" x14ac:dyDescent="0.3">
      <c r="A44" s="16" t="s">
        <v>188</v>
      </c>
      <c r="B44" s="18" t="s">
        <v>130</v>
      </c>
      <c r="C44" s="44"/>
      <c r="D44" s="137">
        <f>'1. USER INPUTS'!$E$12*0.001</f>
        <v>0.2</v>
      </c>
      <c r="E44" s="22" t="s">
        <v>398</v>
      </c>
    </row>
    <row r="45" spans="1:5" x14ac:dyDescent="0.3">
      <c r="A45" s="16" t="s">
        <v>1041</v>
      </c>
      <c r="B45" s="18" t="s">
        <v>225</v>
      </c>
      <c r="C45" s="44"/>
      <c r="D45" s="27">
        <f>'1. USER INPUTS'!$E$15</f>
        <v>273</v>
      </c>
      <c r="E45" s="22" t="s">
        <v>232</v>
      </c>
    </row>
    <row r="46" spans="1:5" x14ac:dyDescent="0.3">
      <c r="A46" s="16" t="s">
        <v>1042</v>
      </c>
      <c r="B46" s="18" t="s">
        <v>130</v>
      </c>
      <c r="C46" s="44" t="s">
        <v>1043</v>
      </c>
      <c r="D46" s="137">
        <f>($D$45*(2*($D$39+$D$40)))</f>
        <v>10.92</v>
      </c>
      <c r="E46" s="22" t="s">
        <v>232</v>
      </c>
    </row>
    <row r="47" spans="1:5" x14ac:dyDescent="0.3">
      <c r="A47" s="16" t="s">
        <v>1044</v>
      </c>
      <c r="B47" s="18" t="s">
        <v>278</v>
      </c>
      <c r="C47" s="44"/>
      <c r="D47" s="27">
        <v>45</v>
      </c>
      <c r="E47" s="33" t="s">
        <v>2106</v>
      </c>
    </row>
    <row r="48" spans="1:5" x14ac:dyDescent="0.3">
      <c r="A48" s="16" t="s">
        <v>1045</v>
      </c>
      <c r="B48" s="18" t="s">
        <v>226</v>
      </c>
      <c r="C48" s="44" t="s">
        <v>279</v>
      </c>
      <c r="D48" s="138">
        <f>($D$46*1000)/$D$47</f>
        <v>242.66666666666666</v>
      </c>
      <c r="E48" s="22" t="s">
        <v>232</v>
      </c>
    </row>
    <row r="49" spans="1:5" x14ac:dyDescent="0.3">
      <c r="A49" s="16" t="s">
        <v>2117</v>
      </c>
      <c r="B49" s="18" t="s">
        <v>226</v>
      </c>
      <c r="C49" s="18" t="s">
        <v>1866</v>
      </c>
      <c r="D49" s="138">
        <f>$D$48+120</f>
        <v>362.66666666666663</v>
      </c>
      <c r="E49" s="22" t="s">
        <v>232</v>
      </c>
    </row>
    <row r="50" spans="1:5" x14ac:dyDescent="0.3">
      <c r="A50" s="16" t="s">
        <v>775</v>
      </c>
      <c r="B50" s="18" t="s">
        <v>129</v>
      </c>
      <c r="C50" s="18"/>
      <c r="D50" s="27">
        <f>'25. CHEM. &amp; MAT.'!$F$62</f>
        <v>1000</v>
      </c>
      <c r="E50" s="22" t="s">
        <v>1581</v>
      </c>
    </row>
    <row r="51" spans="1:5" x14ac:dyDescent="0.3">
      <c r="A51" s="16" t="s">
        <v>234</v>
      </c>
      <c r="B51" s="18" t="s">
        <v>129</v>
      </c>
      <c r="C51" s="44"/>
      <c r="D51" s="138">
        <f>'25. CHEM. &amp; MAT.'!$F$3</f>
        <v>2330</v>
      </c>
      <c r="E51" s="22" t="s">
        <v>1581</v>
      </c>
    </row>
    <row r="52" spans="1:5" x14ac:dyDescent="0.3">
      <c r="A52" s="16" t="s">
        <v>403</v>
      </c>
      <c r="B52" s="18" t="s">
        <v>446</v>
      </c>
      <c r="C52" s="44"/>
      <c r="D52" s="138">
        <v>14</v>
      </c>
      <c r="E52" s="33" t="s">
        <v>2106</v>
      </c>
    </row>
    <row r="53" spans="1:5" x14ac:dyDescent="0.3">
      <c r="A53" s="16" t="s">
        <v>247</v>
      </c>
      <c r="B53" s="18" t="s">
        <v>225</v>
      </c>
      <c r="C53" s="18" t="s">
        <v>1048</v>
      </c>
      <c r="D53" s="27">
        <v>1</v>
      </c>
      <c r="E53" s="33" t="s">
        <v>2106</v>
      </c>
    </row>
    <row r="54" spans="1:5" x14ac:dyDescent="0.3">
      <c r="A54" s="578" t="s">
        <v>351</v>
      </c>
      <c r="B54" s="543" t="s">
        <v>131</v>
      </c>
      <c r="C54" s="543"/>
      <c r="D54" s="639">
        <f>'2. PROCESS RECAP '!$E$57</f>
        <v>3</v>
      </c>
      <c r="E54" s="579" t="s">
        <v>2208</v>
      </c>
    </row>
    <row r="55" spans="1:5" ht="15" thickBot="1" x14ac:dyDescent="0.35">
      <c r="A55" s="634" t="s">
        <v>246</v>
      </c>
      <c r="B55" s="635" t="s">
        <v>225</v>
      </c>
      <c r="C55" s="635"/>
      <c r="D55" s="636">
        <f>'2. PROCESS RECAP '!$H$57</f>
        <v>1</v>
      </c>
      <c r="E55" s="637" t="s">
        <v>2209</v>
      </c>
    </row>
    <row r="56" spans="1:5" x14ac:dyDescent="0.3">
      <c r="A56" s="1122" t="s">
        <v>291</v>
      </c>
      <c r="B56" s="1123"/>
      <c r="C56" s="1123"/>
      <c r="D56" s="1123"/>
      <c r="E56" s="1124"/>
    </row>
    <row r="57" spans="1:5" x14ac:dyDescent="0.3">
      <c r="A57" s="285" t="s">
        <v>716</v>
      </c>
      <c r="B57" s="15" t="s">
        <v>132</v>
      </c>
      <c r="C57" s="15" t="s">
        <v>1038</v>
      </c>
      <c r="D57" s="286">
        <f>($D$54*(($D$49+$D$49/3)/3600))*'1. USER INPUTS'!$E$23</f>
        <v>1.7312629440489097E-3</v>
      </c>
      <c r="E57" s="276" t="s">
        <v>232</v>
      </c>
    </row>
    <row r="58" spans="1:5" x14ac:dyDescent="0.3">
      <c r="A58" s="293" t="s">
        <v>158</v>
      </c>
      <c r="B58" s="15" t="s">
        <v>128</v>
      </c>
      <c r="C58" s="15" t="s">
        <v>402</v>
      </c>
      <c r="D58" s="286">
        <f>(($D$48/60)*($D$52/1000)*$D$50)*$D$55*'1. USER INPUTS'!$E$23</f>
        <v>0.24326790338804904</v>
      </c>
      <c r="E58" s="276" t="s">
        <v>232</v>
      </c>
    </row>
    <row r="59" spans="1:5" x14ac:dyDescent="0.3">
      <c r="A59" s="285" t="s">
        <v>370</v>
      </c>
      <c r="B59" s="39" t="s">
        <v>132</v>
      </c>
      <c r="C59" s="15" t="s">
        <v>1454</v>
      </c>
      <c r="D59" s="286">
        <f>3*(($D$49+($D$49/3))/3600)*'1. USER INPUTS'!$E$23</f>
        <v>1.7312629440489097E-3</v>
      </c>
      <c r="E59" s="276" t="s">
        <v>232</v>
      </c>
    </row>
    <row r="60" spans="1:5" x14ac:dyDescent="0.3">
      <c r="A60" s="1128" t="s">
        <v>292</v>
      </c>
      <c r="B60" s="1129"/>
      <c r="C60" s="1129"/>
      <c r="D60" s="1129"/>
      <c r="E60" s="1130"/>
    </row>
    <row r="61" spans="1:5" x14ac:dyDescent="0.3">
      <c r="A61" s="16" t="s">
        <v>322</v>
      </c>
      <c r="B61" s="18" t="s">
        <v>293</v>
      </c>
      <c r="C61" s="18"/>
      <c r="D61" s="27">
        <v>1</v>
      </c>
      <c r="E61" s="22"/>
    </row>
    <row r="62" spans="1:5" x14ac:dyDescent="0.3">
      <c r="A62" s="539" t="s">
        <v>1844</v>
      </c>
      <c r="B62" s="294" t="s">
        <v>153</v>
      </c>
      <c r="C62" s="113" t="s">
        <v>1905</v>
      </c>
      <c r="D62" s="295">
        <f>((($D$39*$D$42)+($D$40*$D$43))*$D$41*$D$45)*$D$51*$D$55*'1. USER INPUTS'!$E$23</f>
        <v>2.2955975703213253E-7</v>
      </c>
      <c r="E62" s="282" t="s">
        <v>232</v>
      </c>
    </row>
    <row r="63" spans="1:5" x14ac:dyDescent="0.3">
      <c r="A63" s="545" t="s">
        <v>1957</v>
      </c>
      <c r="B63" s="546" t="s">
        <v>521</v>
      </c>
      <c r="C63" s="113" t="s">
        <v>1906</v>
      </c>
      <c r="D63" s="295">
        <f>$D$58/1000</f>
        <v>2.4326790338804905E-4</v>
      </c>
      <c r="E63" s="282" t="s">
        <v>232</v>
      </c>
    </row>
    <row r="64" spans="1:5" ht="15" thickBot="1" x14ac:dyDescent="0.35">
      <c r="A64" s="110" t="s">
        <v>927</v>
      </c>
      <c r="B64" s="111" t="s">
        <v>153</v>
      </c>
      <c r="C64" s="111" t="s">
        <v>1907</v>
      </c>
      <c r="D64" s="114">
        <f>'22. DICING'!$D$31</f>
        <v>5.0123404213100309E-5</v>
      </c>
      <c r="E64" s="283" t="s">
        <v>232</v>
      </c>
    </row>
  </sheetData>
  <sheetProtection algorithmName="SHA-512" hashValue="l7DNPMUH/TybGFMHH2hyj9ZaeEhuqEVSqQz3qs39UKbVbm7h5taw8WW0yGun9Zo7sx7JzhC+vRNbAECLITF//g==" saltValue="XmWnwx+8XKCgBiw2d2arFQ==" spinCount="100000" sheet="1" objects="1" scenarios="1"/>
  <mergeCells count="10">
    <mergeCell ref="A60:E60"/>
    <mergeCell ref="A5:E5"/>
    <mergeCell ref="A14:E15"/>
    <mergeCell ref="A56:E56"/>
    <mergeCell ref="A9:E9"/>
    <mergeCell ref="A17:A18"/>
    <mergeCell ref="B17:B18"/>
    <mergeCell ref="A29:E29"/>
    <mergeCell ref="A32:E32"/>
    <mergeCell ref="E17:E19"/>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EC625-1F49-4B04-BA4A-E7EE9B37FA53}">
  <dimension ref="A1:E51"/>
  <sheetViews>
    <sheetView zoomScale="85" zoomScaleNormal="85" workbookViewId="0">
      <selection activeCell="E9" sqref="E9"/>
    </sheetView>
  </sheetViews>
  <sheetFormatPr baseColWidth="10" defaultRowHeight="14.4" x14ac:dyDescent="0.3"/>
  <cols>
    <col min="1" max="1" width="70.6640625" bestFit="1" customWidth="1"/>
    <col min="3" max="3" width="129" bestFit="1" customWidth="1"/>
    <col min="4" max="4" width="14.6640625" customWidth="1"/>
    <col min="5" max="5" width="42" customWidth="1"/>
  </cols>
  <sheetData>
    <row r="1" spans="1:5" ht="15" thickBot="1" x14ac:dyDescent="0.35">
      <c r="A1" t="s">
        <v>135</v>
      </c>
    </row>
    <row r="2" spans="1:5" ht="30" customHeight="1" thickBot="1" x14ac:dyDescent="0.35">
      <c r="A2" s="638" t="s">
        <v>1885</v>
      </c>
      <c r="B2" s="657" t="s">
        <v>142</v>
      </c>
      <c r="C2" s="654" t="s">
        <v>256</v>
      </c>
      <c r="D2" s="655" t="s">
        <v>236</v>
      </c>
      <c r="E2" s="656" t="s">
        <v>212</v>
      </c>
    </row>
    <row r="3" spans="1:5" x14ac:dyDescent="0.3">
      <c r="A3" s="18" t="s">
        <v>2186</v>
      </c>
      <c r="B3" s="19" t="s">
        <v>225</v>
      </c>
      <c r="C3" s="19"/>
      <c r="D3" s="136">
        <f>SUM($D$23,$D$44)</f>
        <v>2</v>
      </c>
      <c r="E3" s="24" t="s">
        <v>232</v>
      </c>
    </row>
    <row r="4" spans="1:5" x14ac:dyDescent="0.3">
      <c r="A4" s="16" t="s">
        <v>2178</v>
      </c>
      <c r="B4" s="18" t="s">
        <v>226</v>
      </c>
      <c r="C4" s="18"/>
      <c r="D4" s="27">
        <f>SUM($D$23*$D$21,$D$44*$D$42)</f>
        <v>1212</v>
      </c>
      <c r="E4" s="22" t="s">
        <v>232</v>
      </c>
    </row>
    <row r="5" spans="1:5" x14ac:dyDescent="0.3">
      <c r="A5" s="1125" t="s">
        <v>291</v>
      </c>
      <c r="B5" s="1126"/>
      <c r="C5" s="1126"/>
      <c r="D5" s="1126"/>
      <c r="E5" s="1127"/>
    </row>
    <row r="6" spans="1:5" x14ac:dyDescent="0.3">
      <c r="A6" s="285" t="s">
        <v>716</v>
      </c>
      <c r="B6" s="15" t="s">
        <v>132</v>
      </c>
      <c r="C6" s="15" t="s">
        <v>2229</v>
      </c>
      <c r="D6" s="286">
        <f>SUM(D25,D46)</f>
        <v>5.7857280005163946E-3</v>
      </c>
      <c r="E6" s="276" t="s">
        <v>232</v>
      </c>
    </row>
    <row r="7" spans="1:5" x14ac:dyDescent="0.3">
      <c r="A7" s="1128" t="s">
        <v>292</v>
      </c>
      <c r="B7" s="1129"/>
      <c r="C7" s="1129"/>
      <c r="D7" s="1129"/>
      <c r="E7" s="1130"/>
    </row>
    <row r="8" spans="1:5" x14ac:dyDescent="0.3">
      <c r="A8" s="16" t="s">
        <v>322</v>
      </c>
      <c r="B8" s="18" t="s">
        <v>293</v>
      </c>
      <c r="C8" s="18"/>
      <c r="D8" s="27">
        <v>1</v>
      </c>
      <c r="E8" s="22"/>
    </row>
    <row r="9" spans="1:5" ht="15" thickBot="1" x14ac:dyDescent="0.35">
      <c r="A9" s="301"/>
      <c r="B9" s="224"/>
      <c r="C9" s="224"/>
      <c r="D9" s="446"/>
      <c r="E9" s="480"/>
    </row>
    <row r="10" spans="1:5" x14ac:dyDescent="0.3">
      <c r="A10" s="1163"/>
      <c r="B10" s="1164"/>
      <c r="C10" s="1164"/>
      <c r="D10" s="1164"/>
      <c r="E10" s="1165"/>
    </row>
    <row r="11" spans="1:5" ht="15" thickBot="1" x14ac:dyDescent="0.35">
      <c r="A11" s="1166"/>
      <c r="B11" s="1167"/>
      <c r="C11" s="1167"/>
      <c r="D11" s="1167"/>
      <c r="E11" s="1168"/>
    </row>
    <row r="12" spans="1:5" ht="30" customHeight="1" thickBot="1" x14ac:dyDescent="0.35">
      <c r="A12" s="638" t="s">
        <v>2131</v>
      </c>
      <c r="B12" s="657" t="s">
        <v>142</v>
      </c>
      <c r="C12" s="654" t="s">
        <v>256</v>
      </c>
      <c r="D12" s="655" t="s">
        <v>236</v>
      </c>
      <c r="E12" s="656" t="s">
        <v>212</v>
      </c>
    </row>
    <row r="13" spans="1:5" x14ac:dyDescent="0.3">
      <c r="A13" s="1134" t="s">
        <v>266</v>
      </c>
      <c r="B13" s="1132" t="s">
        <v>225</v>
      </c>
      <c r="C13" s="226" t="s">
        <v>1895</v>
      </c>
      <c r="D13" s="1159" t="s">
        <v>225</v>
      </c>
      <c r="E13" s="1136" t="s">
        <v>2106</v>
      </c>
    </row>
    <row r="14" spans="1:5" x14ac:dyDescent="0.3">
      <c r="A14" s="1146"/>
      <c r="B14" s="1139"/>
      <c r="C14" s="391" t="s">
        <v>1894</v>
      </c>
      <c r="D14" s="1160"/>
      <c r="E14" s="1137"/>
    </row>
    <row r="15" spans="1:5" x14ac:dyDescent="0.3">
      <c r="A15" s="1146"/>
      <c r="B15" s="1139"/>
      <c r="C15" s="391" t="s">
        <v>1898</v>
      </c>
      <c r="D15" s="1160"/>
      <c r="E15" s="1137"/>
    </row>
    <row r="16" spans="1:5" x14ac:dyDescent="0.3">
      <c r="A16" s="1135"/>
      <c r="B16" s="1133"/>
      <c r="C16" s="391" t="s">
        <v>1897</v>
      </c>
      <c r="D16" s="1161"/>
      <c r="E16" s="1137"/>
    </row>
    <row r="17" spans="1:5" x14ac:dyDescent="0.3">
      <c r="A17" s="119" t="s">
        <v>2028</v>
      </c>
      <c r="B17" s="103" t="s">
        <v>225</v>
      </c>
      <c r="C17" s="391" t="s">
        <v>2030</v>
      </c>
      <c r="D17" s="27" t="s">
        <v>225</v>
      </c>
      <c r="E17" s="1138"/>
    </row>
    <row r="18" spans="1:5" x14ac:dyDescent="0.3">
      <c r="A18" s="119" t="s">
        <v>188</v>
      </c>
      <c r="B18" s="103" t="s">
        <v>309</v>
      </c>
      <c r="C18" s="391"/>
      <c r="D18" s="4">
        <f>'1. USER INPUTS'!$E$12</f>
        <v>200</v>
      </c>
      <c r="E18" s="398" t="s">
        <v>398</v>
      </c>
    </row>
    <row r="19" spans="1:5" x14ac:dyDescent="0.3">
      <c r="A19" s="119" t="s">
        <v>1041</v>
      </c>
      <c r="B19" s="103" t="s">
        <v>225</v>
      </c>
      <c r="C19" s="391"/>
      <c r="D19" s="544">
        <f>'1. USER INPUTS'!$E$15</f>
        <v>273</v>
      </c>
      <c r="E19" s="398" t="s">
        <v>232</v>
      </c>
    </row>
    <row r="20" spans="1:5" x14ac:dyDescent="0.3">
      <c r="A20" s="16" t="s">
        <v>247</v>
      </c>
      <c r="B20" s="18" t="s">
        <v>225</v>
      </c>
      <c r="C20" s="18" t="s">
        <v>1048</v>
      </c>
      <c r="D20" s="4">
        <v>1</v>
      </c>
      <c r="E20" s="398" t="s">
        <v>2106</v>
      </c>
    </row>
    <row r="21" spans="1:5" x14ac:dyDescent="0.3">
      <c r="A21" s="16" t="s">
        <v>2117</v>
      </c>
      <c r="B21" s="18" t="s">
        <v>226</v>
      </c>
      <c r="C21" s="4" t="s">
        <v>1896</v>
      </c>
      <c r="D21" s="4">
        <v>120</v>
      </c>
      <c r="E21" s="398" t="s">
        <v>748</v>
      </c>
    </row>
    <row r="22" spans="1:5" x14ac:dyDescent="0.3">
      <c r="A22" s="578" t="s">
        <v>351</v>
      </c>
      <c r="B22" s="543" t="s">
        <v>131</v>
      </c>
      <c r="C22" s="542"/>
      <c r="D22" s="542">
        <f>'2. PROCESS RECAP '!$E$59</f>
        <v>3</v>
      </c>
      <c r="E22" s="579" t="s">
        <v>2208</v>
      </c>
    </row>
    <row r="23" spans="1:5" ht="15" thickBot="1" x14ac:dyDescent="0.35">
      <c r="A23" s="634" t="s">
        <v>246</v>
      </c>
      <c r="B23" s="635" t="s">
        <v>225</v>
      </c>
      <c r="C23" s="694" t="s">
        <v>2029</v>
      </c>
      <c r="D23" s="694">
        <f>'2. PROCESS RECAP '!$H$59</f>
        <v>1</v>
      </c>
      <c r="E23" s="637" t="s">
        <v>2210</v>
      </c>
    </row>
    <row r="24" spans="1:5" x14ac:dyDescent="0.3">
      <c r="A24" s="1122" t="s">
        <v>291</v>
      </c>
      <c r="B24" s="1123"/>
      <c r="C24" s="1123"/>
      <c r="D24" s="1123"/>
      <c r="E24" s="1124"/>
    </row>
    <row r="25" spans="1:5" x14ac:dyDescent="0.3">
      <c r="A25" s="285" t="s">
        <v>716</v>
      </c>
      <c r="B25" s="15" t="s">
        <v>132</v>
      </c>
      <c r="C25" s="15" t="s">
        <v>1038</v>
      </c>
      <c r="D25" s="286">
        <f>($D$22*(($D$21+$D$21/3)/3600))*'1. USER INPUTS'!$E$23*$D$23</f>
        <v>5.7284435648677172E-4</v>
      </c>
      <c r="E25" s="276" t="s">
        <v>232</v>
      </c>
    </row>
    <row r="26" spans="1:5" x14ac:dyDescent="0.3">
      <c r="A26" s="695" t="s">
        <v>719</v>
      </c>
      <c r="B26" s="696" t="s">
        <v>128</v>
      </c>
      <c r="C26" s="696" t="s">
        <v>2176</v>
      </c>
      <c r="D26" s="697" t="s">
        <v>210</v>
      </c>
      <c r="E26" s="698" t="s">
        <v>2175</v>
      </c>
    </row>
    <row r="27" spans="1:5" x14ac:dyDescent="0.3">
      <c r="A27" s="695" t="s">
        <v>314</v>
      </c>
      <c r="B27" s="696" t="s">
        <v>128</v>
      </c>
      <c r="C27" s="696" t="s">
        <v>2177</v>
      </c>
      <c r="D27" s="699" t="s">
        <v>210</v>
      </c>
      <c r="E27" s="698" t="s">
        <v>2175</v>
      </c>
    </row>
    <row r="28" spans="1:5" x14ac:dyDescent="0.3">
      <c r="A28" s="1128" t="s">
        <v>292</v>
      </c>
      <c r="B28" s="1129"/>
      <c r="C28" s="1129"/>
      <c r="D28" s="1129"/>
      <c r="E28" s="1130"/>
    </row>
    <row r="29" spans="1:5" x14ac:dyDescent="0.3">
      <c r="A29" s="16" t="s">
        <v>322</v>
      </c>
      <c r="B29" s="18" t="s">
        <v>293</v>
      </c>
      <c r="C29" s="18"/>
      <c r="D29" s="27">
        <v>1</v>
      </c>
      <c r="E29" s="22"/>
    </row>
    <row r="30" spans="1:5" ht="15" thickBot="1" x14ac:dyDescent="0.35">
      <c r="A30" s="301"/>
      <c r="B30" s="224"/>
      <c r="C30" s="224"/>
      <c r="D30" s="446"/>
      <c r="E30" s="480"/>
    </row>
    <row r="31" spans="1:5" x14ac:dyDescent="0.3">
      <c r="A31" s="1163"/>
      <c r="B31" s="1164"/>
      <c r="C31" s="1164"/>
      <c r="D31" s="1164"/>
      <c r="E31" s="1165"/>
    </row>
    <row r="32" spans="1:5" ht="15" thickBot="1" x14ac:dyDescent="0.35">
      <c r="A32" s="1166"/>
      <c r="B32" s="1167"/>
      <c r="C32" s="1167"/>
      <c r="D32" s="1167"/>
      <c r="E32" s="1168"/>
    </row>
    <row r="33" spans="1:5" ht="30" customHeight="1" thickBot="1" x14ac:dyDescent="0.35">
      <c r="A33" s="638" t="s">
        <v>2132</v>
      </c>
      <c r="B33" s="657" t="s">
        <v>142</v>
      </c>
      <c r="C33" s="654" t="s">
        <v>256</v>
      </c>
      <c r="D33" s="655" t="s">
        <v>236</v>
      </c>
      <c r="E33" s="656" t="s">
        <v>212</v>
      </c>
    </row>
    <row r="34" spans="1:5" x14ac:dyDescent="0.3">
      <c r="A34" s="1134" t="s">
        <v>266</v>
      </c>
      <c r="B34" s="1132" t="s">
        <v>225</v>
      </c>
      <c r="C34" s="226" t="s">
        <v>1954</v>
      </c>
      <c r="D34" s="1159" t="s">
        <v>210</v>
      </c>
      <c r="E34" s="1136" t="s">
        <v>2106</v>
      </c>
    </row>
    <row r="35" spans="1:5" x14ac:dyDescent="0.3">
      <c r="A35" s="1146"/>
      <c r="B35" s="1139"/>
      <c r="C35" s="391" t="s">
        <v>1902</v>
      </c>
      <c r="D35" s="1160"/>
      <c r="E35" s="1137"/>
    </row>
    <row r="36" spans="1:5" x14ac:dyDescent="0.3">
      <c r="A36" s="1135"/>
      <c r="B36" s="1133"/>
      <c r="C36" s="391" t="s">
        <v>1955</v>
      </c>
      <c r="D36" s="1161"/>
      <c r="E36" s="1137"/>
    </row>
    <row r="37" spans="1:5" x14ac:dyDescent="0.3">
      <c r="A37" s="119" t="s">
        <v>1892</v>
      </c>
      <c r="B37" s="103" t="s">
        <v>225</v>
      </c>
      <c r="C37" s="4" t="s">
        <v>2174</v>
      </c>
      <c r="D37" s="27" t="s">
        <v>210</v>
      </c>
      <c r="E37" s="1138"/>
    </row>
    <row r="38" spans="1:5" x14ac:dyDescent="0.3">
      <c r="A38" s="119" t="s">
        <v>188</v>
      </c>
      <c r="B38" s="103" t="s">
        <v>309</v>
      </c>
      <c r="C38" s="391"/>
      <c r="D38" s="4">
        <f>'1. USER INPUTS'!$E$12</f>
        <v>200</v>
      </c>
      <c r="E38" s="398" t="s">
        <v>398</v>
      </c>
    </row>
    <row r="39" spans="1:5" x14ac:dyDescent="0.3">
      <c r="A39" s="119" t="s">
        <v>1893</v>
      </c>
      <c r="B39" s="103" t="s">
        <v>225</v>
      </c>
      <c r="C39" s="391"/>
      <c r="D39" s="544">
        <f>'1. USER INPUTS'!$E$15</f>
        <v>273</v>
      </c>
      <c r="E39" s="398" t="s">
        <v>232</v>
      </c>
    </row>
    <row r="40" spans="1:5" x14ac:dyDescent="0.3">
      <c r="A40" s="16" t="s">
        <v>247</v>
      </c>
      <c r="B40" s="18" t="s">
        <v>225</v>
      </c>
      <c r="C40" s="18" t="s">
        <v>1048</v>
      </c>
      <c r="D40" s="4">
        <v>1</v>
      </c>
      <c r="E40" s="398" t="s">
        <v>2106</v>
      </c>
    </row>
    <row r="41" spans="1:5" x14ac:dyDescent="0.3">
      <c r="A41" s="16" t="s">
        <v>1899</v>
      </c>
      <c r="B41" s="18" t="s">
        <v>226</v>
      </c>
      <c r="C41" s="4" t="s">
        <v>1900</v>
      </c>
      <c r="D41" s="4">
        <v>4</v>
      </c>
      <c r="E41" s="398" t="s">
        <v>2106</v>
      </c>
    </row>
    <row r="42" spans="1:5" x14ac:dyDescent="0.3">
      <c r="A42" s="16" t="s">
        <v>2117</v>
      </c>
      <c r="B42" s="18" t="s">
        <v>226</v>
      </c>
      <c r="C42" s="4"/>
      <c r="D42" s="4">
        <f>($D$41*$D$39)</f>
        <v>1092</v>
      </c>
      <c r="E42" s="398" t="s">
        <v>232</v>
      </c>
    </row>
    <row r="43" spans="1:5" x14ac:dyDescent="0.3">
      <c r="A43" s="578" t="s">
        <v>351</v>
      </c>
      <c r="B43" s="543" t="s">
        <v>131</v>
      </c>
      <c r="C43" s="542"/>
      <c r="D43" s="542">
        <f>'2. PROCESS RECAP '!$E$60</f>
        <v>3</v>
      </c>
      <c r="E43" s="579" t="s">
        <v>2208</v>
      </c>
    </row>
    <row r="44" spans="1:5" ht="15" thickBot="1" x14ac:dyDescent="0.35">
      <c r="A44" s="634" t="s">
        <v>246</v>
      </c>
      <c r="B44" s="635" t="s">
        <v>225</v>
      </c>
      <c r="C44" s="694" t="s">
        <v>1901</v>
      </c>
      <c r="D44" s="694">
        <f>'2. PROCESS RECAP '!$H$60</f>
        <v>1</v>
      </c>
      <c r="E44" s="637" t="s">
        <v>2210</v>
      </c>
    </row>
    <row r="45" spans="1:5" x14ac:dyDescent="0.3">
      <c r="A45" s="1122" t="s">
        <v>291</v>
      </c>
      <c r="B45" s="1123"/>
      <c r="C45" s="1123"/>
      <c r="D45" s="1123"/>
      <c r="E45" s="1124"/>
    </row>
    <row r="46" spans="1:5" x14ac:dyDescent="0.3">
      <c r="A46" s="285" t="s">
        <v>716</v>
      </c>
      <c r="B46" s="15" t="s">
        <v>132</v>
      </c>
      <c r="C46" s="15" t="s">
        <v>1038</v>
      </c>
      <c r="D46" s="286">
        <f>($D$43*(($D$42+$D$42/3)/3600))*'1. USER INPUTS'!$E$23</f>
        <v>5.2128836440296228E-3</v>
      </c>
      <c r="E46" s="276" t="s">
        <v>232</v>
      </c>
    </row>
    <row r="47" spans="1:5" x14ac:dyDescent="0.3">
      <c r="A47" s="695" t="s">
        <v>719</v>
      </c>
      <c r="B47" s="696" t="s">
        <v>128</v>
      </c>
      <c r="C47" s="696" t="s">
        <v>2176</v>
      </c>
      <c r="D47" s="697" t="s">
        <v>210</v>
      </c>
      <c r="E47" s="698" t="s">
        <v>2175</v>
      </c>
    </row>
    <row r="48" spans="1:5" x14ac:dyDescent="0.3">
      <c r="A48" s="695" t="s">
        <v>314</v>
      </c>
      <c r="B48" s="696" t="s">
        <v>128</v>
      </c>
      <c r="C48" s="696" t="s">
        <v>2177</v>
      </c>
      <c r="D48" s="699" t="s">
        <v>210</v>
      </c>
      <c r="E48" s="698" t="s">
        <v>2175</v>
      </c>
    </row>
    <row r="49" spans="1:5" x14ac:dyDescent="0.3">
      <c r="A49" s="1128" t="s">
        <v>292</v>
      </c>
      <c r="B49" s="1129"/>
      <c r="C49" s="1129"/>
      <c r="D49" s="1129"/>
      <c r="E49" s="1130"/>
    </row>
    <row r="50" spans="1:5" x14ac:dyDescent="0.3">
      <c r="A50" s="16" t="s">
        <v>322</v>
      </c>
      <c r="B50" s="18" t="s">
        <v>293</v>
      </c>
      <c r="C50" s="18"/>
      <c r="D50" s="27">
        <v>1</v>
      </c>
      <c r="E50" s="22"/>
    </row>
    <row r="51" spans="1:5" ht="15" thickBot="1" x14ac:dyDescent="0.35">
      <c r="A51" s="301"/>
      <c r="B51" s="224"/>
      <c r="C51" s="224"/>
      <c r="D51" s="446"/>
      <c r="E51" s="480"/>
    </row>
  </sheetData>
  <sheetProtection algorithmName="SHA-512" hashValue="wkv2ir82mB8fjHUJEBMQ2nqSqJ20qZGYOklnIgmf08xiiFztT92/GmlC4oL2/gHZvCcTIzI6pWjDimYSEhHHjA==" saltValue="ZJdWUqeIXBpEP3B+8d4IrA==" spinCount="100000" sheet="1" objects="1" scenarios="1"/>
  <mergeCells count="16">
    <mergeCell ref="A7:E7"/>
    <mergeCell ref="A5:E5"/>
    <mergeCell ref="A45:E45"/>
    <mergeCell ref="A49:E49"/>
    <mergeCell ref="A10:E11"/>
    <mergeCell ref="A31:E32"/>
    <mergeCell ref="A24:E24"/>
    <mergeCell ref="A28:E28"/>
    <mergeCell ref="A13:A16"/>
    <mergeCell ref="B13:B16"/>
    <mergeCell ref="D13:D16"/>
    <mergeCell ref="A34:A36"/>
    <mergeCell ref="B34:B36"/>
    <mergeCell ref="E34:E37"/>
    <mergeCell ref="E13:E17"/>
    <mergeCell ref="D34:D36"/>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321BE-BD51-4A19-8392-F49ECD6F421C}">
  <dimension ref="A1:G544"/>
  <sheetViews>
    <sheetView zoomScale="85" zoomScaleNormal="85" workbookViewId="0"/>
  </sheetViews>
  <sheetFormatPr baseColWidth="10" defaultRowHeight="14.4" x14ac:dyDescent="0.3"/>
  <cols>
    <col min="1" max="1" width="77.21875" customWidth="1"/>
    <col min="2" max="2" width="13" customWidth="1"/>
    <col min="3" max="3" width="138.6640625" bestFit="1" customWidth="1"/>
    <col min="4" max="4" width="13.44140625" customWidth="1"/>
    <col min="5" max="5" width="46.88671875" customWidth="1"/>
  </cols>
  <sheetData>
    <row r="1" spans="1:5" ht="15" thickBot="1" x14ac:dyDescent="0.35">
      <c r="A1" t="s">
        <v>135</v>
      </c>
    </row>
    <row r="2" spans="1:5" ht="30" customHeight="1" thickBot="1" x14ac:dyDescent="0.35">
      <c r="A2" s="638" t="s">
        <v>912</v>
      </c>
      <c r="B2" s="35" t="s">
        <v>142</v>
      </c>
      <c r="C2" s="21" t="s">
        <v>256</v>
      </c>
      <c r="D2" s="26" t="s">
        <v>236</v>
      </c>
      <c r="E2" s="23" t="s">
        <v>212</v>
      </c>
    </row>
    <row r="3" spans="1:5" x14ac:dyDescent="0.3">
      <c r="A3" s="765" t="s">
        <v>1758</v>
      </c>
      <c r="B3" s="766" t="s">
        <v>225</v>
      </c>
      <c r="C3" s="766" t="s">
        <v>398</v>
      </c>
      <c r="D3" s="767" t="str">
        <f>'1. USER INPUTS'!$E$24</f>
        <v>JP</v>
      </c>
      <c r="E3" s="768" t="s">
        <v>398</v>
      </c>
    </row>
    <row r="4" spans="1:5" x14ac:dyDescent="0.3">
      <c r="A4" s="642" t="s">
        <v>1757</v>
      </c>
      <c r="B4" s="643" t="s">
        <v>225</v>
      </c>
      <c r="C4" s="643" t="s">
        <v>398</v>
      </c>
      <c r="D4" s="769">
        <f>'1. USER INPUTS'!$E$26</f>
        <v>4</v>
      </c>
      <c r="E4" s="770" t="s">
        <v>398</v>
      </c>
    </row>
    <row r="5" spans="1:5" x14ac:dyDescent="0.3">
      <c r="A5" s="578" t="s">
        <v>188</v>
      </c>
      <c r="B5" s="543" t="s">
        <v>309</v>
      </c>
      <c r="C5" s="543" t="s">
        <v>398</v>
      </c>
      <c r="D5" s="771">
        <f>'1. USER INPUTS'!$E$12</f>
        <v>200</v>
      </c>
      <c r="E5" s="579" t="s">
        <v>398</v>
      </c>
    </row>
    <row r="6" spans="1:5" x14ac:dyDescent="0.3">
      <c r="A6" s="578" t="s">
        <v>1735</v>
      </c>
      <c r="B6" s="543" t="s">
        <v>437</v>
      </c>
      <c r="C6" s="543" t="s">
        <v>398</v>
      </c>
      <c r="D6" s="764">
        <f>'1. USER INPUTS'!$E$28</f>
        <v>100000</v>
      </c>
      <c r="E6" s="579" t="s">
        <v>398</v>
      </c>
    </row>
    <row r="7" spans="1:5" x14ac:dyDescent="0.3">
      <c r="A7" s="16" t="s">
        <v>1736</v>
      </c>
      <c r="B7" s="18" t="s">
        <v>547</v>
      </c>
      <c r="C7" s="18" t="s">
        <v>1752</v>
      </c>
      <c r="D7" s="137">
        <f>$D$6*12</f>
        <v>1200000</v>
      </c>
      <c r="E7" s="22" t="s">
        <v>232</v>
      </c>
    </row>
    <row r="8" spans="1:5" x14ac:dyDescent="0.3">
      <c r="A8" s="16" t="s">
        <v>1738</v>
      </c>
      <c r="B8" s="18" t="s">
        <v>964</v>
      </c>
      <c r="C8" s="18" t="s">
        <v>1013</v>
      </c>
      <c r="D8" s="137">
        <f>$D$6/4.3</f>
        <v>23255.813953488374</v>
      </c>
      <c r="E8" s="22" t="s">
        <v>232</v>
      </c>
    </row>
    <row r="9" spans="1:5" x14ac:dyDescent="0.3">
      <c r="A9" s="16" t="s">
        <v>1739</v>
      </c>
      <c r="B9" s="18" t="s">
        <v>761</v>
      </c>
      <c r="C9" s="18" t="s">
        <v>1746</v>
      </c>
      <c r="D9" s="265">
        <f>$D$8/7</f>
        <v>3322.259136212625</v>
      </c>
      <c r="E9" s="22" t="s">
        <v>232</v>
      </c>
    </row>
    <row r="10" spans="1:5" x14ac:dyDescent="0.3">
      <c r="A10" s="16" t="s">
        <v>1737</v>
      </c>
      <c r="B10" s="18" t="s">
        <v>760</v>
      </c>
      <c r="C10" s="47" t="s">
        <v>1747</v>
      </c>
      <c r="D10" s="2">
        <f>$D$9/24</f>
        <v>138.42746400885937</v>
      </c>
      <c r="E10" s="22" t="s">
        <v>232</v>
      </c>
    </row>
    <row r="11" spans="1:5" x14ac:dyDescent="0.3">
      <c r="A11" s="46" t="s">
        <v>1740</v>
      </c>
      <c r="B11" s="47" t="s">
        <v>293</v>
      </c>
      <c r="C11" s="512" t="s">
        <v>1860</v>
      </c>
      <c r="D11" s="447">
        <f>1/'1. USER INPUTS'!$E$23</f>
        <v>232.75664990584977</v>
      </c>
      <c r="E11" s="34" t="s">
        <v>232</v>
      </c>
    </row>
    <row r="12" spans="1:5" x14ac:dyDescent="0.3">
      <c r="A12" s="46" t="s">
        <v>1859</v>
      </c>
      <c r="B12" s="47" t="s">
        <v>231</v>
      </c>
      <c r="C12" s="47"/>
      <c r="D12" s="447">
        <f>($D$11/10000)*$D$7</f>
        <v>27930.797988701972</v>
      </c>
      <c r="E12" s="34" t="s">
        <v>232</v>
      </c>
    </row>
    <row r="13" spans="1:5" x14ac:dyDescent="0.3">
      <c r="A13" s="162" t="s">
        <v>1741</v>
      </c>
      <c r="B13" s="48" t="s">
        <v>231</v>
      </c>
      <c r="C13" s="48" t="s">
        <v>743</v>
      </c>
      <c r="D13" s="448">
        <f>'29. FAB SIZE MODEL'!$L$4</f>
        <v>36520</v>
      </c>
      <c r="E13" s="34" t="s">
        <v>232</v>
      </c>
    </row>
    <row r="14" spans="1:5" x14ac:dyDescent="0.3">
      <c r="A14" s="45" t="s">
        <v>1750</v>
      </c>
      <c r="B14" s="44" t="s">
        <v>130</v>
      </c>
      <c r="C14" s="44"/>
      <c r="D14" s="159">
        <v>5</v>
      </c>
      <c r="E14" s="22" t="s">
        <v>748</v>
      </c>
    </row>
    <row r="15" spans="1:5" x14ac:dyDescent="0.3">
      <c r="A15" s="45" t="s">
        <v>1751</v>
      </c>
      <c r="B15" s="44" t="s">
        <v>133</v>
      </c>
      <c r="C15" s="18"/>
      <c r="D15" s="150">
        <f>$D$13*$D$14</f>
        <v>182600</v>
      </c>
      <c r="E15" s="22" t="s">
        <v>232</v>
      </c>
    </row>
    <row r="16" spans="1:5" x14ac:dyDescent="0.3">
      <c r="A16" s="45" t="s">
        <v>1890</v>
      </c>
      <c r="B16" s="44" t="s">
        <v>225</v>
      </c>
      <c r="C16" s="18"/>
      <c r="D16" s="144">
        <f>'29. FAB SIZE MODEL'!$J$49</f>
        <v>1430</v>
      </c>
      <c r="E16" s="22" t="s">
        <v>232</v>
      </c>
    </row>
    <row r="17" spans="1:5" x14ac:dyDescent="0.3">
      <c r="A17" s="16" t="s">
        <v>617</v>
      </c>
      <c r="B17" s="18" t="s">
        <v>270</v>
      </c>
      <c r="C17" s="18" t="s">
        <v>616</v>
      </c>
      <c r="D17" s="138">
        <v>22</v>
      </c>
      <c r="E17" s="22" t="s">
        <v>748</v>
      </c>
    </row>
    <row r="18" spans="1:5" x14ac:dyDescent="0.3">
      <c r="A18" s="16" t="s">
        <v>618</v>
      </c>
      <c r="B18" s="18" t="s">
        <v>214</v>
      </c>
      <c r="C18" s="18" t="s">
        <v>633</v>
      </c>
      <c r="D18" s="138">
        <v>40</v>
      </c>
      <c r="E18" s="22" t="s">
        <v>748</v>
      </c>
    </row>
    <row r="19" spans="1:5" x14ac:dyDescent="0.3">
      <c r="A19" s="16" t="s">
        <v>532</v>
      </c>
      <c r="B19" s="18" t="s">
        <v>533</v>
      </c>
      <c r="C19" s="44" t="s">
        <v>1745</v>
      </c>
      <c r="D19" s="27">
        <f>1.5*'2. PROCESS RECAP '!$H$5</f>
        <v>16.5</v>
      </c>
      <c r="E19" s="22" t="s">
        <v>232</v>
      </c>
    </row>
    <row r="20" spans="1:5" x14ac:dyDescent="0.3">
      <c r="A20" s="16" t="s">
        <v>1754</v>
      </c>
      <c r="B20" s="18" t="s">
        <v>534</v>
      </c>
      <c r="C20" s="30"/>
      <c r="D20" s="601">
        <f>$D$136</f>
        <v>1.9619383951343929E-4</v>
      </c>
      <c r="E20" s="22" t="s">
        <v>655</v>
      </c>
    </row>
    <row r="21" spans="1:5" x14ac:dyDescent="0.3">
      <c r="A21" s="45" t="s">
        <v>1755</v>
      </c>
      <c r="B21" s="44" t="s">
        <v>534</v>
      </c>
      <c r="C21" s="44"/>
      <c r="D21" s="169">
        <f>$D$170</f>
        <v>4.1551982962962962E-3</v>
      </c>
      <c r="E21" s="167" t="s">
        <v>711</v>
      </c>
    </row>
    <row r="22" spans="1:5" x14ac:dyDescent="0.3">
      <c r="A22" s="16" t="s">
        <v>1756</v>
      </c>
      <c r="B22" s="18" t="s">
        <v>534</v>
      </c>
      <c r="C22" s="462"/>
      <c r="D22" s="27">
        <f>$D$183</f>
        <v>3.7000000000000002E-3</v>
      </c>
      <c r="E22" s="22" t="s">
        <v>655</v>
      </c>
    </row>
    <row r="23" spans="1:5" x14ac:dyDescent="0.3">
      <c r="A23" s="16" t="s">
        <v>2032</v>
      </c>
      <c r="B23" s="18" t="s">
        <v>534</v>
      </c>
      <c r="C23" s="462"/>
      <c r="D23" s="652">
        <f>$D$200</f>
        <v>4.1287038713949667E-3</v>
      </c>
      <c r="E23" s="22" t="s">
        <v>1962</v>
      </c>
    </row>
    <row r="24" spans="1:5" x14ac:dyDescent="0.3">
      <c r="A24" s="16" t="s">
        <v>1764</v>
      </c>
      <c r="B24" s="18" t="s">
        <v>534</v>
      </c>
      <c r="C24" s="462"/>
      <c r="D24" s="652">
        <f>$D$283</f>
        <v>4.3221109702767928E-2</v>
      </c>
      <c r="E24" s="22" t="s">
        <v>1962</v>
      </c>
    </row>
    <row r="25" spans="1:5" x14ac:dyDescent="0.3">
      <c r="A25" s="16" t="s">
        <v>1762</v>
      </c>
      <c r="B25" s="18" t="s">
        <v>534</v>
      </c>
      <c r="C25" s="462"/>
      <c r="D25" s="27">
        <f>$D$331</f>
        <v>1.577</v>
      </c>
      <c r="E25" s="22" t="s">
        <v>1763</v>
      </c>
    </row>
    <row r="26" spans="1:5" x14ac:dyDescent="0.3">
      <c r="A26" s="315" t="s">
        <v>1768</v>
      </c>
      <c r="B26" s="18" t="s">
        <v>534</v>
      </c>
      <c r="C26" s="462"/>
      <c r="D26" s="4">
        <f>$D$420</f>
        <v>9</v>
      </c>
      <c r="E26" s="22" t="s">
        <v>655</v>
      </c>
    </row>
    <row r="27" spans="1:5" x14ac:dyDescent="0.3">
      <c r="A27" s="16" t="s">
        <v>1769</v>
      </c>
      <c r="B27" s="18" t="s">
        <v>534</v>
      </c>
      <c r="C27" s="462"/>
      <c r="D27" s="27">
        <f>$D$446</f>
        <v>1.1360000000000001</v>
      </c>
      <c r="E27" s="22" t="s">
        <v>655</v>
      </c>
    </row>
    <row r="28" spans="1:5" x14ac:dyDescent="0.3">
      <c r="A28" s="16" t="s">
        <v>1771</v>
      </c>
      <c r="B28" s="18" t="s">
        <v>534</v>
      </c>
      <c r="C28" s="18"/>
      <c r="D28" s="161">
        <f>$D$354</f>
        <v>0.26900000000000002</v>
      </c>
      <c r="E28" s="22" t="s">
        <v>1763</v>
      </c>
    </row>
    <row r="29" spans="1:5" x14ac:dyDescent="0.3">
      <c r="A29" s="16" t="s">
        <v>1960</v>
      </c>
      <c r="B29" s="18" t="s">
        <v>534</v>
      </c>
      <c r="C29" s="462"/>
      <c r="D29" s="27">
        <f>$D$466</f>
        <v>0.13700000000000001</v>
      </c>
      <c r="E29" s="22" t="s">
        <v>1763</v>
      </c>
    </row>
    <row r="30" spans="1:5" x14ac:dyDescent="0.3">
      <c r="A30" s="16" t="s">
        <v>1780</v>
      </c>
      <c r="B30" s="18" t="s">
        <v>534</v>
      </c>
      <c r="C30" s="462"/>
      <c r="D30" s="27">
        <f>$D$482</f>
        <v>0.56299999999999994</v>
      </c>
      <c r="E30" s="22" t="s">
        <v>1763</v>
      </c>
    </row>
    <row r="31" spans="1:5" x14ac:dyDescent="0.3">
      <c r="A31" s="16" t="s">
        <v>1785</v>
      </c>
      <c r="B31" s="18" t="s">
        <v>534</v>
      </c>
      <c r="C31" s="462"/>
      <c r="D31" s="27">
        <f>$D$505</f>
        <v>0.06</v>
      </c>
      <c r="E31" s="167" t="s">
        <v>655</v>
      </c>
    </row>
    <row r="32" spans="1:5" x14ac:dyDescent="0.3">
      <c r="A32" s="16" t="s">
        <v>1781</v>
      </c>
      <c r="B32" s="18" t="s">
        <v>132</v>
      </c>
      <c r="C32" s="18"/>
      <c r="D32" s="137">
        <f>($D$34/'1. USER INPUTS'!$E$23)*D7</f>
        <v>475092544.91668707</v>
      </c>
      <c r="E32" s="22" t="s">
        <v>232</v>
      </c>
    </row>
    <row r="33" spans="1:5" x14ac:dyDescent="0.3">
      <c r="A33" s="16" t="s">
        <v>1782</v>
      </c>
      <c r="B33" s="18" t="s">
        <v>647</v>
      </c>
      <c r="C33" s="18"/>
      <c r="D33" s="137">
        <f>$D$32/(365)</f>
        <v>1301623.4107306495</v>
      </c>
      <c r="E33" s="22" t="s">
        <v>232</v>
      </c>
    </row>
    <row r="34" spans="1:5" x14ac:dyDescent="0.3">
      <c r="A34" s="16" t="s">
        <v>1783</v>
      </c>
      <c r="B34" s="18" t="s">
        <v>831</v>
      </c>
      <c r="C34" s="18"/>
      <c r="D34" s="137">
        <f>SUM(D37:D42,D47:D47,D50)</f>
        <v>1.7009630197778893</v>
      </c>
      <c r="E34" s="22" t="s">
        <v>232</v>
      </c>
    </row>
    <row r="35" spans="1:5" ht="15" thickBot="1" x14ac:dyDescent="0.35">
      <c r="A35" s="17" t="s">
        <v>1784</v>
      </c>
      <c r="B35" s="365" t="s">
        <v>771</v>
      </c>
      <c r="C35" s="365"/>
      <c r="D35" s="454">
        <f>$D$32/$D$13</f>
        <v>13009.105830139295</v>
      </c>
      <c r="E35" s="28" t="s">
        <v>232</v>
      </c>
    </row>
    <row r="36" spans="1:5" x14ac:dyDescent="0.3">
      <c r="A36" s="1147" t="s">
        <v>291</v>
      </c>
      <c r="B36" s="1148"/>
      <c r="C36" s="1148"/>
      <c r="D36" s="1148"/>
      <c r="E36" s="1149"/>
    </row>
    <row r="37" spans="1:5" x14ac:dyDescent="0.3">
      <c r="A37" s="293" t="s">
        <v>716</v>
      </c>
      <c r="B37" s="15" t="s">
        <v>342</v>
      </c>
      <c r="C37" s="3" t="s">
        <v>924</v>
      </c>
      <c r="D37" s="307">
        <f>$D$141</f>
        <v>0.44475595377760807</v>
      </c>
      <c r="E37" s="455" t="s">
        <v>1929</v>
      </c>
    </row>
    <row r="38" spans="1:5" x14ac:dyDescent="0.3">
      <c r="A38" s="293" t="s">
        <v>716</v>
      </c>
      <c r="B38" s="15" t="s">
        <v>342</v>
      </c>
      <c r="C38" s="3" t="s">
        <v>915</v>
      </c>
      <c r="D38" s="307">
        <f>$D$174</f>
        <v>0.47097533388089891</v>
      </c>
      <c r="E38" s="455" t="s">
        <v>1930</v>
      </c>
    </row>
    <row r="39" spans="1:5" x14ac:dyDescent="0.3">
      <c r="A39" s="293" t="s">
        <v>716</v>
      </c>
      <c r="B39" s="15" t="s">
        <v>342</v>
      </c>
      <c r="C39" s="3" t="s">
        <v>916</v>
      </c>
      <c r="D39" s="307">
        <f>$D$189</f>
        <v>8.2107608988746181E-2</v>
      </c>
      <c r="E39" s="455" t="s">
        <v>1931</v>
      </c>
    </row>
    <row r="40" spans="1:5" x14ac:dyDescent="0.3">
      <c r="A40" s="293" t="s">
        <v>716</v>
      </c>
      <c r="B40" s="15" t="s">
        <v>342</v>
      </c>
      <c r="C40" s="3" t="s">
        <v>2281</v>
      </c>
      <c r="D40" s="307">
        <f>$D$238</f>
        <v>4.2963326736507886E-2</v>
      </c>
      <c r="E40" s="455" t="s">
        <v>2282</v>
      </c>
    </row>
    <row r="41" spans="1:5" x14ac:dyDescent="0.3">
      <c r="A41" s="293" t="s">
        <v>713</v>
      </c>
      <c r="B41" s="15" t="s">
        <v>153</v>
      </c>
      <c r="C41" s="3" t="s">
        <v>2283</v>
      </c>
      <c r="D41" s="307">
        <f>SUM($D$229:$D$237)</f>
        <v>0.64722290711903918</v>
      </c>
      <c r="E41" s="455" t="s">
        <v>2282</v>
      </c>
    </row>
    <row r="42" spans="1:5" x14ac:dyDescent="0.3">
      <c r="A42" s="293" t="s">
        <v>716</v>
      </c>
      <c r="B42" s="15" t="s">
        <v>342</v>
      </c>
      <c r="C42" s="3" t="s">
        <v>917</v>
      </c>
      <c r="D42" s="307">
        <f>$D$317</f>
        <v>1.7755438798122491E-4</v>
      </c>
      <c r="E42" s="455" t="s">
        <v>1819</v>
      </c>
    </row>
    <row r="43" spans="1:5" x14ac:dyDescent="0.3">
      <c r="A43" s="293" t="s">
        <v>708</v>
      </c>
      <c r="B43" s="15" t="s">
        <v>153</v>
      </c>
      <c r="C43" s="3" t="s">
        <v>914</v>
      </c>
      <c r="D43" s="307">
        <f>SUM(D305,D307)</f>
        <v>1.5675576609499902E-2</v>
      </c>
      <c r="E43" s="455" t="s">
        <v>1819</v>
      </c>
    </row>
    <row r="44" spans="1:5" x14ac:dyDescent="0.3">
      <c r="A44" s="262" t="s">
        <v>431</v>
      </c>
      <c r="B44" s="15" t="s">
        <v>153</v>
      </c>
      <c r="C44" s="3" t="s">
        <v>2412</v>
      </c>
      <c r="D44" s="307">
        <f>SUM(D309,D311,D313,D315)</f>
        <v>4.6349441151675875E-3</v>
      </c>
      <c r="E44" s="455" t="s">
        <v>1819</v>
      </c>
    </row>
    <row r="45" spans="1:5" x14ac:dyDescent="0.3">
      <c r="A45" s="293" t="s">
        <v>713</v>
      </c>
      <c r="B45" s="15" t="s">
        <v>153</v>
      </c>
      <c r="C45" s="3" t="s">
        <v>913</v>
      </c>
      <c r="D45" s="307">
        <f>SUM(D306,D308,D310,D312,D314,D316)</f>
        <v>2.6490446211557606E-2</v>
      </c>
      <c r="E45" s="455" t="s">
        <v>1819</v>
      </c>
    </row>
    <row r="46" spans="1:5" x14ac:dyDescent="0.3">
      <c r="A46" s="293" t="s">
        <v>713</v>
      </c>
      <c r="B46" s="15" t="s">
        <v>153</v>
      </c>
      <c r="C46" s="3" t="s">
        <v>919</v>
      </c>
      <c r="D46" s="307">
        <f>$D$452</f>
        <v>10.763860027257738</v>
      </c>
      <c r="E46" s="455" t="s">
        <v>124</v>
      </c>
    </row>
    <row r="47" spans="1:5" x14ac:dyDescent="0.3">
      <c r="A47" s="293" t="s">
        <v>716</v>
      </c>
      <c r="B47" s="15" t="s">
        <v>342</v>
      </c>
      <c r="C47" s="3" t="s">
        <v>920</v>
      </c>
      <c r="D47" s="307">
        <f>$D$453</f>
        <v>1.2227744990964792E-2</v>
      </c>
      <c r="E47" s="455" t="s">
        <v>124</v>
      </c>
    </row>
    <row r="48" spans="1:5" x14ac:dyDescent="0.3">
      <c r="A48" s="293" t="s">
        <v>785</v>
      </c>
      <c r="B48" s="15" t="s">
        <v>521</v>
      </c>
      <c r="C48" s="3" t="s">
        <v>921</v>
      </c>
      <c r="D48" s="307">
        <f>$D$470</f>
        <v>8.8764982690536405E-3</v>
      </c>
      <c r="E48" s="455" t="s">
        <v>835</v>
      </c>
    </row>
    <row r="49" spans="1:5" x14ac:dyDescent="0.3">
      <c r="A49" s="293" t="s">
        <v>962</v>
      </c>
      <c r="B49" s="15" t="s">
        <v>153</v>
      </c>
      <c r="C49" s="3" t="s">
        <v>963</v>
      </c>
      <c r="D49" s="307">
        <f>$D$493</f>
        <v>6.0048536840172986E-2</v>
      </c>
      <c r="E49" s="455" t="s">
        <v>1</v>
      </c>
    </row>
    <row r="50" spans="1:5" x14ac:dyDescent="0.3">
      <c r="A50" s="293" t="s">
        <v>716</v>
      </c>
      <c r="B50" s="15" t="s">
        <v>342</v>
      </c>
      <c r="C50" s="3" t="s">
        <v>923</v>
      </c>
      <c r="D50" s="307">
        <f>$D$509</f>
        <v>5.3258989614321842E-4</v>
      </c>
      <c r="E50" s="455" t="s">
        <v>836</v>
      </c>
    </row>
    <row r="51" spans="1:5" x14ac:dyDescent="0.3">
      <c r="A51" s="1128" t="s">
        <v>292</v>
      </c>
      <c r="B51" s="1129"/>
      <c r="C51" s="1129"/>
      <c r="D51" s="1129"/>
      <c r="E51" s="1130"/>
    </row>
    <row r="52" spans="1:5" ht="15" thickBot="1" x14ac:dyDescent="0.35">
      <c r="A52" s="46" t="s">
        <v>322</v>
      </c>
      <c r="B52" s="47" t="s">
        <v>293</v>
      </c>
      <c r="C52" s="47"/>
      <c r="D52" s="147">
        <v>1</v>
      </c>
      <c r="E52" s="34"/>
    </row>
    <row r="53" spans="1:5" x14ac:dyDescent="0.3">
      <c r="A53" s="820" t="s">
        <v>961</v>
      </c>
      <c r="B53" s="822" t="s">
        <v>153</v>
      </c>
      <c r="C53" s="821" t="s">
        <v>2404</v>
      </c>
      <c r="D53" s="823">
        <f>-$D$343</f>
        <v>-2.8752776785140533E-4</v>
      </c>
      <c r="E53" s="830" t="s">
        <v>837</v>
      </c>
    </row>
    <row r="54" spans="1:5" x14ac:dyDescent="0.3">
      <c r="A54" s="116" t="s">
        <v>1956</v>
      </c>
      <c r="B54" s="113" t="s">
        <v>521</v>
      </c>
      <c r="C54" s="112" t="s">
        <v>2322</v>
      </c>
      <c r="D54" s="124">
        <f>-$D$403</f>
        <v>-1.0821603795289441E-3</v>
      </c>
      <c r="E54" s="506" t="s">
        <v>2401</v>
      </c>
    </row>
    <row r="55" spans="1:5" x14ac:dyDescent="0.3">
      <c r="A55" s="284" t="s">
        <v>1968</v>
      </c>
      <c r="B55" s="113" t="s">
        <v>521</v>
      </c>
      <c r="C55" s="113" t="s">
        <v>2325</v>
      </c>
      <c r="D55" s="124">
        <f>-$D$404</f>
        <v>-5.4108018976447203E-4</v>
      </c>
      <c r="E55" s="506" t="s">
        <v>2401</v>
      </c>
    </row>
    <row r="56" spans="1:5" x14ac:dyDescent="0.3">
      <c r="A56" s="284" t="s">
        <v>1956</v>
      </c>
      <c r="B56" s="112" t="s">
        <v>521</v>
      </c>
      <c r="C56" s="112" t="s">
        <v>2399</v>
      </c>
      <c r="D56" s="115">
        <f>-$D$393</f>
        <v>-5.4752463593005627E-6</v>
      </c>
      <c r="E56" s="506" t="s">
        <v>2402</v>
      </c>
    </row>
    <row r="57" spans="1:5" x14ac:dyDescent="0.3">
      <c r="A57" s="284" t="s">
        <v>1968</v>
      </c>
      <c r="B57" s="113" t="s">
        <v>521</v>
      </c>
      <c r="C57" s="113" t="s">
        <v>2400</v>
      </c>
      <c r="D57" s="115">
        <f>-$D$394</f>
        <v>-2.7376231796502813E-6</v>
      </c>
      <c r="E57" s="506" t="s">
        <v>2402</v>
      </c>
    </row>
    <row r="58" spans="1:5" x14ac:dyDescent="0.3">
      <c r="A58" s="284" t="s">
        <v>1956</v>
      </c>
      <c r="B58" s="112" t="s">
        <v>521</v>
      </c>
      <c r="C58" s="112" t="s">
        <v>2352</v>
      </c>
      <c r="D58" s="115">
        <f>-$D$401</f>
        <v>-1.4108813393143575E-5</v>
      </c>
      <c r="E58" s="506" t="s">
        <v>2403</v>
      </c>
    </row>
    <row r="59" spans="1:5" x14ac:dyDescent="0.3">
      <c r="A59" s="284" t="s">
        <v>1968</v>
      </c>
      <c r="B59" s="113" t="s">
        <v>521</v>
      </c>
      <c r="C59" s="113" t="s">
        <v>2353</v>
      </c>
      <c r="D59" s="124">
        <f>-$D$402</f>
        <v>-7.0544066965717874E-6</v>
      </c>
      <c r="E59" s="577" t="s">
        <v>2403</v>
      </c>
    </row>
    <row r="60" spans="1:5" ht="15" thickBot="1" x14ac:dyDescent="0.35">
      <c r="A60" s="772" t="s">
        <v>816</v>
      </c>
      <c r="B60" s="532" t="s">
        <v>153</v>
      </c>
      <c r="C60" s="532" t="s">
        <v>2284</v>
      </c>
      <c r="D60" s="533">
        <f>$D$275</f>
        <v>1.1406763248542851E-4</v>
      </c>
      <c r="E60" s="534" t="s">
        <v>2282</v>
      </c>
    </row>
    <row r="61" spans="1:5" x14ac:dyDescent="0.3">
      <c r="A61" s="539" t="s">
        <v>961</v>
      </c>
      <c r="B61" s="294" t="s">
        <v>153</v>
      </c>
      <c r="C61" s="294" t="s">
        <v>2405</v>
      </c>
      <c r="D61" s="783">
        <f>-$D$344</f>
        <v>-1.3732630568494202E-4</v>
      </c>
      <c r="E61" s="784" t="s">
        <v>837</v>
      </c>
    </row>
    <row r="62" spans="1:5" x14ac:dyDescent="0.3">
      <c r="A62" s="116" t="s">
        <v>1956</v>
      </c>
      <c r="B62" s="113" t="s">
        <v>521</v>
      </c>
      <c r="C62" s="112" t="s">
        <v>2406</v>
      </c>
      <c r="D62" s="124">
        <f>-$D$405</f>
        <v>-5.3297308735630032E-4</v>
      </c>
      <c r="E62" s="506" t="s">
        <v>834</v>
      </c>
    </row>
    <row r="63" spans="1:5" ht="15" thickBot="1" x14ac:dyDescent="0.35">
      <c r="A63" s="110" t="s">
        <v>1968</v>
      </c>
      <c r="B63" s="111" t="s">
        <v>521</v>
      </c>
      <c r="C63" s="111" t="s">
        <v>2407</v>
      </c>
      <c r="D63" s="114">
        <f>-$D$406</f>
        <v>-2.6648654367815016E-4</v>
      </c>
      <c r="E63" s="321" t="s">
        <v>834</v>
      </c>
    </row>
    <row r="64" spans="1:5" x14ac:dyDescent="0.3">
      <c r="A64" s="820" t="s">
        <v>961</v>
      </c>
      <c r="B64" s="822" t="s">
        <v>153</v>
      </c>
      <c r="C64" s="822" t="s">
        <v>2408</v>
      </c>
      <c r="D64" s="823">
        <f>-$D$345</f>
        <v>-1.530398380214217E-7</v>
      </c>
      <c r="E64" s="830" t="s">
        <v>837</v>
      </c>
    </row>
    <row r="65" spans="1:5" x14ac:dyDescent="0.3">
      <c r="A65" s="116" t="s">
        <v>1956</v>
      </c>
      <c r="B65" s="113" t="s">
        <v>521</v>
      </c>
      <c r="C65" s="112" t="s">
        <v>2409</v>
      </c>
      <c r="D65" s="124">
        <f>-$D$407</f>
        <v>-2.4326790338804905E-4</v>
      </c>
      <c r="E65" s="506" t="s">
        <v>2401</v>
      </c>
    </row>
    <row r="66" spans="1:5" ht="15" thickBot="1" x14ac:dyDescent="0.35">
      <c r="A66" s="284" t="s">
        <v>1968</v>
      </c>
      <c r="B66" s="113" t="s">
        <v>521</v>
      </c>
      <c r="C66" s="113" t="s">
        <v>2410</v>
      </c>
      <c r="D66" s="124">
        <f>-$D$408</f>
        <v>-1.2163395169402452E-4</v>
      </c>
      <c r="E66" s="577" t="s">
        <v>2401</v>
      </c>
    </row>
    <row r="67" spans="1:5" x14ac:dyDescent="0.3">
      <c r="A67" s="820" t="s">
        <v>1956</v>
      </c>
      <c r="B67" s="822" t="s">
        <v>521</v>
      </c>
      <c r="C67" s="822" t="s">
        <v>2374</v>
      </c>
      <c r="D67" s="823">
        <f>-$D$377</f>
        <v>-1.8250821197668549E-6</v>
      </c>
      <c r="E67" s="824" t="s">
        <v>2402</v>
      </c>
    </row>
    <row r="68" spans="1:5" x14ac:dyDescent="0.3">
      <c r="A68" s="116" t="s">
        <v>1968</v>
      </c>
      <c r="B68" s="112" t="s">
        <v>521</v>
      </c>
      <c r="C68" s="112" t="s">
        <v>2375</v>
      </c>
      <c r="D68" s="115">
        <f>-$D$378</f>
        <v>-9.1254105988342743E-7</v>
      </c>
      <c r="E68" s="506" t="s">
        <v>2402</v>
      </c>
    </row>
    <row r="69" spans="1:5" x14ac:dyDescent="0.3">
      <c r="A69" s="116" t="s">
        <v>1956</v>
      </c>
      <c r="B69" s="112" t="s">
        <v>521</v>
      </c>
      <c r="C69" s="112" t="s">
        <v>2346</v>
      </c>
      <c r="D69" s="115">
        <f>-$D$395</f>
        <v>-3.5709509205124608E-3</v>
      </c>
      <c r="E69" s="506" t="s">
        <v>2403</v>
      </c>
    </row>
    <row r="70" spans="1:5" x14ac:dyDescent="0.3">
      <c r="A70" s="116" t="s">
        <v>1968</v>
      </c>
      <c r="B70" s="112" t="s">
        <v>521</v>
      </c>
      <c r="C70" s="112" t="s">
        <v>2347</v>
      </c>
      <c r="D70" s="115">
        <f>-$D$396</f>
        <v>-1.7854754602562304E-3</v>
      </c>
      <c r="E70" s="506" t="s">
        <v>2403</v>
      </c>
    </row>
    <row r="71" spans="1:5" ht="15" thickBot="1" x14ac:dyDescent="0.35">
      <c r="A71" s="831" t="s">
        <v>816</v>
      </c>
      <c r="B71" s="838" t="s">
        <v>153</v>
      </c>
      <c r="C71" s="838" t="s">
        <v>2277</v>
      </c>
      <c r="D71" s="837">
        <f>$D$250</f>
        <v>3.8022544161809508E-5</v>
      </c>
      <c r="E71" s="839" t="s">
        <v>2282</v>
      </c>
    </row>
    <row r="72" spans="1:5" x14ac:dyDescent="0.3">
      <c r="A72" s="828" t="s">
        <v>1956</v>
      </c>
      <c r="B72" s="822" t="s">
        <v>521</v>
      </c>
      <c r="C72" s="822" t="s">
        <v>2385</v>
      </c>
      <c r="D72" s="823">
        <f>-$D$379</f>
        <v>-4.5627052994171372E-7</v>
      </c>
      <c r="E72" s="824" t="s">
        <v>2402</v>
      </c>
    </row>
    <row r="73" spans="1:5" x14ac:dyDescent="0.3">
      <c r="A73" s="284" t="s">
        <v>1968</v>
      </c>
      <c r="B73" s="112" t="s">
        <v>521</v>
      </c>
      <c r="C73" s="112" t="s">
        <v>2386</v>
      </c>
      <c r="D73" s="115">
        <f>-$D$380</f>
        <v>-2.2813526497085686E-7</v>
      </c>
      <c r="E73" s="506" t="s">
        <v>2402</v>
      </c>
    </row>
    <row r="74" spans="1:5" x14ac:dyDescent="0.3">
      <c r="A74" s="284" t="s">
        <v>1956</v>
      </c>
      <c r="B74" s="112" t="s">
        <v>521</v>
      </c>
      <c r="C74" s="112" t="s">
        <v>2348</v>
      </c>
      <c r="D74" s="115">
        <f>-$D$397</f>
        <v>-3.7666562311706985E-5</v>
      </c>
      <c r="E74" s="826" t="s">
        <v>2403</v>
      </c>
    </row>
    <row r="75" spans="1:5" x14ac:dyDescent="0.3">
      <c r="A75" s="284" t="s">
        <v>1968</v>
      </c>
      <c r="B75" s="113" t="s">
        <v>521</v>
      </c>
      <c r="C75" s="113" t="s">
        <v>2349</v>
      </c>
      <c r="D75" s="115">
        <f>-$D$398</f>
        <v>-1.8833281155853493E-5</v>
      </c>
      <c r="E75" s="829" t="s">
        <v>2403</v>
      </c>
    </row>
    <row r="76" spans="1:5" ht="15" thickBot="1" x14ac:dyDescent="0.35">
      <c r="A76" s="730" t="s">
        <v>816</v>
      </c>
      <c r="B76" s="532" t="s">
        <v>153</v>
      </c>
      <c r="C76" s="528" t="s">
        <v>2411</v>
      </c>
      <c r="D76" s="840">
        <f>D251</f>
        <v>9.505636040452377E-6</v>
      </c>
      <c r="E76" s="529" t="s">
        <v>2282</v>
      </c>
    </row>
    <row r="77" spans="1:5" x14ac:dyDescent="0.3">
      <c r="A77" s="828" t="s">
        <v>1956</v>
      </c>
      <c r="B77" s="822" t="s">
        <v>521</v>
      </c>
      <c r="C77" s="822" t="s">
        <v>2387</v>
      </c>
      <c r="D77" s="823">
        <f>-$D$381</f>
        <v>-4.3221109702767925E-5</v>
      </c>
      <c r="E77" s="824" t="s">
        <v>2402</v>
      </c>
    </row>
    <row r="78" spans="1:5" x14ac:dyDescent="0.3">
      <c r="A78" s="284" t="s">
        <v>1968</v>
      </c>
      <c r="B78" s="112" t="s">
        <v>521</v>
      </c>
      <c r="C78" s="112" t="s">
        <v>2388</v>
      </c>
      <c r="D78" s="115">
        <f>-$D$382</f>
        <v>-2.1610554851383963E-5</v>
      </c>
      <c r="E78" s="506" t="s">
        <v>2402</v>
      </c>
    </row>
    <row r="79" spans="1:5" x14ac:dyDescent="0.3">
      <c r="A79" s="284" t="s">
        <v>1956</v>
      </c>
      <c r="B79" s="112" t="s">
        <v>521</v>
      </c>
      <c r="C79" s="112" t="s">
        <v>2350</v>
      </c>
      <c r="D79" s="115">
        <f>-$D$399</f>
        <v>-2.4703857298787407E-7</v>
      </c>
      <c r="E79" s="826" t="s">
        <v>2403</v>
      </c>
    </row>
    <row r="80" spans="1:5" x14ac:dyDescent="0.3">
      <c r="A80" s="284" t="s">
        <v>1968</v>
      </c>
      <c r="B80" s="113" t="s">
        <v>521</v>
      </c>
      <c r="C80" s="113" t="s">
        <v>2351</v>
      </c>
      <c r="D80" s="115">
        <f>-$D$400</f>
        <v>-1.2351928649393703E-7</v>
      </c>
      <c r="E80" s="829" t="s">
        <v>2403</v>
      </c>
    </row>
    <row r="81" spans="1:5" ht="15" thickBot="1" x14ac:dyDescent="0.35">
      <c r="A81" s="730" t="s">
        <v>816</v>
      </c>
      <c r="B81" s="532" t="s">
        <v>153</v>
      </c>
      <c r="C81" s="528" t="s">
        <v>2279</v>
      </c>
      <c r="D81" s="840">
        <f>$D$252</f>
        <v>4.1824798577990449E-4</v>
      </c>
      <c r="E81" s="529" t="s">
        <v>2282</v>
      </c>
    </row>
    <row r="82" spans="1:5" x14ac:dyDescent="0.3">
      <c r="A82" s="828" t="s">
        <v>1956</v>
      </c>
      <c r="B82" s="822" t="s">
        <v>521</v>
      </c>
      <c r="C82" s="822" t="s">
        <v>2389</v>
      </c>
      <c r="D82" s="823">
        <f>-$D$383</f>
        <v>-1.4879255233569081E-5</v>
      </c>
      <c r="E82" s="824" t="s">
        <v>2402</v>
      </c>
    </row>
    <row r="83" spans="1:5" x14ac:dyDescent="0.3">
      <c r="A83" s="284" t="s">
        <v>1968</v>
      </c>
      <c r="B83" s="113" t="s">
        <v>521</v>
      </c>
      <c r="C83" s="113" t="s">
        <v>2390</v>
      </c>
      <c r="D83" s="115">
        <f>-$D$384</f>
        <v>-7.4396276167845407E-6</v>
      </c>
      <c r="E83" s="577" t="s">
        <v>2402</v>
      </c>
    </row>
    <row r="84" spans="1:5" x14ac:dyDescent="0.3">
      <c r="A84" s="515" t="s">
        <v>2252</v>
      </c>
      <c r="B84" s="43" t="s">
        <v>153</v>
      </c>
      <c r="C84" s="43" t="s">
        <v>2259</v>
      </c>
      <c r="D84" s="530">
        <f>$D$253</f>
        <v>1.2094444997119096E-5</v>
      </c>
      <c r="E84" s="526" t="s">
        <v>2282</v>
      </c>
    </row>
    <row r="85" spans="1:5" x14ac:dyDescent="0.3">
      <c r="A85" s="527" t="s">
        <v>2265</v>
      </c>
      <c r="B85" s="43" t="s">
        <v>153</v>
      </c>
      <c r="C85" s="43" t="s">
        <v>2259</v>
      </c>
      <c r="D85" s="530">
        <f>$D$254</f>
        <v>1.0473664236816017E-5</v>
      </c>
      <c r="E85" s="526" t="s">
        <v>2282</v>
      </c>
    </row>
    <row r="86" spans="1:5" x14ac:dyDescent="0.3">
      <c r="A86" s="731" t="s">
        <v>2228</v>
      </c>
      <c r="B86" s="43" t="s">
        <v>153</v>
      </c>
      <c r="C86" s="43" t="s">
        <v>2259</v>
      </c>
      <c r="D86" s="530">
        <f>$D$255</f>
        <v>2.1755745333369906E-4</v>
      </c>
      <c r="E86" s="526" t="s">
        <v>2282</v>
      </c>
    </row>
    <row r="87" spans="1:5" x14ac:dyDescent="0.3">
      <c r="A87" s="515" t="s">
        <v>816</v>
      </c>
      <c r="B87" s="43" t="s">
        <v>153</v>
      </c>
      <c r="C87" s="43" t="s">
        <v>2259</v>
      </c>
      <c r="D87" s="530">
        <f>$D$256</f>
        <v>1.8802255496331645E-5</v>
      </c>
      <c r="E87" s="526" t="s">
        <v>2282</v>
      </c>
    </row>
    <row r="88" spans="1:5" ht="15" thickBot="1" x14ac:dyDescent="0.35">
      <c r="A88" s="531" t="s">
        <v>864</v>
      </c>
      <c r="B88" s="851" t="s">
        <v>153</v>
      </c>
      <c r="C88" s="532" t="s">
        <v>2259</v>
      </c>
      <c r="D88" s="533">
        <f>$D$257</f>
        <v>1.342066918931666E-5</v>
      </c>
      <c r="E88" s="534" t="s">
        <v>2282</v>
      </c>
    </row>
    <row r="89" spans="1:5" x14ac:dyDescent="0.3">
      <c r="A89" s="828" t="s">
        <v>1956</v>
      </c>
      <c r="B89" s="822" t="s">
        <v>521</v>
      </c>
      <c r="C89" s="822" t="s">
        <v>2391</v>
      </c>
      <c r="D89" s="823">
        <f>-$D$385</f>
        <v>-5.0084447323936042E-4</v>
      </c>
      <c r="E89" s="824" t="s">
        <v>2402</v>
      </c>
    </row>
    <row r="90" spans="1:5" x14ac:dyDescent="0.3">
      <c r="A90" s="284" t="s">
        <v>1968</v>
      </c>
      <c r="B90" s="113" t="s">
        <v>521</v>
      </c>
      <c r="C90" s="113" t="s">
        <v>2392</v>
      </c>
      <c r="D90" s="124">
        <f>-$D$386</f>
        <v>-2.5042223661968021E-4</v>
      </c>
      <c r="E90" s="577" t="s">
        <v>2402</v>
      </c>
    </row>
    <row r="91" spans="1:5" x14ac:dyDescent="0.3">
      <c r="A91" s="515" t="s">
        <v>816</v>
      </c>
      <c r="B91" s="43" t="s">
        <v>153</v>
      </c>
      <c r="C91" s="43" t="s">
        <v>2261</v>
      </c>
      <c r="D91" s="530">
        <f>D258</f>
        <v>1.0060579010798937E-3</v>
      </c>
      <c r="E91" s="526" t="s">
        <v>2282</v>
      </c>
    </row>
    <row r="92" spans="1:5" ht="15" thickBot="1" x14ac:dyDescent="0.35">
      <c r="A92" s="531" t="s">
        <v>1947</v>
      </c>
      <c r="B92" s="851" t="s">
        <v>153</v>
      </c>
      <c r="C92" s="532" t="s">
        <v>2261</v>
      </c>
      <c r="D92" s="533">
        <f>D259</f>
        <v>6.7883054098128912E-4</v>
      </c>
      <c r="E92" s="534" t="s">
        <v>2282</v>
      </c>
    </row>
    <row r="93" spans="1:5" x14ac:dyDescent="0.3">
      <c r="A93" s="828" t="s">
        <v>1956</v>
      </c>
      <c r="B93" s="822" t="s">
        <v>521</v>
      </c>
      <c r="C93" s="822" t="s">
        <v>2393</v>
      </c>
      <c r="D93" s="823">
        <f>-$D$387</f>
        <v>-1.0533372880041895E-7</v>
      </c>
      <c r="E93" s="824" t="s">
        <v>2402</v>
      </c>
    </row>
    <row r="94" spans="1:5" x14ac:dyDescent="0.3">
      <c r="A94" s="116" t="s">
        <v>1968</v>
      </c>
      <c r="B94" s="112" t="s">
        <v>521</v>
      </c>
      <c r="C94" s="112" t="s">
        <v>2394</v>
      </c>
      <c r="D94" s="115">
        <f>-$D$388</f>
        <v>-5.2666864400209476E-8</v>
      </c>
      <c r="E94" s="506" t="s">
        <v>2402</v>
      </c>
    </row>
    <row r="95" spans="1:5" ht="15" thickBot="1" x14ac:dyDescent="0.35">
      <c r="A95" s="831" t="s">
        <v>2266</v>
      </c>
      <c r="B95" s="851" t="s">
        <v>153</v>
      </c>
      <c r="C95" s="838" t="s">
        <v>2262</v>
      </c>
      <c r="D95" s="837">
        <f>D260</f>
        <v>3.1319228696657936E-6</v>
      </c>
      <c r="E95" s="839" t="s">
        <v>2282</v>
      </c>
    </row>
    <row r="96" spans="1:5" x14ac:dyDescent="0.3">
      <c r="A96" s="828" t="s">
        <v>1956</v>
      </c>
      <c r="B96" s="822" t="s">
        <v>521</v>
      </c>
      <c r="C96" s="822" t="s">
        <v>2395</v>
      </c>
      <c r="D96" s="823">
        <f>-$D$389</f>
        <v>-3.4302418957296645E-7</v>
      </c>
      <c r="E96" s="824" t="s">
        <v>2402</v>
      </c>
    </row>
    <row r="97" spans="1:5" x14ac:dyDescent="0.3">
      <c r="A97" s="116" t="s">
        <v>1968</v>
      </c>
      <c r="B97" s="112" t="s">
        <v>521</v>
      </c>
      <c r="C97" s="112" t="s">
        <v>2396</v>
      </c>
      <c r="D97" s="115">
        <f>-$D$390</f>
        <v>-1.7151209478648322E-7</v>
      </c>
      <c r="E97" s="506" t="s">
        <v>2402</v>
      </c>
    </row>
    <row r="98" spans="1:5" x14ac:dyDescent="0.3">
      <c r="A98" s="515" t="s">
        <v>463</v>
      </c>
      <c r="B98" s="43" t="s">
        <v>128</v>
      </c>
      <c r="C98" s="43" t="s">
        <v>2263</v>
      </c>
      <c r="D98" s="785">
        <f t="shared" ref="D98:D108" si="0">D261</f>
        <v>5.5663658363367173E-7</v>
      </c>
      <c r="E98" s="786" t="s">
        <v>2282</v>
      </c>
    </row>
    <row r="99" spans="1:5" x14ac:dyDescent="0.3">
      <c r="A99" s="515" t="s">
        <v>2246</v>
      </c>
      <c r="B99" s="43" t="s">
        <v>153</v>
      </c>
      <c r="C99" s="43" t="s">
        <v>2263</v>
      </c>
      <c r="D99" s="785">
        <f t="shared" si="0"/>
        <v>2.1094355682355335E-6</v>
      </c>
      <c r="E99" s="786" t="s">
        <v>2282</v>
      </c>
    </row>
    <row r="100" spans="1:5" x14ac:dyDescent="0.3">
      <c r="A100" s="730" t="s">
        <v>816</v>
      </c>
      <c r="B100" s="43" t="s">
        <v>153</v>
      </c>
      <c r="C100" s="43" t="s">
        <v>2263</v>
      </c>
      <c r="D100" s="785">
        <f t="shared" si="0"/>
        <v>1.632606415987301E-7</v>
      </c>
      <c r="E100" s="786" t="s">
        <v>2282</v>
      </c>
    </row>
    <row r="101" spans="1:5" x14ac:dyDescent="0.3">
      <c r="A101" s="730" t="s">
        <v>1949</v>
      </c>
      <c r="B101" s="43" t="s">
        <v>153</v>
      </c>
      <c r="C101" s="43" t="s">
        <v>2263</v>
      </c>
      <c r="D101" s="785">
        <f t="shared" si="0"/>
        <v>1.3344711535778056E-7</v>
      </c>
      <c r="E101" s="786" t="s">
        <v>2282</v>
      </c>
    </row>
    <row r="102" spans="1:5" x14ac:dyDescent="0.3">
      <c r="A102" s="730" t="s">
        <v>1947</v>
      </c>
      <c r="B102" s="43" t="s">
        <v>153</v>
      </c>
      <c r="C102" s="43" t="s">
        <v>2263</v>
      </c>
      <c r="D102" s="785">
        <f t="shared" si="0"/>
        <v>2.8865716888323323E-8</v>
      </c>
      <c r="E102" s="786" t="s">
        <v>2282</v>
      </c>
    </row>
    <row r="103" spans="1:5" x14ac:dyDescent="0.3">
      <c r="A103" s="730" t="s">
        <v>2267</v>
      </c>
      <c r="B103" s="43" t="s">
        <v>153</v>
      </c>
      <c r="C103" s="43" t="s">
        <v>2263</v>
      </c>
      <c r="D103" s="785">
        <f t="shared" si="0"/>
        <v>2.8162460675780939E-7</v>
      </c>
      <c r="E103" s="786" t="s">
        <v>2282</v>
      </c>
    </row>
    <row r="104" spans="1:5" x14ac:dyDescent="0.3">
      <c r="A104" s="730" t="s">
        <v>2228</v>
      </c>
      <c r="B104" s="43" t="s">
        <v>153</v>
      </c>
      <c r="C104" s="43" t="s">
        <v>2263</v>
      </c>
      <c r="D104" s="785">
        <f t="shared" si="0"/>
        <v>2.5339608198190428E-6</v>
      </c>
      <c r="E104" s="786" t="s">
        <v>2282</v>
      </c>
    </row>
    <row r="105" spans="1:5" x14ac:dyDescent="0.3">
      <c r="A105" s="730" t="s">
        <v>2247</v>
      </c>
      <c r="B105" s="43" t="s">
        <v>153</v>
      </c>
      <c r="C105" s="43" t="s">
        <v>2263</v>
      </c>
      <c r="D105" s="785">
        <f t="shared" si="0"/>
        <v>1.2263451983668818E-7</v>
      </c>
      <c r="E105" s="786" t="s">
        <v>2282</v>
      </c>
    </row>
    <row r="106" spans="1:5" x14ac:dyDescent="0.3">
      <c r="A106" s="731" t="s">
        <v>2265</v>
      </c>
      <c r="B106" s="43" t="s">
        <v>153</v>
      </c>
      <c r="C106" s="43" t="s">
        <v>2263</v>
      </c>
      <c r="D106" s="785">
        <f t="shared" si="0"/>
        <v>3.870566105692002E-10</v>
      </c>
      <c r="E106" s="786" t="s">
        <v>2282</v>
      </c>
    </row>
    <row r="107" spans="1:5" x14ac:dyDescent="0.3">
      <c r="A107" s="734" t="s">
        <v>2248</v>
      </c>
      <c r="B107" s="43" t="s">
        <v>153</v>
      </c>
      <c r="C107" s="43" t="s">
        <v>2263</v>
      </c>
      <c r="D107" s="785">
        <f t="shared" si="0"/>
        <v>1.4320395640256286E-9</v>
      </c>
      <c r="E107" s="786" t="s">
        <v>2282</v>
      </c>
    </row>
    <row r="108" spans="1:5" ht="15" thickBot="1" x14ac:dyDescent="0.35">
      <c r="A108" s="730" t="s">
        <v>1948</v>
      </c>
      <c r="B108" s="43" t="s">
        <v>153</v>
      </c>
      <c r="C108" s="528" t="s">
        <v>2263</v>
      </c>
      <c r="D108" s="837">
        <f t="shared" si="0"/>
        <v>3.9508588745554495E-11</v>
      </c>
      <c r="E108" s="839" t="s">
        <v>2282</v>
      </c>
    </row>
    <row r="109" spans="1:5" x14ac:dyDescent="0.3">
      <c r="A109" s="820" t="s">
        <v>1956</v>
      </c>
      <c r="B109" s="822" t="s">
        <v>521</v>
      </c>
      <c r="C109" s="822" t="s">
        <v>2397</v>
      </c>
      <c r="D109" s="823">
        <f>-$D$391</f>
        <v>-1.0321831840129177E-4</v>
      </c>
      <c r="E109" s="824" t="s">
        <v>2402</v>
      </c>
    </row>
    <row r="110" spans="1:5" x14ac:dyDescent="0.3">
      <c r="A110" s="545" t="s">
        <v>1968</v>
      </c>
      <c r="B110" s="546" t="s">
        <v>521</v>
      </c>
      <c r="C110" s="546" t="s">
        <v>2398</v>
      </c>
      <c r="D110" s="115">
        <f>-$D$392</f>
        <v>-5.1609159200645885E-5</v>
      </c>
      <c r="E110" s="829" t="s">
        <v>2402</v>
      </c>
    </row>
    <row r="111" spans="1:5" x14ac:dyDescent="0.3">
      <c r="A111" s="731" t="s">
        <v>2267</v>
      </c>
      <c r="B111" s="43" t="s">
        <v>153</v>
      </c>
      <c r="C111" s="43" t="s">
        <v>2264</v>
      </c>
      <c r="D111" s="530">
        <f>D272</f>
        <v>8.8934086344571456E-7</v>
      </c>
      <c r="E111" s="526" t="s">
        <v>2282</v>
      </c>
    </row>
    <row r="112" spans="1:5" x14ac:dyDescent="0.3">
      <c r="A112" s="731" t="s">
        <v>872</v>
      </c>
      <c r="B112" s="43" t="s">
        <v>153</v>
      </c>
      <c r="C112" s="43" t="s">
        <v>2264</v>
      </c>
      <c r="D112" s="530">
        <f>D273</f>
        <v>3.112693022060001E-6</v>
      </c>
      <c r="E112" s="526" t="s">
        <v>2282</v>
      </c>
    </row>
    <row r="113" spans="1:5" ht="15" thickBot="1" x14ac:dyDescent="0.35">
      <c r="A113" s="772" t="s">
        <v>816</v>
      </c>
      <c r="B113" s="532" t="s">
        <v>153</v>
      </c>
      <c r="C113" s="532" t="s">
        <v>2264</v>
      </c>
      <c r="D113" s="533">
        <f>D274</f>
        <v>2.1481663368253957E-3</v>
      </c>
      <c r="E113" s="534" t="s">
        <v>2282</v>
      </c>
    </row>
    <row r="114" spans="1:5" x14ac:dyDescent="0.3">
      <c r="A114" s="539" t="s">
        <v>1956</v>
      </c>
      <c r="B114" s="546" t="s">
        <v>521</v>
      </c>
      <c r="C114" s="294" t="s">
        <v>2333</v>
      </c>
      <c r="D114" s="825">
        <f>-$D$409</f>
        <v>-2.9367607756810663E-3</v>
      </c>
      <c r="E114" s="826" t="s">
        <v>834</v>
      </c>
    </row>
    <row r="115" spans="1:5" ht="15" thickBot="1" x14ac:dyDescent="0.35">
      <c r="A115" s="110" t="s">
        <v>1968</v>
      </c>
      <c r="B115" s="111" t="s">
        <v>521</v>
      </c>
      <c r="C115" s="111" t="s">
        <v>2334</v>
      </c>
      <c r="D115" s="114">
        <f>-$D$410</f>
        <v>-1.4683803878405332E-3</v>
      </c>
      <c r="E115" s="321" t="s">
        <v>834</v>
      </c>
    </row>
    <row r="116" spans="1:5" x14ac:dyDescent="0.3">
      <c r="A116" s="820" t="s">
        <v>1956</v>
      </c>
      <c r="B116" s="821" t="s">
        <v>521</v>
      </c>
      <c r="C116" s="822" t="s">
        <v>2328</v>
      </c>
      <c r="D116" s="827">
        <f>-$D$411</f>
        <v>-1.0763860027257738E-2</v>
      </c>
      <c r="E116" s="824" t="s">
        <v>834</v>
      </c>
    </row>
    <row r="117" spans="1:5" ht="15" thickBot="1" x14ac:dyDescent="0.35">
      <c r="A117" s="110" t="s">
        <v>1968</v>
      </c>
      <c r="B117" s="111" t="s">
        <v>521</v>
      </c>
      <c r="C117" s="111" t="s">
        <v>2335</v>
      </c>
      <c r="D117" s="114">
        <f>-$D$412</f>
        <v>-5.3819300136288689E-3</v>
      </c>
      <c r="E117" s="321" t="s">
        <v>834</v>
      </c>
    </row>
    <row r="118" spans="1:5" ht="15" thickBot="1" x14ac:dyDescent="0.35">
      <c r="A118" s="832" t="s">
        <v>1017</v>
      </c>
      <c r="B118" s="833" t="s">
        <v>153</v>
      </c>
      <c r="C118" s="834" t="s">
        <v>2275</v>
      </c>
      <c r="D118" s="835">
        <f>-$D$528</f>
        <v>-3.682543130503263E-5</v>
      </c>
      <c r="E118" s="836" t="s">
        <v>2429</v>
      </c>
    </row>
    <row r="119" spans="1:5" ht="15" thickBot="1" x14ac:dyDescent="0.35">
      <c r="A119" s="846" t="s">
        <v>1882</v>
      </c>
      <c r="B119" s="834" t="s">
        <v>521</v>
      </c>
      <c r="C119" s="834" t="s">
        <v>2291</v>
      </c>
      <c r="D119" s="847">
        <f>-$D$413</f>
        <v>-9.5999999999999992E-3</v>
      </c>
      <c r="E119" s="848" t="s">
        <v>834</v>
      </c>
    </row>
    <row r="120" spans="1:5" x14ac:dyDescent="0.3">
      <c r="A120" s="1140"/>
      <c r="B120" s="1141"/>
      <c r="C120" s="1141"/>
      <c r="D120" s="1141"/>
      <c r="E120" s="1142"/>
    </row>
    <row r="121" spans="1:5" ht="15" thickBot="1" x14ac:dyDescent="0.35">
      <c r="A121" s="1143"/>
      <c r="B121" s="1144"/>
      <c r="C121" s="1144"/>
      <c r="D121" s="1144"/>
      <c r="E121" s="1145"/>
    </row>
    <row r="122" spans="1:5" ht="30" customHeight="1" thickBot="1" x14ac:dyDescent="0.35">
      <c r="A122" s="638" t="s">
        <v>1006</v>
      </c>
      <c r="B122" s="35" t="s">
        <v>142</v>
      </c>
      <c r="C122" s="21" t="s">
        <v>256</v>
      </c>
      <c r="D122" s="26" t="s">
        <v>236</v>
      </c>
      <c r="E122" s="23" t="s">
        <v>212</v>
      </c>
    </row>
    <row r="123" spans="1:5" x14ac:dyDescent="0.3">
      <c r="A123" s="1134" t="s">
        <v>536</v>
      </c>
      <c r="B123" s="19" t="s">
        <v>225</v>
      </c>
      <c r="C123" s="19" t="s">
        <v>619</v>
      </c>
      <c r="D123" s="136"/>
      <c r="E123" s="24"/>
    </row>
    <row r="124" spans="1:5" x14ac:dyDescent="0.3">
      <c r="A124" s="1135"/>
      <c r="B124" s="18" t="s">
        <v>225</v>
      </c>
      <c r="C124" s="18" t="s">
        <v>601</v>
      </c>
      <c r="D124" s="137"/>
      <c r="E124" s="22"/>
    </row>
    <row r="125" spans="1:5" ht="14.4" customHeight="1" x14ac:dyDescent="0.3">
      <c r="A125" s="162" t="s">
        <v>408</v>
      </c>
      <c r="B125" s="48" t="s">
        <v>231</v>
      </c>
      <c r="C125" s="48" t="s">
        <v>622</v>
      </c>
      <c r="D125" s="448">
        <f>'24. WAFER FAB'!$D$13</f>
        <v>36520</v>
      </c>
      <c r="E125" s="22" t="s">
        <v>1743</v>
      </c>
    </row>
    <row r="126" spans="1:5" ht="14.4" customHeight="1" x14ac:dyDescent="0.3">
      <c r="A126" s="162" t="s">
        <v>1742</v>
      </c>
      <c r="B126" s="48" t="s">
        <v>130</v>
      </c>
      <c r="C126" s="18" t="s">
        <v>1759</v>
      </c>
      <c r="D126" s="160">
        <v>5</v>
      </c>
      <c r="E126" s="22" t="s">
        <v>748</v>
      </c>
    </row>
    <row r="127" spans="1:5" ht="14.4" customHeight="1" x14ac:dyDescent="0.3">
      <c r="A127" s="162" t="s">
        <v>539</v>
      </c>
      <c r="B127" s="48" t="s">
        <v>631</v>
      </c>
      <c r="D127" s="448">
        <f>D125*5</f>
        <v>182600</v>
      </c>
      <c r="E127" s="22" t="s">
        <v>232</v>
      </c>
    </row>
    <row r="128" spans="1:5" ht="14.4" customHeight="1" x14ac:dyDescent="0.3">
      <c r="A128" s="162" t="s">
        <v>625</v>
      </c>
      <c r="B128" s="48" t="s">
        <v>626</v>
      </c>
      <c r="C128" s="18"/>
      <c r="D128" s="160">
        <v>153</v>
      </c>
      <c r="E128" s="22" t="s">
        <v>748</v>
      </c>
    </row>
    <row r="129" spans="1:7" ht="14.4" customHeight="1" x14ac:dyDescent="0.3">
      <c r="A129" s="162" t="s">
        <v>627</v>
      </c>
      <c r="B129" s="48" t="s">
        <v>214</v>
      </c>
      <c r="C129" s="18"/>
      <c r="D129" s="160">
        <v>30</v>
      </c>
      <c r="E129" s="22" t="s">
        <v>748</v>
      </c>
    </row>
    <row r="130" spans="1:7" ht="14.4" customHeight="1" x14ac:dyDescent="0.3">
      <c r="A130" s="16" t="s">
        <v>544</v>
      </c>
      <c r="B130" s="18" t="s">
        <v>538</v>
      </c>
      <c r="C130" s="18" t="s">
        <v>935</v>
      </c>
      <c r="D130" s="27">
        <f>'1. USER INPUTS'!$E$27</f>
        <v>400</v>
      </c>
      <c r="E130" s="22" t="s">
        <v>398</v>
      </c>
    </row>
    <row r="131" spans="1:7" ht="14.4" customHeight="1" x14ac:dyDescent="0.3">
      <c r="A131" s="1174" t="s">
        <v>542</v>
      </c>
      <c r="B131" s="18" t="s">
        <v>541</v>
      </c>
      <c r="C131" s="18" t="s">
        <v>545</v>
      </c>
      <c r="D131" s="137">
        <f>$D$127*$D$130</f>
        <v>73040000</v>
      </c>
      <c r="E131" s="108" t="s">
        <v>232</v>
      </c>
      <c r="G131" s="2"/>
    </row>
    <row r="132" spans="1:7" ht="14.4" customHeight="1" x14ac:dyDescent="0.3">
      <c r="A132" s="1146"/>
      <c r="B132" s="18" t="s">
        <v>632</v>
      </c>
      <c r="C132" s="18"/>
      <c r="D132" s="137">
        <f>$D$131/3600</f>
        <v>20288.888888888891</v>
      </c>
      <c r="E132" s="108" t="s">
        <v>232</v>
      </c>
    </row>
    <row r="133" spans="1:7" ht="14.4" customHeight="1" x14ac:dyDescent="0.3">
      <c r="A133" s="1135"/>
      <c r="B133" s="18" t="s">
        <v>550</v>
      </c>
      <c r="C133" s="18" t="s">
        <v>553</v>
      </c>
      <c r="D133" s="137">
        <f>$D$131/'24. WAFER FAB'!$D$13</f>
        <v>2000</v>
      </c>
      <c r="E133" s="22" t="s">
        <v>232</v>
      </c>
    </row>
    <row r="134" spans="1:7" x14ac:dyDescent="0.3">
      <c r="A134" s="16" t="s">
        <v>543</v>
      </c>
      <c r="B134" s="18" t="s">
        <v>537</v>
      </c>
      <c r="C134" s="30" t="s">
        <v>549</v>
      </c>
      <c r="D134" s="161">
        <f>($D$131/$D$125)/3600</f>
        <v>0.55555555555555558</v>
      </c>
      <c r="E134" s="22" t="s">
        <v>232</v>
      </c>
    </row>
    <row r="135" spans="1:7" x14ac:dyDescent="0.3">
      <c r="A135" s="16" t="s">
        <v>548</v>
      </c>
      <c r="B135" s="18" t="s">
        <v>621</v>
      </c>
      <c r="C135" s="30" t="s">
        <v>620</v>
      </c>
      <c r="D135" s="139">
        <f>3000*1.699</f>
        <v>5097</v>
      </c>
      <c r="E135" s="22" t="s">
        <v>232</v>
      </c>
    </row>
    <row r="136" spans="1:7" x14ac:dyDescent="0.3">
      <c r="A136" s="16" t="s">
        <v>1748</v>
      </c>
      <c r="B136" s="18" t="s">
        <v>534</v>
      </c>
      <c r="C136" s="30"/>
      <c r="D136" s="601">
        <f>1/D135</f>
        <v>1.9619383951343929E-4</v>
      </c>
      <c r="E136" s="22" t="s">
        <v>655</v>
      </c>
    </row>
    <row r="137" spans="1:7" x14ac:dyDescent="0.3">
      <c r="A137" s="16" t="s">
        <v>1744</v>
      </c>
      <c r="B137" s="18" t="s">
        <v>132</v>
      </c>
      <c r="C137" s="30"/>
      <c r="D137" s="137">
        <f>$D$136*$D$131</f>
        <v>14329.998038061605</v>
      </c>
      <c r="E137" s="22" t="s">
        <v>232</v>
      </c>
      <c r="G137" s="2"/>
    </row>
    <row r="138" spans="1:7" x14ac:dyDescent="0.3">
      <c r="A138" s="16" t="s">
        <v>1749</v>
      </c>
      <c r="B138" s="18" t="s">
        <v>132</v>
      </c>
      <c r="C138" s="30"/>
      <c r="D138" s="137">
        <f>$D$137/$D$10</f>
        <v>103.51990582695703</v>
      </c>
      <c r="E138" s="22" t="s">
        <v>232</v>
      </c>
      <c r="G138" s="2"/>
    </row>
    <row r="139" spans="1:7" x14ac:dyDescent="0.3">
      <c r="A139" s="460" t="s">
        <v>551</v>
      </c>
      <c r="B139" s="18" t="s">
        <v>540</v>
      </c>
      <c r="C139" s="30" t="s">
        <v>552</v>
      </c>
      <c r="D139" s="137">
        <f>(($D$137*1000)/3600)/$D$125</f>
        <v>0.10899657750746627</v>
      </c>
      <c r="E139" s="22" t="s">
        <v>232</v>
      </c>
    </row>
    <row r="140" spans="1:7" x14ac:dyDescent="0.3">
      <c r="A140" s="1125" t="s">
        <v>291</v>
      </c>
      <c r="B140" s="1126"/>
      <c r="C140" s="1126"/>
      <c r="D140" s="1126"/>
      <c r="E140" s="1127"/>
    </row>
    <row r="141" spans="1:7" x14ac:dyDescent="0.3">
      <c r="A141" s="449" t="s">
        <v>716</v>
      </c>
      <c r="B141" s="450" t="s">
        <v>132</v>
      </c>
      <c r="C141" s="451" t="s">
        <v>665</v>
      </c>
      <c r="D141" s="452">
        <f>$D$138*'1. USER INPUTS'!$E$23</f>
        <v>0.44475595377760807</v>
      </c>
      <c r="E141" s="453" t="s">
        <v>232</v>
      </c>
    </row>
    <row r="142" spans="1:7" x14ac:dyDescent="0.3">
      <c r="A142" s="1128" t="s">
        <v>292</v>
      </c>
      <c r="B142" s="1129"/>
      <c r="C142" s="1129"/>
      <c r="D142" s="1129"/>
      <c r="E142" s="1130"/>
    </row>
    <row r="143" spans="1:7" x14ac:dyDescent="0.3">
      <c r="A143" s="16" t="s">
        <v>322</v>
      </c>
      <c r="B143" s="18" t="s">
        <v>293</v>
      </c>
      <c r="C143" s="18"/>
      <c r="D143" s="27">
        <v>1</v>
      </c>
      <c r="E143" s="22"/>
    </row>
    <row r="144" spans="1:7" ht="15" thickBot="1" x14ac:dyDescent="0.35">
      <c r="A144" s="301"/>
      <c r="B144" s="224"/>
      <c r="C144" s="224"/>
      <c r="D144" s="224"/>
      <c r="E144" s="480" t="s">
        <v>232</v>
      </c>
    </row>
    <row r="145" spans="1:5" x14ac:dyDescent="0.3">
      <c r="A145" s="1150"/>
      <c r="B145" s="1151"/>
      <c r="C145" s="1151"/>
      <c r="D145" s="1151"/>
      <c r="E145" s="1152"/>
    </row>
    <row r="146" spans="1:5" ht="15" thickBot="1" x14ac:dyDescent="0.35">
      <c r="A146" s="1143"/>
      <c r="B146" s="1144"/>
      <c r="C146" s="1144"/>
      <c r="D146" s="1144"/>
      <c r="E146" s="1145"/>
    </row>
    <row r="147" spans="1:5" ht="30" customHeight="1" thickBot="1" x14ac:dyDescent="0.35">
      <c r="A147" s="638" t="s">
        <v>1007</v>
      </c>
      <c r="B147" s="35" t="s">
        <v>142</v>
      </c>
      <c r="C147" s="21" t="s">
        <v>256</v>
      </c>
      <c r="D147" s="26" t="s">
        <v>236</v>
      </c>
      <c r="E147" s="23" t="s">
        <v>212</v>
      </c>
    </row>
    <row r="148" spans="1:5" x14ac:dyDescent="0.3">
      <c r="A148" s="1134" t="s">
        <v>536</v>
      </c>
      <c r="B148" s="19" t="s">
        <v>225</v>
      </c>
      <c r="C148" s="135" t="s">
        <v>623</v>
      </c>
      <c r="D148" s="163"/>
      <c r="E148" s="105"/>
    </row>
    <row r="149" spans="1:5" x14ac:dyDescent="0.3">
      <c r="A149" s="1135"/>
      <c r="B149" s="103" t="s">
        <v>225</v>
      </c>
      <c r="C149" s="152" t="s">
        <v>2033</v>
      </c>
      <c r="D149" s="164"/>
      <c r="E149" s="165"/>
    </row>
    <row r="150" spans="1:5" x14ac:dyDescent="0.3">
      <c r="A150" s="45" t="s">
        <v>624</v>
      </c>
      <c r="B150" s="44" t="s">
        <v>270</v>
      </c>
      <c r="C150" s="44"/>
      <c r="D150" s="159">
        <v>10</v>
      </c>
      <c r="E150" s="167" t="s">
        <v>748</v>
      </c>
    </row>
    <row r="151" spans="1:5" x14ac:dyDescent="0.3">
      <c r="A151" s="45" t="s">
        <v>740</v>
      </c>
      <c r="B151" s="44" t="s">
        <v>270</v>
      </c>
      <c r="C151" s="44"/>
      <c r="D151" s="166">
        <v>15.3</v>
      </c>
      <c r="E151" s="167"/>
    </row>
    <row r="152" spans="1:5" x14ac:dyDescent="0.3">
      <c r="A152" s="45" t="s">
        <v>741</v>
      </c>
      <c r="B152" s="44" t="s">
        <v>628</v>
      </c>
      <c r="C152" s="44"/>
      <c r="D152" s="166">
        <v>7.4</v>
      </c>
      <c r="E152" s="167"/>
    </row>
    <row r="153" spans="1:5" x14ac:dyDescent="0.3">
      <c r="A153" s="45" t="s">
        <v>965</v>
      </c>
      <c r="B153" s="44" t="s">
        <v>214</v>
      </c>
      <c r="C153" s="44"/>
      <c r="D153" s="153">
        <v>0.05</v>
      </c>
      <c r="E153" s="466"/>
    </row>
    <row r="154" spans="1:5" x14ac:dyDescent="0.3">
      <c r="A154" s="45" t="s">
        <v>644</v>
      </c>
      <c r="B154" s="44" t="s">
        <v>613</v>
      </c>
      <c r="C154" s="44" t="s">
        <v>753</v>
      </c>
      <c r="D154" s="150">
        <f>$D$131*$D$153</f>
        <v>3652000</v>
      </c>
      <c r="E154" s="167" t="s">
        <v>711</v>
      </c>
    </row>
    <row r="155" spans="1:5" x14ac:dyDescent="0.3">
      <c r="A155" s="45" t="s">
        <v>629</v>
      </c>
      <c r="B155" s="44" t="s">
        <v>626</v>
      </c>
      <c r="C155" s="44"/>
      <c r="D155" s="159">
        <v>1234</v>
      </c>
      <c r="E155" s="167" t="s">
        <v>711</v>
      </c>
    </row>
    <row r="156" spans="1:5" x14ac:dyDescent="0.3">
      <c r="A156" s="45" t="s">
        <v>630</v>
      </c>
      <c r="B156" s="44" t="s">
        <v>214</v>
      </c>
      <c r="C156" s="44"/>
      <c r="D156" s="168">
        <v>0.6</v>
      </c>
      <c r="E156" s="167" t="s">
        <v>711</v>
      </c>
    </row>
    <row r="157" spans="1:5" x14ac:dyDescent="0.3">
      <c r="A157" s="45" t="s">
        <v>651</v>
      </c>
      <c r="B157" s="18" t="s">
        <v>534</v>
      </c>
      <c r="C157" s="44"/>
      <c r="D157" s="457">
        <f>(D155*1)/(1000*3600*D156)</f>
        <v>5.7129629629629631E-4</v>
      </c>
      <c r="E157" s="167" t="s">
        <v>711</v>
      </c>
    </row>
    <row r="158" spans="1:5" x14ac:dyDescent="0.3">
      <c r="A158" s="45" t="s">
        <v>634</v>
      </c>
      <c r="B158" s="44" t="s">
        <v>534</v>
      </c>
      <c r="C158" s="44"/>
      <c r="D158" s="169">
        <v>1.3599999999999999E-2</v>
      </c>
      <c r="E158" s="167" t="s">
        <v>711</v>
      </c>
    </row>
    <row r="159" spans="1:5" x14ac:dyDescent="0.3">
      <c r="A159" s="45" t="s">
        <v>637</v>
      </c>
      <c r="B159" s="44" t="s">
        <v>638</v>
      </c>
      <c r="C159" s="44" t="s">
        <v>663</v>
      </c>
      <c r="D159" s="169">
        <v>0.25700000000000001</v>
      </c>
      <c r="E159" s="167" t="s">
        <v>711</v>
      </c>
    </row>
    <row r="160" spans="1:5" x14ac:dyDescent="0.3">
      <c r="A160" s="45" t="s">
        <v>639</v>
      </c>
      <c r="B160" s="44" t="s">
        <v>214</v>
      </c>
      <c r="C160" s="44"/>
      <c r="D160" s="144">
        <v>100</v>
      </c>
      <c r="E160" s="167" t="s">
        <v>711</v>
      </c>
    </row>
    <row r="161" spans="1:5" x14ac:dyDescent="0.3">
      <c r="A161" s="45" t="s">
        <v>650</v>
      </c>
      <c r="B161" s="44" t="s">
        <v>534</v>
      </c>
      <c r="C161" s="44"/>
      <c r="D161" s="457">
        <f>D158*D159</f>
        <v>3.4952E-3</v>
      </c>
      <c r="E161" s="167" t="s">
        <v>711</v>
      </c>
    </row>
    <row r="162" spans="1:5" x14ac:dyDescent="0.3">
      <c r="A162" s="45" t="s">
        <v>635</v>
      </c>
      <c r="B162" s="44" t="s">
        <v>534</v>
      </c>
      <c r="C162" s="44"/>
      <c r="D162" s="169">
        <v>3.2000000000000002E-3</v>
      </c>
      <c r="E162" s="167" t="s">
        <v>711</v>
      </c>
    </row>
    <row r="163" spans="1:5" x14ac:dyDescent="0.3">
      <c r="A163" s="45" t="s">
        <v>640</v>
      </c>
      <c r="B163" s="44" t="s">
        <v>638</v>
      </c>
      <c r="C163" s="44" t="s">
        <v>662</v>
      </c>
      <c r="D163" s="169">
        <v>2.18E-2</v>
      </c>
      <c r="E163" s="167" t="s">
        <v>711</v>
      </c>
    </row>
    <row r="164" spans="1:5" x14ac:dyDescent="0.3">
      <c r="A164" s="45" t="s">
        <v>641</v>
      </c>
      <c r="B164" s="44" t="s">
        <v>214</v>
      </c>
      <c r="C164" s="44"/>
      <c r="D164" s="144">
        <v>100</v>
      </c>
      <c r="E164" s="167" t="s">
        <v>711</v>
      </c>
    </row>
    <row r="165" spans="1:5" x14ac:dyDescent="0.3">
      <c r="A165" s="45" t="s">
        <v>649</v>
      </c>
      <c r="B165" s="44" t="s">
        <v>534</v>
      </c>
      <c r="C165" s="44"/>
      <c r="D165" s="457">
        <f>D162*D163</f>
        <v>6.976000000000001E-5</v>
      </c>
      <c r="E165" s="167" t="s">
        <v>711</v>
      </c>
    </row>
    <row r="166" spans="1:5" x14ac:dyDescent="0.3">
      <c r="A166" s="45" t="s">
        <v>636</v>
      </c>
      <c r="B166" s="44" t="s">
        <v>534</v>
      </c>
      <c r="C166" s="44"/>
      <c r="D166" s="169">
        <v>2.2000000000000001E-3</v>
      </c>
      <c r="E166" s="167" t="s">
        <v>711</v>
      </c>
    </row>
    <row r="167" spans="1:5" x14ac:dyDescent="0.3">
      <c r="A167" s="45" t="s">
        <v>642</v>
      </c>
      <c r="B167" s="44" t="s">
        <v>638</v>
      </c>
      <c r="C167" s="44" t="s">
        <v>662</v>
      </c>
      <c r="D167" s="169">
        <v>2.87E-2</v>
      </c>
      <c r="E167" s="167" t="s">
        <v>711</v>
      </c>
    </row>
    <row r="168" spans="1:5" x14ac:dyDescent="0.3">
      <c r="A168" s="45" t="s">
        <v>643</v>
      </c>
      <c r="B168" s="44" t="s">
        <v>214</v>
      </c>
      <c r="C168" s="44"/>
      <c r="D168" s="159">
        <v>30</v>
      </c>
      <c r="E168" s="167" t="s">
        <v>711</v>
      </c>
    </row>
    <row r="169" spans="1:5" x14ac:dyDescent="0.3">
      <c r="A169" s="45" t="s">
        <v>648</v>
      </c>
      <c r="B169" s="44" t="s">
        <v>534</v>
      </c>
      <c r="C169" s="458"/>
      <c r="D169" s="457">
        <f>D166*D167*0.3</f>
        <v>1.8942000000000003E-5</v>
      </c>
      <c r="E169" s="167" t="s">
        <v>711</v>
      </c>
    </row>
    <row r="170" spans="1:5" x14ac:dyDescent="0.3">
      <c r="A170" s="45" t="s">
        <v>1755</v>
      </c>
      <c r="B170" s="44" t="s">
        <v>534</v>
      </c>
      <c r="C170" s="44"/>
      <c r="D170" s="169">
        <f>SUM($D$157,$D$161,$D$165,$D$169)</f>
        <v>4.1551982962962962E-3</v>
      </c>
      <c r="E170" s="456" t="s">
        <v>232</v>
      </c>
    </row>
    <row r="171" spans="1:5" x14ac:dyDescent="0.3">
      <c r="A171" s="16" t="s">
        <v>1744</v>
      </c>
      <c r="B171" s="18" t="s">
        <v>132</v>
      </c>
      <c r="C171" s="459"/>
      <c r="D171" s="137">
        <f>$D$170*$D$154</f>
        <v>15174.784178074075</v>
      </c>
      <c r="E171" s="456" t="s">
        <v>232</v>
      </c>
    </row>
    <row r="172" spans="1:5" x14ac:dyDescent="0.3">
      <c r="A172" s="18" t="s">
        <v>1749</v>
      </c>
      <c r="B172" s="18" t="s">
        <v>132</v>
      </c>
      <c r="C172" s="44"/>
      <c r="D172" s="150">
        <f>D171/$D$10</f>
        <v>109.6226409024071</v>
      </c>
      <c r="E172" s="144" t="s">
        <v>232</v>
      </c>
    </row>
    <row r="173" spans="1:5" x14ac:dyDescent="0.3">
      <c r="A173" s="1125" t="s">
        <v>291</v>
      </c>
      <c r="B173" s="1126"/>
      <c r="C173" s="1126"/>
      <c r="D173" s="1126"/>
      <c r="E173" s="1127"/>
    </row>
    <row r="174" spans="1:5" x14ac:dyDescent="0.3">
      <c r="A174" s="449" t="s">
        <v>716</v>
      </c>
      <c r="B174" s="450" t="s">
        <v>132</v>
      </c>
      <c r="C174" s="451" t="s">
        <v>665</v>
      </c>
      <c r="D174" s="452">
        <f>$D$172*'1. USER INPUTS'!$E$23</f>
        <v>0.47097533388089891</v>
      </c>
      <c r="E174" s="461" t="s">
        <v>232</v>
      </c>
    </row>
    <row r="175" spans="1:5" x14ac:dyDescent="0.3">
      <c r="A175" s="1128" t="s">
        <v>292</v>
      </c>
      <c r="B175" s="1129"/>
      <c r="C175" s="1129"/>
      <c r="D175" s="1129"/>
      <c r="E175" s="1130"/>
    </row>
    <row r="176" spans="1:5" x14ac:dyDescent="0.3">
      <c r="A176" s="16" t="s">
        <v>322</v>
      </c>
      <c r="B176" s="18" t="s">
        <v>293</v>
      </c>
      <c r="C176" s="18"/>
      <c r="D176" s="27">
        <v>1</v>
      </c>
      <c r="E176" s="22"/>
    </row>
    <row r="177" spans="1:5" ht="15" thickBot="1" x14ac:dyDescent="0.35">
      <c r="A177" s="301"/>
      <c r="B177" s="224"/>
      <c r="C177" s="224"/>
      <c r="D177" s="224"/>
      <c r="E177" s="292"/>
    </row>
    <row r="178" spans="1:5" x14ac:dyDescent="0.3">
      <c r="A178" s="1150"/>
      <c r="B178" s="1151"/>
      <c r="C178" s="1151"/>
      <c r="D178" s="1151"/>
      <c r="E178" s="1152"/>
    </row>
    <row r="179" spans="1:5" ht="15" thickBot="1" x14ac:dyDescent="0.35">
      <c r="A179" s="1143"/>
      <c r="B179" s="1144"/>
      <c r="C179" s="1144"/>
      <c r="D179" s="1144"/>
      <c r="E179" s="1145"/>
    </row>
    <row r="180" spans="1:5" ht="30" customHeight="1" thickBot="1" x14ac:dyDescent="0.35">
      <c r="A180" s="651" t="s">
        <v>1008</v>
      </c>
      <c r="B180" s="145" t="s">
        <v>142</v>
      </c>
      <c r="C180" s="99" t="s">
        <v>256</v>
      </c>
      <c r="D180" s="100" t="s">
        <v>236</v>
      </c>
      <c r="E180" s="101" t="s">
        <v>212</v>
      </c>
    </row>
    <row r="181" spans="1:5" x14ac:dyDescent="0.3">
      <c r="A181" s="1169" t="s">
        <v>536</v>
      </c>
      <c r="B181" s="19" t="s">
        <v>225</v>
      </c>
      <c r="C181" s="135" t="s">
        <v>645</v>
      </c>
      <c r="D181" s="170"/>
      <c r="E181" s="105"/>
    </row>
    <row r="182" spans="1:5" x14ac:dyDescent="0.3">
      <c r="A182" s="1170"/>
      <c r="B182" s="18" t="s">
        <v>225</v>
      </c>
      <c r="C182" s="44" t="s">
        <v>786</v>
      </c>
      <c r="D182" s="475"/>
      <c r="E182" s="106"/>
    </row>
    <row r="183" spans="1:5" x14ac:dyDescent="0.3">
      <c r="A183" s="16" t="s">
        <v>1753</v>
      </c>
      <c r="B183" s="18" t="s">
        <v>534</v>
      </c>
      <c r="C183" s="462" t="s">
        <v>535</v>
      </c>
      <c r="D183" s="27">
        <v>3.7000000000000002E-3</v>
      </c>
      <c r="E183" s="22" t="s">
        <v>655</v>
      </c>
    </row>
    <row r="184" spans="1:5" x14ac:dyDescent="0.3">
      <c r="A184" s="16" t="s">
        <v>1761</v>
      </c>
      <c r="B184" s="18" t="s">
        <v>225</v>
      </c>
      <c r="C184" s="462"/>
      <c r="D184" s="27">
        <f>$D$16</f>
        <v>1430</v>
      </c>
      <c r="E184" s="22" t="s">
        <v>1743</v>
      </c>
    </row>
    <row r="185" spans="1:5" x14ac:dyDescent="0.3">
      <c r="A185" s="16" t="s">
        <v>646</v>
      </c>
      <c r="B185" s="18" t="s">
        <v>613</v>
      </c>
      <c r="C185" s="462" t="s">
        <v>1760</v>
      </c>
      <c r="D185" s="137">
        <f>$D$184*500</f>
        <v>715000</v>
      </c>
      <c r="E185" s="22" t="s">
        <v>711</v>
      </c>
    </row>
    <row r="186" spans="1:5" x14ac:dyDescent="0.3">
      <c r="A186" s="16" t="s">
        <v>1744</v>
      </c>
      <c r="B186" s="18" t="s">
        <v>132</v>
      </c>
      <c r="C186" s="44"/>
      <c r="D186" s="137">
        <f>D183*D185</f>
        <v>2645.5</v>
      </c>
      <c r="E186" s="167" t="s">
        <v>232</v>
      </c>
    </row>
    <row r="187" spans="1:5" x14ac:dyDescent="0.3">
      <c r="A187" s="16" t="s">
        <v>1749</v>
      </c>
      <c r="B187" s="18" t="s">
        <v>132</v>
      </c>
      <c r="C187" s="44"/>
      <c r="D187" s="150">
        <f>D186/D10</f>
        <v>19.111091999999999</v>
      </c>
      <c r="E187" s="167" t="s">
        <v>232</v>
      </c>
    </row>
    <row r="188" spans="1:5" x14ac:dyDescent="0.3">
      <c r="A188" s="1122" t="s">
        <v>291</v>
      </c>
      <c r="B188" s="1123"/>
      <c r="C188" s="1123"/>
      <c r="D188" s="1123"/>
      <c r="E188" s="1124"/>
    </row>
    <row r="189" spans="1:5" x14ac:dyDescent="0.3">
      <c r="A189" s="449" t="s">
        <v>716</v>
      </c>
      <c r="B189" s="450" t="s">
        <v>132</v>
      </c>
      <c r="C189" s="451" t="s">
        <v>665</v>
      </c>
      <c r="D189" s="452">
        <f>D187*'1. USER INPUTS'!E23</f>
        <v>8.2107608988746181E-2</v>
      </c>
      <c r="E189" s="461" t="s">
        <v>232</v>
      </c>
    </row>
    <row r="190" spans="1:5" x14ac:dyDescent="0.3">
      <c r="A190" s="1128" t="s">
        <v>292</v>
      </c>
      <c r="B190" s="1129"/>
      <c r="C190" s="1129"/>
      <c r="D190" s="1129"/>
      <c r="E190" s="1130"/>
    </row>
    <row r="191" spans="1:5" x14ac:dyDescent="0.3">
      <c r="A191" s="16" t="s">
        <v>322</v>
      </c>
      <c r="B191" s="18" t="s">
        <v>293</v>
      </c>
      <c r="C191" s="18"/>
      <c r="D191" s="27">
        <v>1</v>
      </c>
      <c r="E191" s="22"/>
    </row>
    <row r="192" spans="1:5" ht="15" thickBot="1" x14ac:dyDescent="0.35">
      <c r="A192" s="301"/>
      <c r="B192" s="224"/>
      <c r="C192" s="224"/>
      <c r="D192" s="224"/>
      <c r="E192" s="292"/>
    </row>
    <row r="193" spans="1:5" x14ac:dyDescent="0.3">
      <c r="A193" s="1140"/>
      <c r="B193" s="1141"/>
      <c r="C193" s="1141"/>
      <c r="D193" s="1141"/>
      <c r="E193" s="1142"/>
    </row>
    <row r="194" spans="1:5" ht="15" thickBot="1" x14ac:dyDescent="0.35">
      <c r="A194" s="1143"/>
      <c r="B194" s="1144"/>
      <c r="C194" s="1144"/>
      <c r="D194" s="1144"/>
      <c r="E194" s="1145"/>
    </row>
    <row r="195" spans="1:5" ht="30" customHeight="1" thickBot="1" x14ac:dyDescent="0.35">
      <c r="A195" s="638" t="s">
        <v>1009</v>
      </c>
      <c r="B195" s="471" t="s">
        <v>142</v>
      </c>
      <c r="C195" s="472" t="s">
        <v>256</v>
      </c>
      <c r="D195" s="473" t="s">
        <v>236</v>
      </c>
      <c r="E195" s="474" t="s">
        <v>212</v>
      </c>
    </row>
    <row r="196" spans="1:5" x14ac:dyDescent="0.3">
      <c r="A196" s="1134" t="s">
        <v>536</v>
      </c>
      <c r="B196" s="19" t="s">
        <v>225</v>
      </c>
      <c r="C196" s="735" t="s">
        <v>2280</v>
      </c>
      <c r="D196" s="136" t="s">
        <v>210</v>
      </c>
      <c r="E196" s="80"/>
    </row>
    <row r="197" spans="1:5" x14ac:dyDescent="0.3">
      <c r="A197" s="1135"/>
      <c r="B197" s="18" t="s">
        <v>225</v>
      </c>
      <c r="C197" s="140" t="s">
        <v>2260</v>
      </c>
      <c r="D197" s="141" t="s">
        <v>210</v>
      </c>
      <c r="E197" s="541"/>
    </row>
    <row r="198" spans="1:5" x14ac:dyDescent="0.3">
      <c r="A198" s="16" t="s">
        <v>2256</v>
      </c>
      <c r="B198" s="18" t="s">
        <v>613</v>
      </c>
      <c r="C198" s="44"/>
      <c r="D198" s="150">
        <f>((SUM($D$203:$D$228)/1.25)/'1. USER INPUTS'!$E$23)*$D$10</f>
        <v>2422.0676298155763</v>
      </c>
      <c r="E198" s="167" t="s">
        <v>232</v>
      </c>
    </row>
    <row r="199" spans="1:5" x14ac:dyDescent="0.3">
      <c r="A199" s="16" t="s">
        <v>2257</v>
      </c>
      <c r="B199" s="18" t="s">
        <v>131</v>
      </c>
      <c r="C199" s="44"/>
      <c r="D199" s="144">
        <v>10</v>
      </c>
      <c r="E199" s="167" t="s">
        <v>1962</v>
      </c>
    </row>
    <row r="200" spans="1:5" x14ac:dyDescent="0.3">
      <c r="A200" s="46" t="s">
        <v>2258</v>
      </c>
      <c r="B200" s="18" t="s">
        <v>534</v>
      </c>
      <c r="C200" s="44"/>
      <c r="D200" s="169">
        <f>$D$199/$D$198</f>
        <v>4.1287038713949667E-3</v>
      </c>
      <c r="E200" s="167" t="s">
        <v>232</v>
      </c>
    </row>
    <row r="201" spans="1:5" x14ac:dyDescent="0.3">
      <c r="A201" s="18" t="s">
        <v>2321</v>
      </c>
      <c r="B201" s="18" t="s">
        <v>214</v>
      </c>
      <c r="C201" s="44"/>
      <c r="D201" s="153">
        <v>0.95</v>
      </c>
      <c r="E201" s="144" t="s">
        <v>855</v>
      </c>
    </row>
    <row r="202" spans="1:5" x14ac:dyDescent="0.3">
      <c r="A202" s="1125" t="s">
        <v>291</v>
      </c>
      <c r="B202" s="1126"/>
      <c r="C202" s="1126"/>
      <c r="D202" s="1126"/>
      <c r="E202" s="1127"/>
    </row>
    <row r="203" spans="1:5" x14ac:dyDescent="0.3">
      <c r="A203" s="449" t="s">
        <v>816</v>
      </c>
      <c r="B203" s="15" t="s">
        <v>128</v>
      </c>
      <c r="C203" s="15" t="s">
        <v>2277</v>
      </c>
      <c r="D203" s="728">
        <f>'12. WET ETCH'!$D$26</f>
        <v>7.6045088323618945E-4</v>
      </c>
      <c r="E203" s="549" t="s">
        <v>347</v>
      </c>
    </row>
    <row r="204" spans="1:5" x14ac:dyDescent="0.3">
      <c r="A204" s="449" t="s">
        <v>816</v>
      </c>
      <c r="B204" s="15" t="s">
        <v>128</v>
      </c>
      <c r="C204" s="15" t="s">
        <v>2278</v>
      </c>
      <c r="D204" s="728">
        <f>'13. WET CLEAN'!$D$24</f>
        <v>1.9011272080904736E-4</v>
      </c>
      <c r="E204" s="549" t="s">
        <v>2276</v>
      </c>
    </row>
    <row r="205" spans="1:5" x14ac:dyDescent="0.3">
      <c r="A205" s="449" t="s">
        <v>816</v>
      </c>
      <c r="B205" s="15" t="s">
        <v>128</v>
      </c>
      <c r="C205" s="15" t="s">
        <v>2279</v>
      </c>
      <c r="D205" s="728">
        <f>'14. PHOTOLITHO.'!$D$18</f>
        <v>8.3649597155980825E-3</v>
      </c>
      <c r="E205" s="549" t="s">
        <v>267</v>
      </c>
    </row>
    <row r="206" spans="1:5" x14ac:dyDescent="0.3">
      <c r="A206" s="449" t="s">
        <v>2252</v>
      </c>
      <c r="B206" s="15" t="s">
        <v>128</v>
      </c>
      <c r="C206" s="450" t="s">
        <v>2259</v>
      </c>
      <c r="D206" s="107">
        <f>'15. DRY ETCH'!$D$14</f>
        <v>2.4188889994238168E-4</v>
      </c>
      <c r="E206" s="549" t="s">
        <v>348</v>
      </c>
    </row>
    <row r="207" spans="1:5" x14ac:dyDescent="0.3">
      <c r="A207" s="285" t="s">
        <v>1429</v>
      </c>
      <c r="B207" s="15" t="s">
        <v>128</v>
      </c>
      <c r="C207" s="450" t="s">
        <v>2259</v>
      </c>
      <c r="D207" s="107">
        <f>'15. DRY ETCH'!$D$15</f>
        <v>2.0947328473632014E-4</v>
      </c>
      <c r="E207" s="549" t="s">
        <v>348</v>
      </c>
    </row>
    <row r="208" spans="1:5" x14ac:dyDescent="0.3">
      <c r="A208" s="287" t="s">
        <v>2228</v>
      </c>
      <c r="B208" s="15" t="s">
        <v>128</v>
      </c>
      <c r="C208" s="450" t="s">
        <v>2259</v>
      </c>
      <c r="D208" s="107">
        <f>'15. DRY ETCH'!$D$16</f>
        <v>4.3511490666739774E-3</v>
      </c>
      <c r="E208" s="549" t="s">
        <v>348</v>
      </c>
    </row>
    <row r="209" spans="1:5" x14ac:dyDescent="0.3">
      <c r="A209" s="293" t="s">
        <v>816</v>
      </c>
      <c r="B209" s="15" t="s">
        <v>128</v>
      </c>
      <c r="C209" s="450" t="s">
        <v>2259</v>
      </c>
      <c r="D209" s="107">
        <f>'15. DRY ETCH'!$D$17</f>
        <v>3.7604510992663256E-4</v>
      </c>
      <c r="E209" s="549" t="s">
        <v>348</v>
      </c>
    </row>
    <row r="210" spans="1:5" x14ac:dyDescent="0.3">
      <c r="A210" s="316" t="s">
        <v>864</v>
      </c>
      <c r="B210" s="15" t="s">
        <v>128</v>
      </c>
      <c r="C210" s="15" t="s">
        <v>2259</v>
      </c>
      <c r="D210" s="107">
        <f>'15. DRY ETCH'!$D$18</f>
        <v>2.6841338378633296E-4</v>
      </c>
      <c r="E210" s="549" t="s">
        <v>348</v>
      </c>
    </row>
    <row r="211" spans="1:5" x14ac:dyDescent="0.3">
      <c r="A211" s="449" t="s">
        <v>816</v>
      </c>
      <c r="B211" s="15" t="s">
        <v>128</v>
      </c>
      <c r="C211" s="15" t="s">
        <v>2261</v>
      </c>
      <c r="D211" s="728">
        <f>'16. THERMAL PROC.'!$D$12</f>
        <v>2.0121158021597856E-2</v>
      </c>
      <c r="E211" s="549" t="s">
        <v>1256</v>
      </c>
    </row>
    <row r="212" spans="1:5" x14ac:dyDescent="0.3">
      <c r="A212" s="15" t="s">
        <v>1947</v>
      </c>
      <c r="B212" s="15" t="s">
        <v>128</v>
      </c>
      <c r="C212" s="15" t="s">
        <v>2261</v>
      </c>
      <c r="D212" s="728">
        <f>'16. THERMAL PROC.'!$D$13</f>
        <v>1.3576610819625769E-2</v>
      </c>
      <c r="E212" s="549" t="s">
        <v>1256</v>
      </c>
    </row>
    <row r="213" spans="1:5" x14ac:dyDescent="0.3">
      <c r="A213" s="792" t="s">
        <v>2247</v>
      </c>
      <c r="B213" s="15" t="s">
        <v>128</v>
      </c>
      <c r="C213" s="15" t="s">
        <v>2262</v>
      </c>
      <c r="D213" s="728">
        <f>'19. PVD'!$D$15</f>
        <v>6.2638457393315815E-5</v>
      </c>
      <c r="E213" s="549" t="s">
        <v>1500</v>
      </c>
    </row>
    <row r="214" spans="1:5" x14ac:dyDescent="0.3">
      <c r="A214" s="293" t="s">
        <v>463</v>
      </c>
      <c r="B214" s="15" t="s">
        <v>128</v>
      </c>
      <c r="C214" s="15" t="s">
        <v>2263</v>
      </c>
      <c r="D214" s="728">
        <f>'18. CVD'!$D$18</f>
        <v>1.1132731672673425E-5</v>
      </c>
      <c r="E214" s="549" t="s">
        <v>1501</v>
      </c>
    </row>
    <row r="215" spans="1:5" x14ac:dyDescent="0.3">
      <c r="A215" s="293" t="s">
        <v>2246</v>
      </c>
      <c r="B215" s="15" t="s">
        <v>128</v>
      </c>
      <c r="C215" s="15" t="s">
        <v>2263</v>
      </c>
      <c r="D215" s="728">
        <f>'18. CVD'!$D$19</f>
        <v>4.2188711364710637E-5</v>
      </c>
      <c r="E215" s="549" t="s">
        <v>1501</v>
      </c>
    </row>
    <row r="216" spans="1:5" x14ac:dyDescent="0.3">
      <c r="A216" s="449" t="s">
        <v>816</v>
      </c>
      <c r="B216" s="15" t="s">
        <v>128</v>
      </c>
      <c r="C216" s="15" t="s">
        <v>2263</v>
      </c>
      <c r="D216" s="728">
        <f>'18. CVD'!$D$20</f>
        <v>3.2652128319745992E-6</v>
      </c>
      <c r="E216" s="549" t="s">
        <v>1501</v>
      </c>
    </row>
    <row r="217" spans="1:5" x14ac:dyDescent="0.3">
      <c r="A217" s="449" t="s">
        <v>1949</v>
      </c>
      <c r="B217" s="15" t="s">
        <v>128</v>
      </c>
      <c r="C217" s="15" t="s">
        <v>2263</v>
      </c>
      <c r="D217" s="728">
        <f>'18. CVD'!$D$21</f>
        <v>2.6689423071556091E-6</v>
      </c>
      <c r="E217" s="549" t="s">
        <v>1501</v>
      </c>
    </row>
    <row r="218" spans="1:5" x14ac:dyDescent="0.3">
      <c r="A218" s="449" t="s">
        <v>1947</v>
      </c>
      <c r="B218" s="15" t="s">
        <v>128</v>
      </c>
      <c r="C218" s="15" t="s">
        <v>2263</v>
      </c>
      <c r="D218" s="728">
        <f>'18. CVD'!$D$22</f>
        <v>5.7731433776646591E-7</v>
      </c>
      <c r="E218" s="549" t="s">
        <v>1501</v>
      </c>
    </row>
    <row r="219" spans="1:5" x14ac:dyDescent="0.3">
      <c r="A219" s="449" t="s">
        <v>2267</v>
      </c>
      <c r="B219" s="15" t="s">
        <v>128</v>
      </c>
      <c r="C219" s="15" t="s">
        <v>2263</v>
      </c>
      <c r="D219" s="728">
        <f>'18. CVD'!$D$23</f>
        <v>5.6324921351561825E-6</v>
      </c>
      <c r="E219" s="549" t="s">
        <v>1501</v>
      </c>
    </row>
    <row r="220" spans="1:5" x14ac:dyDescent="0.3">
      <c r="A220" s="449" t="s">
        <v>2228</v>
      </c>
      <c r="B220" s="15" t="s">
        <v>128</v>
      </c>
      <c r="C220" s="15" t="s">
        <v>2263</v>
      </c>
      <c r="D220" s="728">
        <f>'18. CVD'!$D$24</f>
        <v>5.0679216396380809E-5</v>
      </c>
      <c r="E220" s="549" t="s">
        <v>1501</v>
      </c>
    </row>
    <row r="221" spans="1:5" x14ac:dyDescent="0.3">
      <c r="A221" s="449" t="s">
        <v>2247</v>
      </c>
      <c r="B221" s="15" t="s">
        <v>128</v>
      </c>
      <c r="C221" s="15" t="s">
        <v>2263</v>
      </c>
      <c r="D221" s="728">
        <f>'18. CVD'!$D$25</f>
        <v>2.4526903967337611E-6</v>
      </c>
      <c r="E221" s="549" t="s">
        <v>1501</v>
      </c>
    </row>
    <row r="222" spans="1:5" x14ac:dyDescent="0.3">
      <c r="A222" s="287" t="s">
        <v>1429</v>
      </c>
      <c r="B222" s="15" t="s">
        <v>128</v>
      </c>
      <c r="C222" s="15" t="s">
        <v>2263</v>
      </c>
      <c r="D222" s="728">
        <f>'18. CVD'!$D$26</f>
        <v>7.7411322113839975E-9</v>
      </c>
      <c r="E222" s="549" t="s">
        <v>1501</v>
      </c>
    </row>
    <row r="223" spans="1:5" x14ac:dyDescent="0.3">
      <c r="A223" s="729" t="s">
        <v>2248</v>
      </c>
      <c r="B223" s="15" t="s">
        <v>128</v>
      </c>
      <c r="C223" s="15" t="s">
        <v>2263</v>
      </c>
      <c r="D223" s="728">
        <f>'18. CVD'!$D$27</f>
        <v>2.8640791280512547E-8</v>
      </c>
      <c r="E223" s="549" t="s">
        <v>1501</v>
      </c>
    </row>
    <row r="224" spans="1:5" x14ac:dyDescent="0.3">
      <c r="A224" s="15" t="s">
        <v>1948</v>
      </c>
      <c r="B224" s="15" t="s">
        <v>128</v>
      </c>
      <c r="C224" s="15" t="s">
        <v>2263</v>
      </c>
      <c r="D224" s="728">
        <f>'18. CVD'!$D$28</f>
        <v>7.9017177491108917E-10</v>
      </c>
      <c r="E224" s="549" t="s">
        <v>1501</v>
      </c>
    </row>
    <row r="225" spans="1:5" x14ac:dyDescent="0.3">
      <c r="A225" s="287" t="s">
        <v>401</v>
      </c>
      <c r="B225" s="15" t="s">
        <v>128</v>
      </c>
      <c r="C225" s="15" t="s">
        <v>2264</v>
      </c>
      <c r="D225" s="728">
        <f>'17. IMPLANT'!$D$12</f>
        <v>1.7786817268914276E-5</v>
      </c>
      <c r="E225" s="549" t="s">
        <v>349</v>
      </c>
    </row>
    <row r="226" spans="1:5" x14ac:dyDescent="0.3">
      <c r="A226" s="287" t="s">
        <v>872</v>
      </c>
      <c r="B226" s="15" t="s">
        <v>128</v>
      </c>
      <c r="C226" s="15" t="s">
        <v>2264</v>
      </c>
      <c r="D226" s="728">
        <f>'17. IMPLANT'!$D$13</f>
        <v>6.2253860441199968E-5</v>
      </c>
      <c r="E226" s="549" t="s">
        <v>349</v>
      </c>
    </row>
    <row r="227" spans="1:5" x14ac:dyDescent="0.3">
      <c r="A227" s="287" t="s">
        <v>816</v>
      </c>
      <c r="B227" s="15" t="s">
        <v>128</v>
      </c>
      <c r="C227" s="15" t="s">
        <v>2264</v>
      </c>
      <c r="D227" s="728">
        <f>'17. IMPLANT'!$D$14</f>
        <v>4.2963326736507879E-2</v>
      </c>
      <c r="E227" s="549" t="s">
        <v>349</v>
      </c>
    </row>
    <row r="228" spans="1:5" x14ac:dyDescent="0.3">
      <c r="A228" s="287" t="s">
        <v>816</v>
      </c>
      <c r="B228" s="15" t="s">
        <v>128</v>
      </c>
      <c r="C228" s="15" t="s">
        <v>2284</v>
      </c>
      <c r="D228" s="728">
        <f>'20. CMP'!$D$11</f>
        <v>2.2813526497085681E-3</v>
      </c>
      <c r="E228" s="549" t="s">
        <v>177</v>
      </c>
    </row>
    <row r="229" spans="1:5" x14ac:dyDescent="0.3">
      <c r="A229" s="293" t="s">
        <v>713</v>
      </c>
      <c r="B229" s="15" t="s">
        <v>128</v>
      </c>
      <c r="C229" s="789" t="s">
        <v>2355</v>
      </c>
      <c r="D229" s="728">
        <f>3*($D$203/'25. CHEM. &amp; MAT.'!$F$14)</f>
        <v>1.8250821197668549E-3</v>
      </c>
      <c r="E229" s="549" t="s">
        <v>232</v>
      </c>
    </row>
    <row r="230" spans="1:5" x14ac:dyDescent="0.3">
      <c r="A230" s="293" t="s">
        <v>713</v>
      </c>
      <c r="B230" s="15" t="s">
        <v>128</v>
      </c>
      <c r="C230" s="789" t="s">
        <v>2356</v>
      </c>
      <c r="D230" s="728">
        <f>3*($D$204/'25. CHEM. &amp; MAT.'!$F$14)</f>
        <v>4.5627052994171372E-4</v>
      </c>
      <c r="E230" s="549" t="s">
        <v>232</v>
      </c>
    </row>
    <row r="231" spans="1:5" x14ac:dyDescent="0.3">
      <c r="A231" s="293" t="s">
        <v>713</v>
      </c>
      <c r="B231" s="15" t="s">
        <v>128</v>
      </c>
      <c r="C231" s="789" t="s">
        <v>2357</v>
      </c>
      <c r="D231" s="728">
        <f>3*($D$205/'25. CHEM. &amp; MAT.'!$F$14)</f>
        <v>2.0075903317435397E-2</v>
      </c>
      <c r="E231" s="549" t="s">
        <v>232</v>
      </c>
    </row>
    <row r="232" spans="1:5" x14ac:dyDescent="0.3">
      <c r="A232" s="293" t="s">
        <v>713</v>
      </c>
      <c r="B232" s="15" t="s">
        <v>128</v>
      </c>
      <c r="C232" s="789" t="s">
        <v>2358</v>
      </c>
      <c r="D232" s="728">
        <f>3*(SUM($D$206/'25. CHEM. &amp; MAT.'!$F$44,$D$207/'25. CHEM. &amp; MAT.'!$F$42,$D$208/'25. CHEM. &amp; MAT.'!$F$13,$D$209/'25. CHEM. &amp; MAT.'!$F$14,$D$210/'25. CHEM. &amp; MAT.'!$F$16))</f>
        <v>1.4879255233569082E-2</v>
      </c>
      <c r="E232" s="549" t="s">
        <v>232</v>
      </c>
    </row>
    <row r="233" spans="1:5" x14ac:dyDescent="0.3">
      <c r="A233" s="293" t="s">
        <v>713</v>
      </c>
      <c r="B233" s="15" t="s">
        <v>128</v>
      </c>
      <c r="C233" s="789" t="s">
        <v>2359</v>
      </c>
      <c r="D233" s="728">
        <f>3*SUM($D$211/'25. CHEM. &amp; MAT.'!$F$14,$D$212/'25. CHEM. &amp; MAT.'!$F$12)</f>
        <v>0.50084447323936043</v>
      </c>
      <c r="E233" s="549" t="s">
        <v>232</v>
      </c>
    </row>
    <row r="234" spans="1:5" x14ac:dyDescent="0.3">
      <c r="A234" s="293" t="s">
        <v>713</v>
      </c>
      <c r="B234" s="15" t="s">
        <v>128</v>
      </c>
      <c r="C234" s="789" t="s">
        <v>2360</v>
      </c>
      <c r="D234" s="728">
        <f>3*$D$213/'25. CHEM. &amp; MAT.'!$F$15</f>
        <v>1.0533372880041896E-4</v>
      </c>
      <c r="E234" s="549" t="s">
        <v>232</v>
      </c>
    </row>
    <row r="235" spans="1:5" x14ac:dyDescent="0.3">
      <c r="A235" s="293" t="s">
        <v>713</v>
      </c>
      <c r="B235" s="15" t="s">
        <v>128</v>
      </c>
      <c r="C235" s="789" t="s">
        <v>2361</v>
      </c>
      <c r="D235" s="728">
        <f>3*SUM($D$214/'25. CHEM. &amp; MAT.'!$F$26,$D$215/'25. CHEM. &amp; MAT.'!$F$56,$D$216/'25. CHEM. &amp; MAT.'!$F$14,$D$217/'25. CHEM. &amp; MAT.'!$F$53,$D$218/'25. CHEM. &amp; MAT.'!$F$12,$D$219/'25. CHEM. &amp; MAT.'!$F$30,$D$220/'25. CHEM. &amp; MAT.'!$F$13,'24. WAFER FAB'!$D$221/'25. CHEM. &amp; MAT.'!$F$15,$D$222/'25. CHEM. &amp; MAT.'!$F$42,$D$223/'25. CHEM. &amp; MAT.'!$F$45,$D$224/'25. CHEM. &amp; MAT.'!$F$35)</f>
        <v>3.4302418957296647E-4</v>
      </c>
      <c r="E235" s="549" t="s">
        <v>232</v>
      </c>
    </row>
    <row r="236" spans="1:5" x14ac:dyDescent="0.3">
      <c r="A236" s="293" t="s">
        <v>713</v>
      </c>
      <c r="B236" s="15" t="s">
        <v>128</v>
      </c>
      <c r="C236" s="789" t="s">
        <v>2362</v>
      </c>
      <c r="D236" s="728">
        <f>3*SUM($D$225/'25. CHEM. &amp; MAT.'!$F$30,$D$226/'25. CHEM. &amp; MAT.'!$F$34,$D$227/'25. CHEM. &amp; MAT.'!$F$14)</f>
        <v>0.10321831840129177</v>
      </c>
      <c r="E236" s="549" t="s">
        <v>232</v>
      </c>
    </row>
    <row r="237" spans="1:5" x14ac:dyDescent="0.3">
      <c r="A237" s="293" t="s">
        <v>713</v>
      </c>
      <c r="B237" s="15" t="s">
        <v>128</v>
      </c>
      <c r="C237" s="789" t="s">
        <v>2363</v>
      </c>
      <c r="D237" s="728">
        <f>3*($D$228/'25. CHEM. &amp; MAT.'!$F$14)</f>
        <v>5.4752463593005628E-3</v>
      </c>
      <c r="E237" s="549" t="s">
        <v>232</v>
      </c>
    </row>
    <row r="238" spans="1:5" x14ac:dyDescent="0.3">
      <c r="A238" s="293" t="s">
        <v>716</v>
      </c>
      <c r="B238" s="15" t="s">
        <v>132</v>
      </c>
      <c r="C238" s="727"/>
      <c r="D238" s="728">
        <f>($D$200*$D$198)*'1. USER INPUTS'!$E$23</f>
        <v>4.2963326736507886E-2</v>
      </c>
      <c r="E238" s="549" t="s">
        <v>232</v>
      </c>
    </row>
    <row r="239" spans="1:5" x14ac:dyDescent="0.3">
      <c r="A239" s="1128" t="s">
        <v>292</v>
      </c>
      <c r="B239" s="1129"/>
      <c r="C239" s="1129"/>
      <c r="D239" s="1129"/>
      <c r="E239" s="1130"/>
    </row>
    <row r="240" spans="1:5" x14ac:dyDescent="0.3">
      <c r="A240" s="16" t="s">
        <v>322</v>
      </c>
      <c r="B240" s="18" t="s">
        <v>293</v>
      </c>
      <c r="C240" s="18"/>
      <c r="D240" s="27">
        <v>1</v>
      </c>
      <c r="E240" s="22"/>
    </row>
    <row r="241" spans="1:5" x14ac:dyDescent="0.3">
      <c r="A241" s="112" t="s">
        <v>1957</v>
      </c>
      <c r="B241" s="112" t="s">
        <v>521</v>
      </c>
      <c r="C241" s="112" t="s">
        <v>2364</v>
      </c>
      <c r="D241" s="115">
        <f>$D$229/1000</f>
        <v>1.8250821197668549E-6</v>
      </c>
      <c r="E241" s="571" t="s">
        <v>232</v>
      </c>
    </row>
    <row r="242" spans="1:5" x14ac:dyDescent="0.3">
      <c r="A242" s="112" t="s">
        <v>1957</v>
      </c>
      <c r="B242" s="112" t="s">
        <v>521</v>
      </c>
      <c r="C242" s="112" t="s">
        <v>2377</v>
      </c>
      <c r="D242" s="115">
        <f>$D$230/1000</f>
        <v>4.5627052994171372E-7</v>
      </c>
      <c r="E242" s="571" t="s">
        <v>232</v>
      </c>
    </row>
    <row r="243" spans="1:5" x14ac:dyDescent="0.3">
      <c r="A243" s="112" t="s">
        <v>1957</v>
      </c>
      <c r="B243" s="112" t="s">
        <v>521</v>
      </c>
      <c r="C243" s="112" t="s">
        <v>2376</v>
      </c>
      <c r="D243" s="115">
        <f>$D$24/1000</f>
        <v>4.3221109702767925E-5</v>
      </c>
      <c r="E243" s="571" t="s">
        <v>232</v>
      </c>
    </row>
    <row r="244" spans="1:5" x14ac:dyDescent="0.3">
      <c r="A244" s="112" t="s">
        <v>1957</v>
      </c>
      <c r="B244" s="112" t="s">
        <v>521</v>
      </c>
      <c r="C244" s="112" t="s">
        <v>2378</v>
      </c>
      <c r="D244" s="115">
        <f>$D$232/1000</f>
        <v>1.4879255233569081E-5</v>
      </c>
      <c r="E244" s="571" t="s">
        <v>232</v>
      </c>
    </row>
    <row r="245" spans="1:5" x14ac:dyDescent="0.3">
      <c r="A245" s="112" t="s">
        <v>1957</v>
      </c>
      <c r="B245" s="112" t="s">
        <v>521</v>
      </c>
      <c r="C245" s="112" t="s">
        <v>2379</v>
      </c>
      <c r="D245" s="115">
        <f>$D$233/1000</f>
        <v>5.0084447323936042E-4</v>
      </c>
      <c r="E245" s="571" t="s">
        <v>232</v>
      </c>
    </row>
    <row r="246" spans="1:5" x14ac:dyDescent="0.3">
      <c r="A246" s="112" t="s">
        <v>1957</v>
      </c>
      <c r="B246" s="112" t="s">
        <v>521</v>
      </c>
      <c r="C246" s="112" t="s">
        <v>2380</v>
      </c>
      <c r="D246" s="115">
        <f>$D$234/1000</f>
        <v>1.0533372880041895E-7</v>
      </c>
      <c r="E246" s="571" t="s">
        <v>232</v>
      </c>
    </row>
    <row r="247" spans="1:5" x14ac:dyDescent="0.3">
      <c r="A247" s="112" t="s">
        <v>1957</v>
      </c>
      <c r="B247" s="112" t="s">
        <v>521</v>
      </c>
      <c r="C247" s="112" t="s">
        <v>2381</v>
      </c>
      <c r="D247" s="115">
        <f>$D$235/1000</f>
        <v>3.4302418957296645E-7</v>
      </c>
      <c r="E247" s="571" t="s">
        <v>232</v>
      </c>
    </row>
    <row r="248" spans="1:5" x14ac:dyDescent="0.3">
      <c r="A248" s="112" t="s">
        <v>1957</v>
      </c>
      <c r="B248" s="112" t="s">
        <v>521</v>
      </c>
      <c r="C248" s="112" t="s">
        <v>2382</v>
      </c>
      <c r="D248" s="115">
        <f>$D$236/1000</f>
        <v>1.0321831840129177E-4</v>
      </c>
      <c r="E248" s="571" t="s">
        <v>232</v>
      </c>
    </row>
    <row r="249" spans="1:5" x14ac:dyDescent="0.3">
      <c r="A249" s="112" t="s">
        <v>1957</v>
      </c>
      <c r="B249" s="112" t="s">
        <v>521</v>
      </c>
      <c r="C249" s="112" t="s">
        <v>2383</v>
      </c>
      <c r="D249" s="115">
        <f>$D$237/1000</f>
        <v>5.4752463593005627E-6</v>
      </c>
      <c r="E249" s="571" t="s">
        <v>232</v>
      </c>
    </row>
    <row r="250" spans="1:5" x14ac:dyDescent="0.3">
      <c r="A250" s="730" t="s">
        <v>816</v>
      </c>
      <c r="B250" s="43" t="s">
        <v>128</v>
      </c>
      <c r="C250" s="43" t="s">
        <v>2369</v>
      </c>
      <c r="D250" s="785">
        <f>(1-$D$201)*D203</f>
        <v>3.8022544161809508E-5</v>
      </c>
      <c r="E250" s="786" t="s">
        <v>347</v>
      </c>
    </row>
    <row r="251" spans="1:5" x14ac:dyDescent="0.3">
      <c r="A251" s="730" t="s">
        <v>816</v>
      </c>
      <c r="B251" s="43" t="s">
        <v>128</v>
      </c>
      <c r="C251" s="43" t="s">
        <v>2370</v>
      </c>
      <c r="D251" s="785">
        <f t="shared" ref="D251:D275" si="1">(1-$D$201)*D204</f>
        <v>9.505636040452377E-6</v>
      </c>
      <c r="E251" s="786" t="s">
        <v>2276</v>
      </c>
    </row>
    <row r="252" spans="1:5" x14ac:dyDescent="0.3">
      <c r="A252" s="730" t="s">
        <v>816</v>
      </c>
      <c r="B252" s="43" t="s">
        <v>128</v>
      </c>
      <c r="C252" s="43" t="s">
        <v>2371</v>
      </c>
      <c r="D252" s="785">
        <f t="shared" si="1"/>
        <v>4.1824798577990449E-4</v>
      </c>
      <c r="E252" s="786" t="s">
        <v>267</v>
      </c>
    </row>
    <row r="253" spans="1:5" x14ac:dyDescent="0.3">
      <c r="A253" s="730" t="s">
        <v>2252</v>
      </c>
      <c r="B253" s="43" t="s">
        <v>128</v>
      </c>
      <c r="C253" s="528" t="s">
        <v>2372</v>
      </c>
      <c r="D253" s="785">
        <f t="shared" si="1"/>
        <v>1.2094444997119096E-5</v>
      </c>
      <c r="E253" s="786" t="s">
        <v>348</v>
      </c>
    </row>
    <row r="254" spans="1:5" x14ac:dyDescent="0.3">
      <c r="A254" s="527" t="s">
        <v>2265</v>
      </c>
      <c r="B254" s="43" t="s">
        <v>128</v>
      </c>
      <c r="C254" s="528" t="s">
        <v>2372</v>
      </c>
      <c r="D254" s="785">
        <f t="shared" si="1"/>
        <v>1.0473664236816017E-5</v>
      </c>
      <c r="E254" s="786" t="s">
        <v>348</v>
      </c>
    </row>
    <row r="255" spans="1:5" x14ac:dyDescent="0.3">
      <c r="A255" s="731" t="s">
        <v>2228</v>
      </c>
      <c r="B255" s="43" t="s">
        <v>128</v>
      </c>
      <c r="C255" s="528" t="s">
        <v>2372</v>
      </c>
      <c r="D255" s="785">
        <f t="shared" si="1"/>
        <v>2.1755745333369906E-4</v>
      </c>
      <c r="E255" s="786" t="s">
        <v>348</v>
      </c>
    </row>
    <row r="256" spans="1:5" x14ac:dyDescent="0.3">
      <c r="A256" s="515" t="s">
        <v>816</v>
      </c>
      <c r="B256" s="43" t="s">
        <v>128</v>
      </c>
      <c r="C256" s="528" t="s">
        <v>2372</v>
      </c>
      <c r="D256" s="785">
        <f t="shared" si="1"/>
        <v>1.8802255496331645E-5</v>
      </c>
      <c r="E256" s="786" t="s">
        <v>348</v>
      </c>
    </row>
    <row r="257" spans="1:5" x14ac:dyDescent="0.3">
      <c r="A257" s="732" t="s">
        <v>864</v>
      </c>
      <c r="B257" s="43" t="s">
        <v>128</v>
      </c>
      <c r="C257" s="528" t="s">
        <v>2372</v>
      </c>
      <c r="D257" s="785">
        <f t="shared" si="1"/>
        <v>1.342066918931666E-5</v>
      </c>
      <c r="E257" s="786" t="s">
        <v>348</v>
      </c>
    </row>
    <row r="258" spans="1:5" x14ac:dyDescent="0.3">
      <c r="A258" s="730" t="s">
        <v>816</v>
      </c>
      <c r="B258" s="43" t="s">
        <v>128</v>
      </c>
      <c r="C258" s="43" t="s">
        <v>2373</v>
      </c>
      <c r="D258" s="785">
        <f t="shared" si="1"/>
        <v>1.0060579010798937E-3</v>
      </c>
      <c r="E258" s="786" t="s">
        <v>1256</v>
      </c>
    </row>
    <row r="259" spans="1:5" x14ac:dyDescent="0.3">
      <c r="A259" s="43" t="s">
        <v>1947</v>
      </c>
      <c r="B259" s="43" t="s">
        <v>128</v>
      </c>
      <c r="C259" s="43" t="s">
        <v>2373</v>
      </c>
      <c r="D259" s="785">
        <f t="shared" si="1"/>
        <v>6.7883054098128912E-4</v>
      </c>
      <c r="E259" s="786" t="s">
        <v>1256</v>
      </c>
    </row>
    <row r="260" spans="1:5" x14ac:dyDescent="0.3">
      <c r="A260" s="733" t="s">
        <v>2266</v>
      </c>
      <c r="B260" s="43" t="s">
        <v>128</v>
      </c>
      <c r="C260" s="43" t="s">
        <v>2365</v>
      </c>
      <c r="D260" s="785">
        <f t="shared" si="1"/>
        <v>3.1319228696657936E-6</v>
      </c>
      <c r="E260" s="786" t="s">
        <v>1500</v>
      </c>
    </row>
    <row r="261" spans="1:5" x14ac:dyDescent="0.3">
      <c r="A261" s="306" t="s">
        <v>2415</v>
      </c>
      <c r="B261" s="125" t="s">
        <v>128</v>
      </c>
      <c r="C261" s="125" t="s">
        <v>2368</v>
      </c>
      <c r="D261" s="790">
        <f t="shared" si="1"/>
        <v>5.5663658363367173E-7</v>
      </c>
      <c r="E261" s="791" t="s">
        <v>1501</v>
      </c>
    </row>
    <row r="262" spans="1:5" x14ac:dyDescent="0.3">
      <c r="A262" s="515" t="s">
        <v>2246</v>
      </c>
      <c r="B262" s="43" t="s">
        <v>128</v>
      </c>
      <c r="C262" s="43" t="s">
        <v>2368</v>
      </c>
      <c r="D262" s="785">
        <f t="shared" si="1"/>
        <v>2.1094355682355335E-6</v>
      </c>
      <c r="E262" s="786" t="s">
        <v>1501</v>
      </c>
    </row>
    <row r="263" spans="1:5" x14ac:dyDescent="0.3">
      <c r="A263" s="730" t="s">
        <v>816</v>
      </c>
      <c r="B263" s="43" t="s">
        <v>128</v>
      </c>
      <c r="C263" s="43" t="s">
        <v>2368</v>
      </c>
      <c r="D263" s="785">
        <f t="shared" si="1"/>
        <v>1.632606415987301E-7</v>
      </c>
      <c r="E263" s="786" t="s">
        <v>1501</v>
      </c>
    </row>
    <row r="264" spans="1:5" x14ac:dyDescent="0.3">
      <c r="A264" s="730" t="s">
        <v>1949</v>
      </c>
      <c r="B264" s="43" t="s">
        <v>128</v>
      </c>
      <c r="C264" s="43" t="s">
        <v>2368</v>
      </c>
      <c r="D264" s="785">
        <f t="shared" si="1"/>
        <v>1.3344711535778056E-7</v>
      </c>
      <c r="E264" s="786" t="s">
        <v>1501</v>
      </c>
    </row>
    <row r="265" spans="1:5" x14ac:dyDescent="0.3">
      <c r="A265" s="730" t="s">
        <v>1947</v>
      </c>
      <c r="B265" s="43" t="s">
        <v>128</v>
      </c>
      <c r="C265" s="43" t="s">
        <v>2368</v>
      </c>
      <c r="D265" s="785">
        <f t="shared" si="1"/>
        <v>2.8865716888323323E-8</v>
      </c>
      <c r="E265" s="786" t="s">
        <v>1501</v>
      </c>
    </row>
    <row r="266" spans="1:5" x14ac:dyDescent="0.3">
      <c r="A266" s="730" t="s">
        <v>2267</v>
      </c>
      <c r="B266" s="43" t="s">
        <v>128</v>
      </c>
      <c r="C266" s="43" t="s">
        <v>2368</v>
      </c>
      <c r="D266" s="785">
        <f t="shared" si="1"/>
        <v>2.8162460675780939E-7</v>
      </c>
      <c r="E266" s="786" t="s">
        <v>1501</v>
      </c>
    </row>
    <row r="267" spans="1:5" x14ac:dyDescent="0.3">
      <c r="A267" s="730" t="s">
        <v>2228</v>
      </c>
      <c r="B267" s="43" t="s">
        <v>128</v>
      </c>
      <c r="C267" s="43" t="s">
        <v>2368</v>
      </c>
      <c r="D267" s="785">
        <f t="shared" si="1"/>
        <v>2.5339608198190428E-6</v>
      </c>
      <c r="E267" s="786" t="s">
        <v>1501</v>
      </c>
    </row>
    <row r="268" spans="1:5" x14ac:dyDescent="0.3">
      <c r="A268" s="730" t="s">
        <v>2247</v>
      </c>
      <c r="B268" s="43" t="s">
        <v>128</v>
      </c>
      <c r="C268" s="43" t="s">
        <v>2368</v>
      </c>
      <c r="D268" s="785">
        <f t="shared" si="1"/>
        <v>1.2263451983668818E-7</v>
      </c>
      <c r="E268" s="786" t="s">
        <v>1501</v>
      </c>
    </row>
    <row r="269" spans="1:5" x14ac:dyDescent="0.3">
      <c r="A269" s="731" t="s">
        <v>2265</v>
      </c>
      <c r="B269" s="43" t="s">
        <v>128</v>
      </c>
      <c r="C269" s="43" t="s">
        <v>2368</v>
      </c>
      <c r="D269" s="785">
        <f t="shared" si="1"/>
        <v>3.870566105692002E-10</v>
      </c>
      <c r="E269" s="786" t="s">
        <v>1501</v>
      </c>
    </row>
    <row r="270" spans="1:5" x14ac:dyDescent="0.3">
      <c r="A270" s="734" t="s">
        <v>2248</v>
      </c>
      <c r="B270" s="43" t="s">
        <v>128</v>
      </c>
      <c r="C270" s="43" t="s">
        <v>2368</v>
      </c>
      <c r="D270" s="785">
        <f t="shared" si="1"/>
        <v>1.4320395640256286E-9</v>
      </c>
      <c r="E270" s="786" t="s">
        <v>1501</v>
      </c>
    </row>
    <row r="271" spans="1:5" x14ac:dyDescent="0.3">
      <c r="A271" s="43" t="s">
        <v>1948</v>
      </c>
      <c r="B271" s="43" t="s">
        <v>128</v>
      </c>
      <c r="C271" s="43" t="s">
        <v>2368</v>
      </c>
      <c r="D271" s="785">
        <f t="shared" si="1"/>
        <v>3.9508588745554495E-11</v>
      </c>
      <c r="E271" s="786" t="s">
        <v>1501</v>
      </c>
    </row>
    <row r="272" spans="1:5" x14ac:dyDescent="0.3">
      <c r="A272" s="731" t="s">
        <v>401</v>
      </c>
      <c r="B272" s="43" t="s">
        <v>128</v>
      </c>
      <c r="C272" s="43" t="s">
        <v>2367</v>
      </c>
      <c r="D272" s="785">
        <f t="shared" si="1"/>
        <v>8.8934086344571456E-7</v>
      </c>
      <c r="E272" s="786" t="s">
        <v>349</v>
      </c>
    </row>
    <row r="273" spans="1:5" x14ac:dyDescent="0.3">
      <c r="A273" s="731" t="s">
        <v>872</v>
      </c>
      <c r="B273" s="43" t="s">
        <v>128</v>
      </c>
      <c r="C273" s="43" t="s">
        <v>2367</v>
      </c>
      <c r="D273" s="785">
        <f t="shared" si="1"/>
        <v>3.112693022060001E-6</v>
      </c>
      <c r="E273" s="786" t="s">
        <v>349</v>
      </c>
    </row>
    <row r="274" spans="1:5" x14ac:dyDescent="0.3">
      <c r="A274" s="731" t="s">
        <v>816</v>
      </c>
      <c r="B274" s="43" t="s">
        <v>128</v>
      </c>
      <c r="C274" s="43" t="s">
        <v>2367</v>
      </c>
      <c r="D274" s="785">
        <f t="shared" si="1"/>
        <v>2.1481663368253957E-3</v>
      </c>
      <c r="E274" s="786" t="s">
        <v>349</v>
      </c>
    </row>
    <row r="275" spans="1:5" ht="15" thickBot="1" x14ac:dyDescent="0.35">
      <c r="A275" s="731" t="s">
        <v>816</v>
      </c>
      <c r="B275" s="43" t="s">
        <v>128</v>
      </c>
      <c r="C275" s="43" t="s">
        <v>2366</v>
      </c>
      <c r="D275" s="785">
        <f t="shared" si="1"/>
        <v>1.1406763248542851E-4</v>
      </c>
      <c r="E275" s="786" t="s">
        <v>177</v>
      </c>
    </row>
    <row r="276" spans="1:5" x14ac:dyDescent="0.3">
      <c r="A276" s="1140"/>
      <c r="B276" s="1141"/>
      <c r="C276" s="1141"/>
      <c r="D276" s="1141"/>
      <c r="E276" s="1142"/>
    </row>
    <row r="277" spans="1:5" ht="15" thickBot="1" x14ac:dyDescent="0.35">
      <c r="A277" s="1143"/>
      <c r="B277" s="1144"/>
      <c r="C277" s="1144"/>
      <c r="D277" s="1144"/>
      <c r="E277" s="1145"/>
    </row>
    <row r="278" spans="1:5" ht="30" customHeight="1" thickBot="1" x14ac:dyDescent="0.35">
      <c r="A278" s="638" t="s">
        <v>1010</v>
      </c>
      <c r="B278" s="749" t="s">
        <v>142</v>
      </c>
      <c r="C278" s="750" t="s">
        <v>256</v>
      </c>
      <c r="D278" s="751" t="s">
        <v>236</v>
      </c>
      <c r="E278" s="752" t="s">
        <v>212</v>
      </c>
    </row>
    <row r="279" spans="1:5" x14ac:dyDescent="0.3">
      <c r="A279" s="1134" t="s">
        <v>536</v>
      </c>
      <c r="B279" s="19" t="s">
        <v>225</v>
      </c>
      <c r="C279" s="135" t="s">
        <v>1872</v>
      </c>
      <c r="D279" s="171"/>
      <c r="E279" s="465"/>
    </row>
    <row r="280" spans="1:5" x14ac:dyDescent="0.3">
      <c r="A280" s="1135"/>
      <c r="B280" s="18" t="s">
        <v>225</v>
      </c>
      <c r="C280" s="44" t="s">
        <v>707</v>
      </c>
      <c r="D280" s="149"/>
      <c r="E280" s="167"/>
    </row>
    <row r="281" spans="1:5" x14ac:dyDescent="0.3">
      <c r="A281" s="16" t="s">
        <v>925</v>
      </c>
      <c r="B281" s="18" t="s">
        <v>613</v>
      </c>
      <c r="C281" s="44"/>
      <c r="D281" s="159">
        <f>((SUM(D285:D305)/'1. USER INPUTS'!$E$23)/1000)*$D$10</f>
        <v>115.68421158977772</v>
      </c>
      <c r="E281" s="167" t="s">
        <v>232</v>
      </c>
    </row>
    <row r="282" spans="1:5" x14ac:dyDescent="0.3">
      <c r="A282" s="16" t="s">
        <v>1942</v>
      </c>
      <c r="B282" s="18" t="s">
        <v>131</v>
      </c>
      <c r="C282" s="44"/>
      <c r="D282" s="144">
        <v>5</v>
      </c>
      <c r="E282" s="167" t="s">
        <v>1962</v>
      </c>
    </row>
    <row r="283" spans="1:5" x14ac:dyDescent="0.3">
      <c r="A283" s="46" t="s">
        <v>1764</v>
      </c>
      <c r="B283" s="18" t="s">
        <v>534</v>
      </c>
      <c r="C283" s="44"/>
      <c r="D283" s="169">
        <f>$D$282/$D$281</f>
        <v>4.3221109702767928E-2</v>
      </c>
      <c r="E283" s="167" t="s">
        <v>232</v>
      </c>
    </row>
    <row r="284" spans="1:5" x14ac:dyDescent="0.3">
      <c r="A284" s="1125" t="s">
        <v>291</v>
      </c>
      <c r="B284" s="1126"/>
      <c r="C284" s="1126"/>
      <c r="D284" s="1126"/>
      <c r="E284" s="1127"/>
    </row>
    <row r="285" spans="1:5" x14ac:dyDescent="0.3">
      <c r="A285" s="15" t="s">
        <v>159</v>
      </c>
      <c r="B285" s="15" t="s">
        <v>128</v>
      </c>
      <c r="C285" s="262" t="s">
        <v>1871</v>
      </c>
      <c r="D285" s="452">
        <f>'12. WET ETCH'!$D$18</f>
        <v>3.5049841172979321</v>
      </c>
      <c r="E285" s="463" t="s">
        <v>347</v>
      </c>
    </row>
    <row r="286" spans="1:5" x14ac:dyDescent="0.3">
      <c r="A286" s="15" t="s">
        <v>155</v>
      </c>
      <c r="B286" s="15" t="s">
        <v>128</v>
      </c>
      <c r="C286" s="262" t="s">
        <v>1871</v>
      </c>
      <c r="D286" s="452">
        <f>'12. WET ETCH'!$D$19</f>
        <v>1.4464320001290984E-4</v>
      </c>
      <c r="E286" s="463" t="s">
        <v>347</v>
      </c>
    </row>
    <row r="287" spans="1:5" x14ac:dyDescent="0.3">
      <c r="A287" s="15" t="s">
        <v>157</v>
      </c>
      <c r="B287" s="15" t="s">
        <v>128</v>
      </c>
      <c r="C287" s="262" t="s">
        <v>1871</v>
      </c>
      <c r="D287" s="452">
        <f>'12. WET ETCH'!$D$20</f>
        <v>1.5183304764631485E-3</v>
      </c>
      <c r="E287" s="463" t="s">
        <v>347</v>
      </c>
    </row>
    <row r="288" spans="1:5" x14ac:dyDescent="0.3">
      <c r="A288" s="15" t="s">
        <v>160</v>
      </c>
      <c r="B288" s="15" t="s">
        <v>128</v>
      </c>
      <c r="C288" s="262" t="s">
        <v>1871</v>
      </c>
      <c r="D288" s="452">
        <f>'12. WET ETCH'!$D$21</f>
        <v>1.0248966688943553E-2</v>
      </c>
      <c r="E288" s="463" t="s">
        <v>347</v>
      </c>
    </row>
    <row r="289" spans="1:5" x14ac:dyDescent="0.3">
      <c r="A289" s="262" t="s">
        <v>396</v>
      </c>
      <c r="B289" s="15" t="s">
        <v>128</v>
      </c>
      <c r="C289" s="262" t="s">
        <v>1871</v>
      </c>
      <c r="D289" s="452">
        <f>'12. WET ETCH'!$D$22</f>
        <v>3.0429752600375721E-3</v>
      </c>
      <c r="E289" s="463" t="s">
        <v>347</v>
      </c>
    </row>
    <row r="290" spans="1:5" x14ac:dyDescent="0.3">
      <c r="A290" s="293" t="s">
        <v>1650</v>
      </c>
      <c r="B290" s="15" t="s">
        <v>128</v>
      </c>
      <c r="C290" s="262" t="s">
        <v>1871</v>
      </c>
      <c r="D290" s="452">
        <f>'12. WET ETCH'!$D$23</f>
        <v>1.3759005387366649E-2</v>
      </c>
      <c r="E290" s="463" t="s">
        <v>347</v>
      </c>
    </row>
    <row r="291" spans="1:5" x14ac:dyDescent="0.3">
      <c r="A291" s="285" t="s">
        <v>161</v>
      </c>
      <c r="B291" s="15" t="s">
        <v>128</v>
      </c>
      <c r="C291" s="262" t="s">
        <v>1871</v>
      </c>
      <c r="D291" s="452">
        <f>'12. WET ETCH'!$D$24</f>
        <v>1.0901944159388873E-3</v>
      </c>
      <c r="E291" s="463" t="s">
        <v>347</v>
      </c>
    </row>
    <row r="292" spans="1:5" x14ac:dyDescent="0.3">
      <c r="A292" s="293" t="s">
        <v>1814</v>
      </c>
      <c r="B292" s="15" t="s">
        <v>128</v>
      </c>
      <c r="C292" s="262" t="s">
        <v>1871</v>
      </c>
      <c r="D292" s="452">
        <f>'12. WET ETCH'!$D$25</f>
        <v>3.1792861785015828E-3</v>
      </c>
      <c r="E292" s="463" t="s">
        <v>347</v>
      </c>
    </row>
    <row r="293" spans="1:5" x14ac:dyDescent="0.3">
      <c r="A293" s="262" t="s">
        <v>159</v>
      </c>
      <c r="B293" s="450" t="s">
        <v>128</v>
      </c>
      <c r="C293" s="262" t="s">
        <v>1873</v>
      </c>
      <c r="D293" s="286">
        <f>'13. WET CLEAN'!$D$17</f>
        <v>2.3854875702270562E-2</v>
      </c>
      <c r="E293" s="463" t="s">
        <v>1448</v>
      </c>
    </row>
    <row r="294" spans="1:5" x14ac:dyDescent="0.3">
      <c r="A294" s="15" t="s">
        <v>155</v>
      </c>
      <c r="B294" s="450" t="s">
        <v>128</v>
      </c>
      <c r="C294" s="262" t="s">
        <v>1873</v>
      </c>
      <c r="D294" s="286">
        <f>'13. WET CLEAN'!$D$18</f>
        <v>3.7234883171640169E-4</v>
      </c>
      <c r="E294" s="463" t="s">
        <v>1448</v>
      </c>
    </row>
    <row r="295" spans="1:5" x14ac:dyDescent="0.3">
      <c r="A295" s="344" t="s">
        <v>161</v>
      </c>
      <c r="B295" s="450" t="s">
        <v>128</v>
      </c>
      <c r="C295" s="262" t="s">
        <v>1873</v>
      </c>
      <c r="D295" s="286">
        <f>'13. WET CLEAN'!$D$19</f>
        <v>1.70574636507445E-3</v>
      </c>
      <c r="E295" s="463" t="s">
        <v>1448</v>
      </c>
    </row>
    <row r="296" spans="1:5" x14ac:dyDescent="0.3">
      <c r="A296" s="262" t="s">
        <v>162</v>
      </c>
      <c r="B296" s="450" t="s">
        <v>128</v>
      </c>
      <c r="C296" s="262" t="s">
        <v>1873</v>
      </c>
      <c r="D296" s="286">
        <f>'13. WET CLEAN'!$D$20</f>
        <v>4.8691770301375606E-4</v>
      </c>
      <c r="E296" s="463" t="s">
        <v>1448</v>
      </c>
    </row>
    <row r="297" spans="1:5" x14ac:dyDescent="0.3">
      <c r="A297" s="366" t="s">
        <v>1578</v>
      </c>
      <c r="B297" s="450" t="s">
        <v>128</v>
      </c>
      <c r="C297" s="262" t="s">
        <v>1873</v>
      </c>
      <c r="D297" s="286">
        <f>'13. WET CLEAN'!$D$21</f>
        <v>2.0458727017384709E-3</v>
      </c>
      <c r="E297" s="463" t="s">
        <v>1448</v>
      </c>
    </row>
    <row r="298" spans="1:5" x14ac:dyDescent="0.3">
      <c r="A298" s="449" t="s">
        <v>157</v>
      </c>
      <c r="B298" s="450" t="s">
        <v>128</v>
      </c>
      <c r="C298" s="262" t="s">
        <v>1873</v>
      </c>
      <c r="D298" s="286">
        <f>'13. WET CLEAN'!$D$22</f>
        <v>3.2938550497989369E-4</v>
      </c>
      <c r="E298" s="463" t="s">
        <v>1448</v>
      </c>
    </row>
    <row r="299" spans="1:5" x14ac:dyDescent="0.3">
      <c r="A299" s="15" t="s">
        <v>1650</v>
      </c>
      <c r="B299" s="450" t="s">
        <v>128</v>
      </c>
      <c r="C299" s="262" t="s">
        <v>1873</v>
      </c>
      <c r="D299" s="286">
        <f>'13. WET CLEAN'!$D$23</f>
        <v>1.9655721981952355E-3</v>
      </c>
      <c r="E299" s="463" t="s">
        <v>1448</v>
      </c>
    </row>
    <row r="300" spans="1:5" x14ac:dyDescent="0.3">
      <c r="A300" s="293" t="s">
        <v>386</v>
      </c>
      <c r="B300" s="15" t="s">
        <v>128</v>
      </c>
      <c r="C300" s="262" t="s">
        <v>1936</v>
      </c>
      <c r="D300" s="286">
        <f>'14. PHOTOLITHO.'!$D$16</f>
        <v>1.1412441682031545E-4</v>
      </c>
      <c r="E300" s="463" t="s">
        <v>267</v>
      </c>
    </row>
    <row r="301" spans="1:5" x14ac:dyDescent="0.3">
      <c r="A301" s="293" t="s">
        <v>159</v>
      </c>
      <c r="B301" s="15" t="s">
        <v>521</v>
      </c>
      <c r="C301" s="262" t="s">
        <v>1936</v>
      </c>
      <c r="D301" s="286">
        <f>'14. PHOTOLITHO.'!$D$17</f>
        <v>1.878973934724315E-5</v>
      </c>
      <c r="E301" s="463" t="s">
        <v>267</v>
      </c>
    </row>
    <row r="302" spans="1:5" x14ac:dyDescent="0.3">
      <c r="A302" s="262" t="s">
        <v>155</v>
      </c>
      <c r="B302" s="15" t="s">
        <v>128</v>
      </c>
      <c r="C302" s="15" t="s">
        <v>1877</v>
      </c>
      <c r="D302" s="452">
        <f>'20. CMP'!$D$17</f>
        <v>1.5820495710368969E-3</v>
      </c>
      <c r="E302" s="476" t="s">
        <v>177</v>
      </c>
    </row>
    <row r="303" spans="1:5" x14ac:dyDescent="0.3">
      <c r="A303" s="15" t="s">
        <v>161</v>
      </c>
      <c r="B303" s="15" t="s">
        <v>128</v>
      </c>
      <c r="C303" s="15" t="s">
        <v>1877</v>
      </c>
      <c r="D303" s="452">
        <f>'20. CMP'!$D$18</f>
        <v>5.2155480363853743E-3</v>
      </c>
      <c r="E303" s="476" t="s">
        <v>177</v>
      </c>
    </row>
    <row r="304" spans="1:5" x14ac:dyDescent="0.3">
      <c r="A304" s="293" t="s">
        <v>159</v>
      </c>
      <c r="B304" s="15" t="s">
        <v>521</v>
      </c>
      <c r="C304" s="15" t="s">
        <v>1877</v>
      </c>
      <c r="D304" s="452">
        <f>'20. CMP'!$D$19</f>
        <v>5.13618178299031E-4</v>
      </c>
      <c r="E304" s="476" t="s">
        <v>177</v>
      </c>
    </row>
    <row r="305" spans="1:5" x14ac:dyDescent="0.3">
      <c r="A305" s="293" t="s">
        <v>708</v>
      </c>
      <c r="B305" s="15" t="s">
        <v>128</v>
      </c>
      <c r="C305" s="262" t="s">
        <v>2338</v>
      </c>
      <c r="D305" s="286">
        <f>SUM($D$287,$D$288,$D$289,$D$290)*0.5</f>
        <v>1.428463890640546E-2</v>
      </c>
      <c r="E305" s="463" t="s">
        <v>232</v>
      </c>
    </row>
    <row r="306" spans="1:5" x14ac:dyDescent="0.3">
      <c r="A306" s="293" t="s">
        <v>713</v>
      </c>
      <c r="B306" s="15" t="s">
        <v>128</v>
      </c>
      <c r="C306" s="262" t="s">
        <v>2338</v>
      </c>
      <c r="D306" s="286">
        <f>$D$305</f>
        <v>1.428463890640546E-2</v>
      </c>
      <c r="E306" s="463" t="s">
        <v>232</v>
      </c>
    </row>
    <row r="307" spans="1:5" x14ac:dyDescent="0.3">
      <c r="A307" s="293" t="s">
        <v>708</v>
      </c>
      <c r="B307" s="15" t="s">
        <v>128</v>
      </c>
      <c r="C307" s="262" t="s">
        <v>2339</v>
      </c>
      <c r="D307" s="286">
        <f>SUM($D$296,$D$298,$D$299)*0.5</f>
        <v>1.3909377030944426E-3</v>
      </c>
      <c r="E307" s="463" t="s">
        <v>232</v>
      </c>
    </row>
    <row r="308" spans="1:5" x14ac:dyDescent="0.3">
      <c r="A308" s="293" t="s">
        <v>713</v>
      </c>
      <c r="B308" s="15" t="s">
        <v>128</v>
      </c>
      <c r="C308" s="262" t="s">
        <v>2339</v>
      </c>
      <c r="D308" s="286">
        <f>$D$307</f>
        <v>1.3909377030944426E-3</v>
      </c>
      <c r="E308" s="463" t="s">
        <v>232</v>
      </c>
    </row>
    <row r="309" spans="1:5" x14ac:dyDescent="0.3">
      <c r="A309" s="293" t="s">
        <v>431</v>
      </c>
      <c r="B309" s="15" t="s">
        <v>128</v>
      </c>
      <c r="C309" s="262" t="s">
        <v>2340</v>
      </c>
      <c r="D309" s="286">
        <f>SUM($D$286,$D$291,$D$292)*0.3</f>
        <v>1.3242371383360141E-3</v>
      </c>
      <c r="E309" s="463" t="s">
        <v>232</v>
      </c>
    </row>
    <row r="310" spans="1:5" x14ac:dyDescent="0.3">
      <c r="A310" s="293" t="s">
        <v>713</v>
      </c>
      <c r="B310" s="15" t="s">
        <v>128</v>
      </c>
      <c r="C310" s="262" t="s">
        <v>2340</v>
      </c>
      <c r="D310" s="286">
        <f>SUM($D$286,$D$291,$D$292)*0.7</f>
        <v>3.0898866561173662E-3</v>
      </c>
      <c r="E310" s="463" t="s">
        <v>232</v>
      </c>
    </row>
    <row r="311" spans="1:5" x14ac:dyDescent="0.3">
      <c r="A311" s="293" t="s">
        <v>431</v>
      </c>
      <c r="B311" s="15" t="s">
        <v>128</v>
      </c>
      <c r="C311" s="262" t="s">
        <v>2341</v>
      </c>
      <c r="D311" s="286">
        <f>SUM($D$294,$D$295,$D$297)*0.3</f>
        <v>1.237190369558797E-3</v>
      </c>
      <c r="E311" s="463" t="s">
        <v>232</v>
      </c>
    </row>
    <row r="312" spans="1:5" x14ac:dyDescent="0.3">
      <c r="A312" s="293" t="s">
        <v>713</v>
      </c>
      <c r="B312" s="15" t="s">
        <v>128</v>
      </c>
      <c r="C312" s="262" t="s">
        <v>2341</v>
      </c>
      <c r="D312" s="286">
        <f>SUM($D$294,$D$295,$D$297)*0.7</f>
        <v>2.8867775289705259E-3</v>
      </c>
      <c r="E312" s="463" t="s">
        <v>232</v>
      </c>
    </row>
    <row r="313" spans="1:5" x14ac:dyDescent="0.3">
      <c r="A313" s="293" t="s">
        <v>431</v>
      </c>
      <c r="B313" s="15" t="s">
        <v>128</v>
      </c>
      <c r="C313" s="262" t="s">
        <v>2342</v>
      </c>
      <c r="D313" s="286">
        <f>SUM($D$300)*0.3</f>
        <v>3.4237325046094632E-5</v>
      </c>
      <c r="E313" s="463" t="s">
        <v>232</v>
      </c>
    </row>
    <row r="314" spans="1:5" x14ac:dyDescent="0.3">
      <c r="A314" s="293" t="s">
        <v>713</v>
      </c>
      <c r="B314" s="15" t="s">
        <v>128</v>
      </c>
      <c r="C314" s="262" t="s">
        <v>2342</v>
      </c>
      <c r="D314" s="286">
        <f>SUM($D$300)*0.7</f>
        <v>7.9887091774220807E-5</v>
      </c>
      <c r="E314" s="463" t="s">
        <v>232</v>
      </c>
    </row>
    <row r="315" spans="1:5" x14ac:dyDescent="0.3">
      <c r="A315" s="293" t="s">
        <v>431</v>
      </c>
      <c r="B315" s="15" t="s">
        <v>128</v>
      </c>
      <c r="C315" s="262" t="s">
        <v>2343</v>
      </c>
      <c r="D315" s="286">
        <f>SUM($D$302,$D$303)*0.3</f>
        <v>2.0392792822266814E-3</v>
      </c>
      <c r="E315" s="463" t="s">
        <v>232</v>
      </c>
    </row>
    <row r="316" spans="1:5" x14ac:dyDescent="0.3">
      <c r="A316" s="293" t="s">
        <v>713</v>
      </c>
      <c r="B316" s="15" t="s">
        <v>128</v>
      </c>
      <c r="C316" s="262" t="s">
        <v>2343</v>
      </c>
      <c r="D316" s="286">
        <f>SUM($D$302,$D$303)*0.7</f>
        <v>4.7583183251955893E-3</v>
      </c>
      <c r="E316" s="463" t="s">
        <v>232</v>
      </c>
    </row>
    <row r="317" spans="1:5" x14ac:dyDescent="0.3">
      <c r="A317" s="293" t="s">
        <v>716</v>
      </c>
      <c r="B317" s="15" t="s">
        <v>132</v>
      </c>
      <c r="C317" s="262" t="s">
        <v>926</v>
      </c>
      <c r="D317" s="286">
        <f>$D$283*((SUM($D$285:$D$300,$D$302:$D$303)/1000)+$D$301+$D$304)</f>
        <v>1.7755438798122491E-4</v>
      </c>
      <c r="E317" s="463" t="s">
        <v>232</v>
      </c>
    </row>
    <row r="318" spans="1:5" x14ac:dyDescent="0.3">
      <c r="A318" s="1128" t="s">
        <v>292</v>
      </c>
      <c r="B318" s="1129"/>
      <c r="C318" s="1129"/>
      <c r="D318" s="1129"/>
      <c r="E318" s="1130"/>
    </row>
    <row r="319" spans="1:5" x14ac:dyDescent="0.3">
      <c r="A319" s="16" t="s">
        <v>322</v>
      </c>
      <c r="B319" s="18" t="s">
        <v>293</v>
      </c>
      <c r="C319" s="18"/>
      <c r="D319" s="27">
        <v>1</v>
      </c>
      <c r="E319" s="22"/>
    </row>
    <row r="320" spans="1:5" x14ac:dyDescent="0.3">
      <c r="A320" s="112" t="s">
        <v>1957</v>
      </c>
      <c r="B320" s="112" t="s">
        <v>521</v>
      </c>
      <c r="C320" s="127" t="s">
        <v>2337</v>
      </c>
      <c r="D320" s="281">
        <f>SUM($D$285:$D$292,$D$305:$D$306,$D$309:$D$310)/1000</f>
        <v>3.5709509205124608E-3</v>
      </c>
      <c r="E320" s="788" t="s">
        <v>232</v>
      </c>
    </row>
    <row r="321" spans="1:5" x14ac:dyDescent="0.3">
      <c r="A321" s="112" t="s">
        <v>1957</v>
      </c>
      <c r="B321" s="112" t="s">
        <v>521</v>
      </c>
      <c r="C321" s="127" t="s">
        <v>2344</v>
      </c>
      <c r="D321" s="281">
        <f>SUM($D$293:$D$299,$D$307:$D$308,$D$311:$D$312)/1000</f>
        <v>3.7666562311706985E-5</v>
      </c>
      <c r="E321" s="788" t="s">
        <v>232</v>
      </c>
    </row>
    <row r="322" spans="1:5" x14ac:dyDescent="0.3">
      <c r="A322" s="112" t="s">
        <v>1957</v>
      </c>
      <c r="B322" s="112" t="s">
        <v>521</v>
      </c>
      <c r="C322" s="127" t="s">
        <v>2345</v>
      </c>
      <c r="D322" s="281">
        <f>SUM($D$300:$D$301,$D$313:$D$314)/1000</f>
        <v>2.4703857298787407E-7</v>
      </c>
      <c r="E322" s="788" t="s">
        <v>232</v>
      </c>
    </row>
    <row r="323" spans="1:5" ht="15" thickBot="1" x14ac:dyDescent="0.35">
      <c r="A323" s="112" t="s">
        <v>1957</v>
      </c>
      <c r="B323" s="112" t="s">
        <v>521</v>
      </c>
      <c r="C323" s="127" t="s">
        <v>2336</v>
      </c>
      <c r="D323" s="281">
        <f>SUM($D$302:$D$304,$D$315:$D$316)/1000</f>
        <v>1.4108813393143575E-5</v>
      </c>
      <c r="E323" s="788" t="s">
        <v>232</v>
      </c>
    </row>
    <row r="324" spans="1:5" x14ac:dyDescent="0.3">
      <c r="A324" s="1140"/>
      <c r="B324" s="1141"/>
      <c r="C324" s="1141"/>
      <c r="D324" s="1141"/>
      <c r="E324" s="1142"/>
    </row>
    <row r="325" spans="1:5" ht="15" thickBot="1" x14ac:dyDescent="0.35">
      <c r="A325" s="1143"/>
      <c r="B325" s="1144"/>
      <c r="C325" s="1144"/>
      <c r="D325" s="1144"/>
      <c r="E325" s="1145"/>
    </row>
    <row r="326" spans="1:5" ht="30" customHeight="1" thickBot="1" x14ac:dyDescent="0.35">
      <c r="A326" s="638" t="s">
        <v>1012</v>
      </c>
      <c r="B326" s="749" t="s">
        <v>142</v>
      </c>
      <c r="C326" s="750" t="s">
        <v>256</v>
      </c>
      <c r="D326" s="751" t="s">
        <v>236</v>
      </c>
      <c r="E326" s="752" t="s">
        <v>212</v>
      </c>
    </row>
    <row r="327" spans="1:5" x14ac:dyDescent="0.3">
      <c r="A327" s="1134" t="s">
        <v>536</v>
      </c>
      <c r="B327" s="19" t="s">
        <v>225</v>
      </c>
      <c r="C327" s="135" t="s">
        <v>784</v>
      </c>
      <c r="D327" s="170"/>
      <c r="E327" s="467"/>
    </row>
    <row r="328" spans="1:5" x14ac:dyDescent="0.3">
      <c r="A328" s="1135"/>
      <c r="B328" s="175" t="s">
        <v>225</v>
      </c>
      <c r="C328" s="176" t="s">
        <v>800</v>
      </c>
      <c r="D328" s="104"/>
      <c r="E328" s="468"/>
    </row>
    <row r="329" spans="1:5" x14ac:dyDescent="0.3">
      <c r="A329" s="16" t="s">
        <v>1011</v>
      </c>
      <c r="B329" s="18" t="s">
        <v>900</v>
      </c>
      <c r="C329" s="44"/>
      <c r="D329" s="137">
        <v>1.5</v>
      </c>
      <c r="E329" s="167" t="s">
        <v>1763</v>
      </c>
    </row>
    <row r="330" spans="1:5" x14ac:dyDescent="0.3">
      <c r="A330" s="46" t="s">
        <v>801</v>
      </c>
      <c r="B330" s="47" t="s">
        <v>214</v>
      </c>
      <c r="C330" s="48"/>
      <c r="D330" s="177">
        <v>100</v>
      </c>
      <c r="E330" s="469" t="s">
        <v>748</v>
      </c>
    </row>
    <row r="331" spans="1:5" x14ac:dyDescent="0.3">
      <c r="A331" s="46" t="s">
        <v>1762</v>
      </c>
      <c r="B331" s="47" t="s">
        <v>1880</v>
      </c>
      <c r="C331" s="464" t="s">
        <v>1963</v>
      </c>
      <c r="D331" s="147">
        <v>1.577</v>
      </c>
      <c r="E331" s="34" t="s">
        <v>1763</v>
      </c>
    </row>
    <row r="332" spans="1:5" x14ac:dyDescent="0.3">
      <c r="A332" s="1125" t="s">
        <v>291</v>
      </c>
      <c r="B332" s="1126"/>
      <c r="C332" s="1126"/>
      <c r="D332" s="1126"/>
      <c r="E332" s="1127"/>
    </row>
    <row r="333" spans="1:5" x14ac:dyDescent="0.3">
      <c r="A333" s="16" t="s">
        <v>716</v>
      </c>
      <c r="B333" s="18" t="s">
        <v>132</v>
      </c>
      <c r="C333" s="18"/>
      <c r="D333" s="137">
        <f>$D$331*(SUM($D$343:$D$345))</f>
        <v>6.702362177913796E-4</v>
      </c>
      <c r="E333" s="22" t="s">
        <v>232</v>
      </c>
    </row>
    <row r="334" spans="1:5" x14ac:dyDescent="0.3">
      <c r="A334" s="293" t="s">
        <v>407</v>
      </c>
      <c r="B334" s="15" t="s">
        <v>153</v>
      </c>
      <c r="C334" s="15" t="s">
        <v>1939</v>
      </c>
      <c r="D334" s="452">
        <f>'20. CMP'!$D$14</f>
        <v>4.3129165177710797E-4</v>
      </c>
      <c r="E334" s="476" t="s">
        <v>177</v>
      </c>
    </row>
    <row r="335" spans="1:5" x14ac:dyDescent="0.3">
      <c r="A335" s="293" t="s">
        <v>161</v>
      </c>
      <c r="B335" s="15" t="s">
        <v>153</v>
      </c>
      <c r="C335" s="15" t="s">
        <v>1877</v>
      </c>
      <c r="D335" s="452">
        <f>'20. CMP'!$D$15</f>
        <v>1.0586249634529014E-4</v>
      </c>
      <c r="E335" s="476" t="s">
        <v>177</v>
      </c>
    </row>
    <row r="336" spans="1:5" x14ac:dyDescent="0.3">
      <c r="A336" s="15" t="s">
        <v>1957</v>
      </c>
      <c r="B336" s="15" t="s">
        <v>521</v>
      </c>
      <c r="C336" s="15" t="s">
        <v>1877</v>
      </c>
      <c r="D336" s="452">
        <f>'20. CMP'!$D$16</f>
        <v>9.7629788318365392E-4</v>
      </c>
      <c r="E336" s="476" t="s">
        <v>177</v>
      </c>
    </row>
    <row r="337" spans="1:7" x14ac:dyDescent="0.3">
      <c r="A337" s="293" t="s">
        <v>1844</v>
      </c>
      <c r="B337" s="15" t="s">
        <v>153</v>
      </c>
      <c r="C337" s="15" t="s">
        <v>1909</v>
      </c>
      <c r="D337" s="107">
        <f>'21. THINNING'!$D$12</f>
        <v>2.0598945852741302E-4</v>
      </c>
      <c r="E337" s="276" t="s">
        <v>1497</v>
      </c>
    </row>
    <row r="338" spans="1:7" x14ac:dyDescent="0.3">
      <c r="A338" s="293" t="s">
        <v>1957</v>
      </c>
      <c r="B338" s="15" t="s">
        <v>521</v>
      </c>
      <c r="C338" s="15" t="s">
        <v>1874</v>
      </c>
      <c r="D338" s="107">
        <f>'21. THINNING'!$D$13</f>
        <v>5.3297308735630032E-4</v>
      </c>
      <c r="E338" s="276" t="s">
        <v>1497</v>
      </c>
      <c r="G338" s="2"/>
    </row>
    <row r="339" spans="1:7" x14ac:dyDescent="0.3">
      <c r="A339" s="293" t="s">
        <v>1844</v>
      </c>
      <c r="B339" s="15" t="s">
        <v>153</v>
      </c>
      <c r="C339" s="15" t="s">
        <v>1932</v>
      </c>
      <c r="D339" s="548">
        <f>'22. DICING'!$D$11</f>
        <v>2.2955975703213253E-7</v>
      </c>
      <c r="E339" s="549" t="s">
        <v>1498</v>
      </c>
      <c r="G339" s="2"/>
    </row>
    <row r="340" spans="1:7" x14ac:dyDescent="0.3">
      <c r="A340" s="293" t="s">
        <v>1957</v>
      </c>
      <c r="B340" s="15" t="s">
        <v>521</v>
      </c>
      <c r="C340" s="15" t="s">
        <v>1934</v>
      </c>
      <c r="D340" s="452">
        <f>'22. DICING'!$D$12</f>
        <v>2.4326790338804905E-4</v>
      </c>
      <c r="E340" s="276" t="s">
        <v>1498</v>
      </c>
      <c r="G340" s="2"/>
    </row>
    <row r="341" spans="1:7" x14ac:dyDescent="0.3">
      <c r="A341" s="1128" t="s">
        <v>292</v>
      </c>
      <c r="B341" s="1129"/>
      <c r="C341" s="1129"/>
      <c r="D341" s="1129"/>
      <c r="E341" s="1130"/>
    </row>
    <row r="342" spans="1:7" x14ac:dyDescent="0.3">
      <c r="A342" s="16" t="s">
        <v>322</v>
      </c>
      <c r="B342" s="18" t="s">
        <v>293</v>
      </c>
      <c r="C342" s="18"/>
      <c r="D342" s="27">
        <v>1</v>
      </c>
      <c r="E342" s="22"/>
    </row>
    <row r="343" spans="1:7" x14ac:dyDescent="0.3">
      <c r="A343" s="116" t="s">
        <v>961</v>
      </c>
      <c r="B343" s="112" t="s">
        <v>1845</v>
      </c>
      <c r="C343" s="112" t="s">
        <v>2318</v>
      </c>
      <c r="D343" s="115">
        <f>($D$334/$D$329)</f>
        <v>2.8752776785140533E-4</v>
      </c>
      <c r="E343" s="282" t="s">
        <v>232</v>
      </c>
    </row>
    <row r="344" spans="1:7" x14ac:dyDescent="0.3">
      <c r="A344" s="116" t="s">
        <v>961</v>
      </c>
      <c r="B344" s="112" t="s">
        <v>1845</v>
      </c>
      <c r="C344" s="112" t="s">
        <v>2319</v>
      </c>
      <c r="D344" s="124">
        <f>($D$337/$D$329)</f>
        <v>1.3732630568494202E-4</v>
      </c>
      <c r="E344" s="282" t="s">
        <v>232</v>
      </c>
    </row>
    <row r="345" spans="1:7" x14ac:dyDescent="0.3">
      <c r="A345" s="116" t="s">
        <v>961</v>
      </c>
      <c r="B345" s="112" t="s">
        <v>1845</v>
      </c>
      <c r="C345" s="112" t="s">
        <v>2320</v>
      </c>
      <c r="D345" s="124">
        <f>($D$339/$D$329)</f>
        <v>1.530398380214217E-7</v>
      </c>
      <c r="E345" s="282" t="s">
        <v>232</v>
      </c>
    </row>
    <row r="346" spans="1:7" x14ac:dyDescent="0.3">
      <c r="A346" s="112" t="s">
        <v>1957</v>
      </c>
      <c r="B346" s="112" t="s">
        <v>521</v>
      </c>
      <c r="C346" s="112" t="s">
        <v>2313</v>
      </c>
      <c r="D346" s="124">
        <f>SUM($D$335:$D$336)</f>
        <v>1.0821603795289441E-3</v>
      </c>
      <c r="E346" s="282" t="s">
        <v>232</v>
      </c>
    </row>
    <row r="347" spans="1:7" x14ac:dyDescent="0.3">
      <c r="A347" s="112" t="s">
        <v>1957</v>
      </c>
      <c r="B347" s="112" t="s">
        <v>521</v>
      </c>
      <c r="C347" s="112" t="s">
        <v>2314</v>
      </c>
      <c r="D347" s="124">
        <f>$D$338</f>
        <v>5.3297308735630032E-4</v>
      </c>
      <c r="E347" s="282" t="s">
        <v>232</v>
      </c>
    </row>
    <row r="348" spans="1:7" ht="15" thickBot="1" x14ac:dyDescent="0.35">
      <c r="A348" s="133" t="s">
        <v>1957</v>
      </c>
      <c r="B348" s="547" t="s">
        <v>521</v>
      </c>
      <c r="C348" s="112" t="s">
        <v>2315</v>
      </c>
      <c r="D348" s="114">
        <f>$D$340</f>
        <v>2.4326790338804905E-4</v>
      </c>
      <c r="E348" s="283" t="s">
        <v>232</v>
      </c>
    </row>
    <row r="349" spans="1:7" x14ac:dyDescent="0.3">
      <c r="A349" s="1140"/>
      <c r="B349" s="1141"/>
      <c r="C349" s="1141"/>
      <c r="D349" s="1141"/>
      <c r="E349" s="1142"/>
    </row>
    <row r="350" spans="1:7" ht="15" thickBot="1" x14ac:dyDescent="0.35">
      <c r="A350" s="1150"/>
      <c r="B350" s="1151"/>
      <c r="C350" s="1151"/>
      <c r="D350" s="1151"/>
      <c r="E350" s="1152"/>
    </row>
    <row r="351" spans="1:7" ht="30" customHeight="1" thickBot="1" x14ac:dyDescent="0.35">
      <c r="A351" s="638" t="s">
        <v>1919</v>
      </c>
      <c r="B351" s="753" t="s">
        <v>142</v>
      </c>
      <c r="C351" s="754" t="s">
        <v>256</v>
      </c>
      <c r="D351" s="755" t="s">
        <v>236</v>
      </c>
      <c r="E351" s="756" t="s">
        <v>212</v>
      </c>
    </row>
    <row r="352" spans="1:7" x14ac:dyDescent="0.3">
      <c r="A352" s="29" t="s">
        <v>536</v>
      </c>
      <c r="B352" s="19" t="s">
        <v>225</v>
      </c>
      <c r="C352" s="19"/>
      <c r="D352" s="172"/>
      <c r="E352" s="24"/>
    </row>
    <row r="353" spans="1:5" x14ac:dyDescent="0.3">
      <c r="A353" s="578" t="s">
        <v>603</v>
      </c>
      <c r="B353" s="927" t="s">
        <v>214</v>
      </c>
      <c r="C353" s="543" t="s">
        <v>1927</v>
      </c>
      <c r="D353" s="928">
        <f>'1. USER INPUTS'!$E$31</f>
        <v>0.5</v>
      </c>
      <c r="E353" s="579" t="s">
        <v>398</v>
      </c>
    </row>
    <row r="354" spans="1:5" x14ac:dyDescent="0.3">
      <c r="A354" s="16" t="s">
        <v>1771</v>
      </c>
      <c r="B354" s="18" t="s">
        <v>534</v>
      </c>
      <c r="C354" s="47" t="s">
        <v>2354</v>
      </c>
      <c r="D354" s="161">
        <f>0.269</f>
        <v>0.26900000000000002</v>
      </c>
      <c r="E354" s="22" t="s">
        <v>1763</v>
      </c>
    </row>
    <row r="355" spans="1:5" x14ac:dyDescent="0.3">
      <c r="A355" s="1125" t="s">
        <v>291</v>
      </c>
      <c r="B355" s="1126"/>
      <c r="C355" s="1126"/>
      <c r="D355" s="1126"/>
      <c r="E355" s="1127"/>
    </row>
    <row r="356" spans="1:5" ht="15" thickBot="1" x14ac:dyDescent="0.35">
      <c r="A356" s="46" t="s">
        <v>716</v>
      </c>
      <c r="B356" s="47" t="s">
        <v>132</v>
      </c>
      <c r="C356" s="47" t="s">
        <v>1961</v>
      </c>
      <c r="D356" s="261">
        <f>$D$354*SUM($D$357:$D$374)</f>
        <v>5.3402858141853209E-3</v>
      </c>
      <c r="E356" s="850" t="s">
        <v>232</v>
      </c>
    </row>
    <row r="357" spans="1:5" x14ac:dyDescent="0.3">
      <c r="A357" s="798" t="s">
        <v>1957</v>
      </c>
      <c r="B357" s="799" t="s">
        <v>521</v>
      </c>
      <c r="C357" s="799" t="s">
        <v>2364</v>
      </c>
      <c r="D357" s="800">
        <f>$D$241</f>
        <v>1.8250821197668549E-6</v>
      </c>
      <c r="E357" s="801" t="s">
        <v>2282</v>
      </c>
    </row>
    <row r="358" spans="1:5" x14ac:dyDescent="0.3">
      <c r="A358" s="293" t="s">
        <v>1957</v>
      </c>
      <c r="B358" s="15" t="s">
        <v>521</v>
      </c>
      <c r="C358" s="15" t="s">
        <v>2384</v>
      </c>
      <c r="D358" s="107">
        <f>$D$242</f>
        <v>4.5627052994171372E-7</v>
      </c>
      <c r="E358" s="276" t="s">
        <v>2282</v>
      </c>
    </row>
    <row r="359" spans="1:5" x14ac:dyDescent="0.3">
      <c r="A359" s="293" t="s">
        <v>1957</v>
      </c>
      <c r="B359" s="15" t="s">
        <v>521</v>
      </c>
      <c r="C359" s="15" t="s">
        <v>2376</v>
      </c>
      <c r="D359" s="107">
        <f>$D$243</f>
        <v>4.3221109702767925E-5</v>
      </c>
      <c r="E359" s="276" t="s">
        <v>2282</v>
      </c>
    </row>
    <row r="360" spans="1:5" x14ac:dyDescent="0.3">
      <c r="A360" s="293" t="s">
        <v>1957</v>
      </c>
      <c r="B360" s="15" t="s">
        <v>521</v>
      </c>
      <c r="C360" s="15" t="s">
        <v>2378</v>
      </c>
      <c r="D360" s="107">
        <f>$D$244</f>
        <v>1.4879255233569081E-5</v>
      </c>
      <c r="E360" s="276" t="s">
        <v>2282</v>
      </c>
    </row>
    <row r="361" spans="1:5" x14ac:dyDescent="0.3">
      <c r="A361" s="293" t="s">
        <v>1957</v>
      </c>
      <c r="B361" s="15" t="s">
        <v>521</v>
      </c>
      <c r="C361" s="15" t="s">
        <v>2379</v>
      </c>
      <c r="D361" s="107">
        <f>$D$245</f>
        <v>5.0084447323936042E-4</v>
      </c>
      <c r="E361" s="276" t="s">
        <v>2282</v>
      </c>
    </row>
    <row r="362" spans="1:5" x14ac:dyDescent="0.3">
      <c r="A362" s="293" t="s">
        <v>1957</v>
      </c>
      <c r="B362" s="15" t="s">
        <v>521</v>
      </c>
      <c r="C362" s="15" t="s">
        <v>2380</v>
      </c>
      <c r="D362" s="107">
        <f>$D$246</f>
        <v>1.0533372880041895E-7</v>
      </c>
      <c r="E362" s="276" t="s">
        <v>2282</v>
      </c>
    </row>
    <row r="363" spans="1:5" x14ac:dyDescent="0.3">
      <c r="A363" s="293" t="s">
        <v>1957</v>
      </c>
      <c r="B363" s="15" t="s">
        <v>521</v>
      </c>
      <c r="C363" s="15" t="s">
        <v>2381</v>
      </c>
      <c r="D363" s="107">
        <f>$D$247</f>
        <v>3.4302418957296645E-7</v>
      </c>
      <c r="E363" s="276" t="s">
        <v>2282</v>
      </c>
    </row>
    <row r="364" spans="1:5" x14ac:dyDescent="0.3">
      <c r="A364" s="293" t="s">
        <v>1957</v>
      </c>
      <c r="B364" s="15" t="s">
        <v>521</v>
      </c>
      <c r="C364" s="15" t="s">
        <v>2382</v>
      </c>
      <c r="D364" s="107">
        <f>$D$248</f>
        <v>1.0321831840129177E-4</v>
      </c>
      <c r="E364" s="276" t="s">
        <v>2282</v>
      </c>
    </row>
    <row r="365" spans="1:5" ht="15" thickBot="1" x14ac:dyDescent="0.35">
      <c r="A365" s="793" t="s">
        <v>1957</v>
      </c>
      <c r="B365" s="794" t="s">
        <v>521</v>
      </c>
      <c r="C365" s="794" t="s">
        <v>2383</v>
      </c>
      <c r="D365" s="795">
        <f>$D$249</f>
        <v>5.4752463593005627E-6</v>
      </c>
      <c r="E365" s="802" t="s">
        <v>2282</v>
      </c>
    </row>
    <row r="366" spans="1:5" x14ac:dyDescent="0.3">
      <c r="A366" s="798" t="s">
        <v>1957</v>
      </c>
      <c r="B366" s="799" t="s">
        <v>521</v>
      </c>
      <c r="C366" s="555" t="s">
        <v>2337</v>
      </c>
      <c r="D366" s="803">
        <f>$D$320</f>
        <v>3.5709509205124608E-3</v>
      </c>
      <c r="E366" s="804" t="s">
        <v>1819</v>
      </c>
    </row>
    <row r="367" spans="1:5" x14ac:dyDescent="0.3">
      <c r="A367" s="293" t="s">
        <v>1957</v>
      </c>
      <c r="B367" s="15" t="s">
        <v>521</v>
      </c>
      <c r="C367" s="262" t="s">
        <v>2344</v>
      </c>
      <c r="D367" s="286">
        <f>$D$321</f>
        <v>3.7666562311706985E-5</v>
      </c>
      <c r="E367" s="479" t="s">
        <v>1819</v>
      </c>
    </row>
    <row r="368" spans="1:5" x14ac:dyDescent="0.3">
      <c r="A368" s="293" t="s">
        <v>1957</v>
      </c>
      <c r="B368" s="15" t="s">
        <v>521</v>
      </c>
      <c r="C368" s="262" t="s">
        <v>2345</v>
      </c>
      <c r="D368" s="286">
        <f>$D$322</f>
        <v>2.4703857298787407E-7</v>
      </c>
      <c r="E368" s="479" t="s">
        <v>1819</v>
      </c>
    </row>
    <row r="369" spans="1:5" ht="15" thickBot="1" x14ac:dyDescent="0.35">
      <c r="A369" s="793" t="s">
        <v>1957</v>
      </c>
      <c r="B369" s="794" t="s">
        <v>521</v>
      </c>
      <c r="C369" s="805" t="s">
        <v>2336</v>
      </c>
      <c r="D369" s="806">
        <f>$D$323</f>
        <v>1.4108813393143575E-5</v>
      </c>
      <c r="E369" s="807" t="s">
        <v>1819</v>
      </c>
    </row>
    <row r="370" spans="1:5" x14ac:dyDescent="0.3">
      <c r="A370" s="798" t="s">
        <v>1957</v>
      </c>
      <c r="B370" s="799" t="s">
        <v>521</v>
      </c>
      <c r="C370" s="799" t="s">
        <v>2313</v>
      </c>
      <c r="D370" s="808">
        <f>$D$346</f>
        <v>1.0821603795289441E-3</v>
      </c>
      <c r="E370" s="809" t="s">
        <v>837</v>
      </c>
    </row>
    <row r="371" spans="1:5" x14ac:dyDescent="0.3">
      <c r="A371" s="293" t="s">
        <v>1957</v>
      </c>
      <c r="B371" s="15" t="s">
        <v>521</v>
      </c>
      <c r="C371" s="15" t="s">
        <v>2330</v>
      </c>
      <c r="D371" s="452">
        <f>$D$347</f>
        <v>5.3297308735630032E-4</v>
      </c>
      <c r="E371" s="320" t="s">
        <v>837</v>
      </c>
    </row>
    <row r="372" spans="1:5" ht="15" thickBot="1" x14ac:dyDescent="0.35">
      <c r="A372" s="793" t="s">
        <v>1957</v>
      </c>
      <c r="B372" s="794" t="s">
        <v>521</v>
      </c>
      <c r="C372" s="794" t="s">
        <v>2329</v>
      </c>
      <c r="D372" s="795">
        <f>$D$348</f>
        <v>2.4326790338804905E-4</v>
      </c>
      <c r="E372" s="796" t="s">
        <v>837</v>
      </c>
    </row>
    <row r="373" spans="1:5" ht="15" thickBot="1" x14ac:dyDescent="0.35">
      <c r="A373" s="815" t="s">
        <v>1957</v>
      </c>
      <c r="B373" s="816" t="s">
        <v>521</v>
      </c>
      <c r="C373" s="817" t="s">
        <v>2331</v>
      </c>
      <c r="D373" s="818">
        <f>$D$431</f>
        <v>2.9367607756810663E-3</v>
      </c>
      <c r="E373" s="819" t="s">
        <v>125</v>
      </c>
    </row>
    <row r="374" spans="1:5" ht="15" thickBot="1" x14ac:dyDescent="0.35">
      <c r="A374" s="810" t="s">
        <v>1957</v>
      </c>
      <c r="B374" s="811" t="s">
        <v>521</v>
      </c>
      <c r="C374" s="812" t="s">
        <v>2332</v>
      </c>
      <c r="D374" s="813">
        <f>$D$456</f>
        <v>1.0763860027257738E-2</v>
      </c>
      <c r="E374" s="814" t="s">
        <v>124</v>
      </c>
    </row>
    <row r="375" spans="1:5" x14ac:dyDescent="0.3">
      <c r="A375" s="1131" t="s">
        <v>292</v>
      </c>
      <c r="B375" s="1175"/>
      <c r="C375" s="1175"/>
      <c r="D375" s="1175"/>
      <c r="E375" s="1176"/>
    </row>
    <row r="376" spans="1:5" ht="15" thickBot="1" x14ac:dyDescent="0.35">
      <c r="A376" s="46" t="s">
        <v>322</v>
      </c>
      <c r="B376" s="47" t="s">
        <v>293</v>
      </c>
      <c r="C376" s="47"/>
      <c r="D376" s="147">
        <v>1</v>
      </c>
      <c r="E376" s="34"/>
    </row>
    <row r="377" spans="1:5" x14ac:dyDescent="0.3">
      <c r="A377" s="820" t="s">
        <v>1956</v>
      </c>
      <c r="B377" s="821" t="s">
        <v>521</v>
      </c>
      <c r="C377" s="822" t="s">
        <v>2374</v>
      </c>
      <c r="D377" s="823">
        <f>$D$357</f>
        <v>1.8250821197668549E-6</v>
      </c>
      <c r="E377" s="824" t="s">
        <v>232</v>
      </c>
    </row>
    <row r="378" spans="1:5" x14ac:dyDescent="0.3">
      <c r="A378" s="116" t="s">
        <v>1968</v>
      </c>
      <c r="B378" s="113" t="s">
        <v>521</v>
      </c>
      <c r="C378" s="113" t="s">
        <v>2375</v>
      </c>
      <c r="D378" s="115">
        <f>$D$357*(1-$D$353)</f>
        <v>9.1254105988342743E-7</v>
      </c>
      <c r="E378" s="506" t="s">
        <v>232</v>
      </c>
    </row>
    <row r="379" spans="1:5" x14ac:dyDescent="0.3">
      <c r="A379" s="116" t="s">
        <v>1956</v>
      </c>
      <c r="B379" s="113" t="s">
        <v>521</v>
      </c>
      <c r="C379" s="112" t="s">
        <v>2385</v>
      </c>
      <c r="D379" s="115">
        <f>$D$358</f>
        <v>4.5627052994171372E-7</v>
      </c>
      <c r="E379" s="506" t="s">
        <v>232</v>
      </c>
    </row>
    <row r="380" spans="1:5" x14ac:dyDescent="0.3">
      <c r="A380" s="116" t="s">
        <v>1968</v>
      </c>
      <c r="B380" s="113" t="s">
        <v>521</v>
      </c>
      <c r="C380" s="112" t="s">
        <v>2386</v>
      </c>
      <c r="D380" s="115">
        <f>$D$358*(1-$D$353)</f>
        <v>2.2813526497085686E-7</v>
      </c>
      <c r="E380" s="506" t="s">
        <v>232</v>
      </c>
    </row>
    <row r="381" spans="1:5" x14ac:dyDescent="0.3">
      <c r="A381" s="116" t="s">
        <v>1956</v>
      </c>
      <c r="B381" s="113" t="s">
        <v>521</v>
      </c>
      <c r="C381" s="112" t="s">
        <v>2387</v>
      </c>
      <c r="D381" s="115">
        <f>$D$359</f>
        <v>4.3221109702767925E-5</v>
      </c>
      <c r="E381" s="506" t="s">
        <v>232</v>
      </c>
    </row>
    <row r="382" spans="1:5" x14ac:dyDescent="0.3">
      <c r="A382" s="116" t="s">
        <v>1968</v>
      </c>
      <c r="B382" s="113" t="s">
        <v>521</v>
      </c>
      <c r="C382" s="112" t="s">
        <v>2388</v>
      </c>
      <c r="D382" s="115">
        <f>$D$359*(1-$D$353)</f>
        <v>2.1610554851383963E-5</v>
      </c>
      <c r="E382" s="506" t="s">
        <v>232</v>
      </c>
    </row>
    <row r="383" spans="1:5" x14ac:dyDescent="0.3">
      <c r="A383" s="116" t="s">
        <v>1956</v>
      </c>
      <c r="B383" s="113" t="s">
        <v>521</v>
      </c>
      <c r="C383" s="112" t="s">
        <v>2389</v>
      </c>
      <c r="D383" s="115">
        <f>$D$360</f>
        <v>1.4879255233569081E-5</v>
      </c>
      <c r="E383" s="506" t="s">
        <v>232</v>
      </c>
    </row>
    <row r="384" spans="1:5" x14ac:dyDescent="0.3">
      <c r="A384" s="116" t="s">
        <v>1968</v>
      </c>
      <c r="B384" s="113" t="s">
        <v>521</v>
      </c>
      <c r="C384" s="112" t="s">
        <v>2390</v>
      </c>
      <c r="D384" s="115">
        <f>$D$360*(1-$D$353)</f>
        <v>7.4396276167845407E-6</v>
      </c>
      <c r="E384" s="506" t="s">
        <v>232</v>
      </c>
    </row>
    <row r="385" spans="1:5" x14ac:dyDescent="0.3">
      <c r="A385" s="116" t="s">
        <v>1956</v>
      </c>
      <c r="B385" s="113" t="s">
        <v>521</v>
      </c>
      <c r="C385" s="112" t="s">
        <v>2391</v>
      </c>
      <c r="D385" s="115">
        <f>$D$361</f>
        <v>5.0084447323936042E-4</v>
      </c>
      <c r="E385" s="506" t="s">
        <v>232</v>
      </c>
    </row>
    <row r="386" spans="1:5" x14ac:dyDescent="0.3">
      <c r="A386" s="116" t="s">
        <v>1968</v>
      </c>
      <c r="B386" s="113" t="s">
        <v>521</v>
      </c>
      <c r="C386" s="112" t="s">
        <v>2392</v>
      </c>
      <c r="D386" s="115">
        <f>$D$361*(1-$D$353)</f>
        <v>2.5042223661968021E-4</v>
      </c>
      <c r="E386" s="506" t="s">
        <v>232</v>
      </c>
    </row>
    <row r="387" spans="1:5" x14ac:dyDescent="0.3">
      <c r="A387" s="116" t="s">
        <v>1956</v>
      </c>
      <c r="B387" s="113" t="s">
        <v>521</v>
      </c>
      <c r="C387" s="112" t="s">
        <v>2393</v>
      </c>
      <c r="D387" s="115">
        <f>$D$362</f>
        <v>1.0533372880041895E-7</v>
      </c>
      <c r="E387" s="506" t="s">
        <v>232</v>
      </c>
    </row>
    <row r="388" spans="1:5" x14ac:dyDescent="0.3">
      <c r="A388" s="116" t="s">
        <v>1968</v>
      </c>
      <c r="B388" s="113" t="s">
        <v>521</v>
      </c>
      <c r="C388" s="112" t="s">
        <v>2394</v>
      </c>
      <c r="D388" s="115">
        <f>$D$362*(1-$D$353)</f>
        <v>5.2666864400209476E-8</v>
      </c>
      <c r="E388" s="506" t="s">
        <v>232</v>
      </c>
    </row>
    <row r="389" spans="1:5" x14ac:dyDescent="0.3">
      <c r="A389" s="116" t="s">
        <v>1956</v>
      </c>
      <c r="B389" s="113" t="s">
        <v>521</v>
      </c>
      <c r="C389" s="112" t="s">
        <v>2395</v>
      </c>
      <c r="D389" s="115">
        <f>$D$363</f>
        <v>3.4302418957296645E-7</v>
      </c>
      <c r="E389" s="506" t="s">
        <v>232</v>
      </c>
    </row>
    <row r="390" spans="1:5" x14ac:dyDescent="0.3">
      <c r="A390" s="116" t="s">
        <v>1968</v>
      </c>
      <c r="B390" s="113" t="s">
        <v>521</v>
      </c>
      <c r="C390" s="112" t="s">
        <v>2396</v>
      </c>
      <c r="D390" s="115">
        <f>$D$363*(1-$D$353)</f>
        <v>1.7151209478648322E-7</v>
      </c>
      <c r="E390" s="506" t="s">
        <v>232</v>
      </c>
    </row>
    <row r="391" spans="1:5" x14ac:dyDescent="0.3">
      <c r="A391" s="116" t="s">
        <v>1956</v>
      </c>
      <c r="B391" s="113" t="s">
        <v>521</v>
      </c>
      <c r="C391" s="112" t="s">
        <v>2397</v>
      </c>
      <c r="D391" s="115">
        <f>$D$364</f>
        <v>1.0321831840129177E-4</v>
      </c>
      <c r="E391" s="506" t="s">
        <v>232</v>
      </c>
    </row>
    <row r="392" spans="1:5" x14ac:dyDescent="0.3">
      <c r="A392" s="116" t="s">
        <v>1968</v>
      </c>
      <c r="B392" s="113" t="s">
        <v>521</v>
      </c>
      <c r="C392" s="112" t="s">
        <v>2398</v>
      </c>
      <c r="D392" s="115">
        <f>$D$364*(1-$D$353)</f>
        <v>5.1609159200645885E-5</v>
      </c>
      <c r="E392" s="506" t="s">
        <v>232</v>
      </c>
    </row>
    <row r="393" spans="1:5" x14ac:dyDescent="0.3">
      <c r="A393" s="116" t="s">
        <v>1956</v>
      </c>
      <c r="B393" s="113" t="s">
        <v>521</v>
      </c>
      <c r="C393" s="112" t="s">
        <v>2399</v>
      </c>
      <c r="D393" s="115">
        <f>$D$365</f>
        <v>5.4752463593005627E-6</v>
      </c>
      <c r="E393" s="506" t="s">
        <v>232</v>
      </c>
    </row>
    <row r="394" spans="1:5" ht="15" thickBot="1" x14ac:dyDescent="0.35">
      <c r="A394" s="110" t="s">
        <v>1968</v>
      </c>
      <c r="B394" s="111" t="s">
        <v>521</v>
      </c>
      <c r="C394" s="111" t="s">
        <v>2400</v>
      </c>
      <c r="D394" s="114">
        <f>$D$365*(1-$D$353)</f>
        <v>2.7376231796502813E-6</v>
      </c>
      <c r="E394" s="321" t="s">
        <v>232</v>
      </c>
    </row>
    <row r="395" spans="1:5" x14ac:dyDescent="0.3">
      <c r="A395" s="539" t="s">
        <v>1956</v>
      </c>
      <c r="B395" s="546" t="s">
        <v>521</v>
      </c>
      <c r="C395" s="294" t="s">
        <v>2346</v>
      </c>
      <c r="D395" s="825">
        <f>$D$366</f>
        <v>3.5709509205124608E-3</v>
      </c>
      <c r="E395" s="826" t="s">
        <v>232</v>
      </c>
    </row>
    <row r="396" spans="1:5" x14ac:dyDescent="0.3">
      <c r="A396" s="116" t="s">
        <v>1968</v>
      </c>
      <c r="B396" s="113" t="s">
        <v>521</v>
      </c>
      <c r="C396" s="112" t="s">
        <v>2347</v>
      </c>
      <c r="D396" s="124">
        <f>$D$366*(1-$D$353)</f>
        <v>1.7854754602562304E-3</v>
      </c>
      <c r="E396" s="506" t="s">
        <v>232</v>
      </c>
    </row>
    <row r="397" spans="1:5" x14ac:dyDescent="0.3">
      <c r="A397" s="116" t="s">
        <v>1956</v>
      </c>
      <c r="B397" s="113" t="s">
        <v>521</v>
      </c>
      <c r="C397" s="112" t="s">
        <v>2348</v>
      </c>
      <c r="D397" s="124">
        <f>$D$367</f>
        <v>3.7666562311706985E-5</v>
      </c>
      <c r="E397" s="506" t="s">
        <v>232</v>
      </c>
    </row>
    <row r="398" spans="1:5" x14ac:dyDescent="0.3">
      <c r="A398" s="116" t="s">
        <v>1968</v>
      </c>
      <c r="B398" s="113" t="s">
        <v>521</v>
      </c>
      <c r="C398" s="112" t="s">
        <v>2349</v>
      </c>
      <c r="D398" s="124">
        <f>$D$367*(1-$D$353)</f>
        <v>1.8833281155853493E-5</v>
      </c>
      <c r="E398" s="506" t="s">
        <v>232</v>
      </c>
    </row>
    <row r="399" spans="1:5" x14ac:dyDescent="0.3">
      <c r="A399" s="116" t="s">
        <v>1956</v>
      </c>
      <c r="B399" s="113" t="s">
        <v>521</v>
      </c>
      <c r="C399" s="112" t="s">
        <v>2350</v>
      </c>
      <c r="D399" s="124">
        <f>$D$368</f>
        <v>2.4703857298787407E-7</v>
      </c>
      <c r="E399" s="506" t="s">
        <v>232</v>
      </c>
    </row>
    <row r="400" spans="1:5" x14ac:dyDescent="0.3">
      <c r="A400" s="116" t="s">
        <v>1968</v>
      </c>
      <c r="B400" s="113" t="s">
        <v>521</v>
      </c>
      <c r="C400" s="112" t="s">
        <v>2351</v>
      </c>
      <c r="D400" s="124">
        <f>$D$368*(1-$D$353)</f>
        <v>1.2351928649393703E-7</v>
      </c>
      <c r="E400" s="506" t="s">
        <v>232</v>
      </c>
    </row>
    <row r="401" spans="1:5" x14ac:dyDescent="0.3">
      <c r="A401" s="116" t="s">
        <v>1956</v>
      </c>
      <c r="B401" s="113" t="s">
        <v>521</v>
      </c>
      <c r="C401" s="112" t="s">
        <v>2352</v>
      </c>
      <c r="D401" s="124">
        <f>$D$369</f>
        <v>1.4108813393143575E-5</v>
      </c>
      <c r="E401" s="506" t="s">
        <v>232</v>
      </c>
    </row>
    <row r="402" spans="1:5" ht="15" thickBot="1" x14ac:dyDescent="0.35">
      <c r="A402" s="110" t="s">
        <v>1968</v>
      </c>
      <c r="B402" s="111" t="s">
        <v>521</v>
      </c>
      <c r="C402" s="111" t="s">
        <v>2353</v>
      </c>
      <c r="D402" s="114">
        <f>$D$369*(1-$D$353)</f>
        <v>7.0544066965717874E-6</v>
      </c>
      <c r="E402" s="321" t="s">
        <v>232</v>
      </c>
    </row>
    <row r="403" spans="1:5" x14ac:dyDescent="0.3">
      <c r="A403" s="820" t="s">
        <v>1956</v>
      </c>
      <c r="B403" s="821" t="s">
        <v>521</v>
      </c>
      <c r="C403" s="822" t="s">
        <v>2322</v>
      </c>
      <c r="D403" s="827">
        <f>$D$370</f>
        <v>1.0821603795289441E-3</v>
      </c>
      <c r="E403" s="824" t="s">
        <v>232</v>
      </c>
    </row>
    <row r="404" spans="1:5" x14ac:dyDescent="0.3">
      <c r="A404" s="116" t="s">
        <v>1968</v>
      </c>
      <c r="B404" s="113" t="s">
        <v>521</v>
      </c>
      <c r="C404" s="112" t="s">
        <v>2325</v>
      </c>
      <c r="D404" s="124">
        <f>$D$370*(1-$D$353)</f>
        <v>5.4108018976447203E-4</v>
      </c>
      <c r="E404" s="506" t="s">
        <v>232</v>
      </c>
    </row>
    <row r="405" spans="1:5" x14ac:dyDescent="0.3">
      <c r="A405" s="116" t="s">
        <v>1956</v>
      </c>
      <c r="B405" s="113" t="s">
        <v>521</v>
      </c>
      <c r="C405" s="112" t="s">
        <v>2323</v>
      </c>
      <c r="D405" s="124">
        <f>$D$371</f>
        <v>5.3297308735630032E-4</v>
      </c>
      <c r="E405" s="506" t="s">
        <v>232</v>
      </c>
    </row>
    <row r="406" spans="1:5" x14ac:dyDescent="0.3">
      <c r="A406" s="116" t="s">
        <v>1968</v>
      </c>
      <c r="B406" s="113" t="s">
        <v>521</v>
      </c>
      <c r="C406" s="112" t="s">
        <v>2326</v>
      </c>
      <c r="D406" s="124">
        <f>$D$371*(1-$D$353)</f>
        <v>2.6648654367815016E-4</v>
      </c>
      <c r="E406" s="506" t="s">
        <v>232</v>
      </c>
    </row>
    <row r="407" spans="1:5" x14ac:dyDescent="0.3">
      <c r="A407" s="116" t="s">
        <v>1956</v>
      </c>
      <c r="B407" s="113" t="s">
        <v>521</v>
      </c>
      <c r="C407" s="112" t="s">
        <v>2324</v>
      </c>
      <c r="D407" s="124">
        <f>$D$372</f>
        <v>2.4326790338804905E-4</v>
      </c>
      <c r="E407" s="506" t="s">
        <v>232</v>
      </c>
    </row>
    <row r="408" spans="1:5" ht="15" thickBot="1" x14ac:dyDescent="0.35">
      <c r="A408" s="110" t="s">
        <v>1968</v>
      </c>
      <c r="B408" s="111" t="s">
        <v>521</v>
      </c>
      <c r="C408" s="111" t="s">
        <v>2327</v>
      </c>
      <c r="D408" s="114">
        <f>$D$372*(1-$D$353)</f>
        <v>1.2163395169402452E-4</v>
      </c>
      <c r="E408" s="321" t="s">
        <v>232</v>
      </c>
    </row>
    <row r="409" spans="1:5" x14ac:dyDescent="0.3">
      <c r="A409" s="820" t="s">
        <v>1956</v>
      </c>
      <c r="B409" s="821" t="s">
        <v>521</v>
      </c>
      <c r="C409" s="822" t="s">
        <v>2333</v>
      </c>
      <c r="D409" s="827">
        <f>$D$373</f>
        <v>2.9367607756810663E-3</v>
      </c>
      <c r="E409" s="824" t="s">
        <v>232</v>
      </c>
    </row>
    <row r="410" spans="1:5" ht="15" thickBot="1" x14ac:dyDescent="0.35">
      <c r="A410" s="110" t="s">
        <v>1968</v>
      </c>
      <c r="B410" s="111" t="s">
        <v>521</v>
      </c>
      <c r="C410" s="111" t="s">
        <v>2334</v>
      </c>
      <c r="D410" s="114">
        <f>$D$373*(1-$D$353)</f>
        <v>1.4683803878405332E-3</v>
      </c>
      <c r="E410" s="321" t="s">
        <v>232</v>
      </c>
    </row>
    <row r="411" spans="1:5" x14ac:dyDescent="0.3">
      <c r="A411" s="294" t="s">
        <v>1956</v>
      </c>
      <c r="B411" s="546" t="s">
        <v>521</v>
      </c>
      <c r="C411" s="294" t="s">
        <v>2328</v>
      </c>
      <c r="D411" s="825">
        <f>$D$374</f>
        <v>1.0763860027257738E-2</v>
      </c>
      <c r="E411" s="826" t="s">
        <v>232</v>
      </c>
    </row>
    <row r="412" spans="1:5" ht="15" customHeight="1" x14ac:dyDescent="0.3">
      <c r="A412" s="112" t="s">
        <v>1968</v>
      </c>
      <c r="B412" s="112" t="s">
        <v>521</v>
      </c>
      <c r="C412" s="112" t="s">
        <v>2335</v>
      </c>
      <c r="D412" s="124">
        <f>$D$374*(1-$D$353)</f>
        <v>5.3819300136288689E-3</v>
      </c>
      <c r="E412" s="506" t="s">
        <v>232</v>
      </c>
    </row>
    <row r="413" spans="1:5" ht="15" thickBot="1" x14ac:dyDescent="0.35">
      <c r="A413" s="112" t="s">
        <v>1882</v>
      </c>
      <c r="B413" s="113" t="s">
        <v>521</v>
      </c>
      <c r="C413" s="113" t="s">
        <v>1928</v>
      </c>
      <c r="D413" s="124">
        <f>0.0096</f>
        <v>9.5999999999999992E-3</v>
      </c>
      <c r="E413" s="577" t="s">
        <v>1763</v>
      </c>
    </row>
    <row r="414" spans="1:5" x14ac:dyDescent="0.3">
      <c r="A414" s="1140"/>
      <c r="B414" s="1141"/>
      <c r="C414" s="1141"/>
      <c r="D414" s="1141"/>
      <c r="E414" s="1142"/>
    </row>
    <row r="415" spans="1:5" ht="15" thickBot="1" x14ac:dyDescent="0.35">
      <c r="A415" s="1143"/>
      <c r="B415" s="1144"/>
      <c r="C415" s="1144"/>
      <c r="D415" s="1144"/>
      <c r="E415" s="1145"/>
    </row>
    <row r="416" spans="1:5" ht="30" customHeight="1" thickBot="1" x14ac:dyDescent="0.35">
      <c r="A416" s="644" t="s">
        <v>2160</v>
      </c>
      <c r="B416" s="760" t="s">
        <v>142</v>
      </c>
      <c r="C416" s="761" t="s">
        <v>256</v>
      </c>
      <c r="D416" s="762" t="s">
        <v>236</v>
      </c>
      <c r="E416" s="763" t="s">
        <v>212</v>
      </c>
    </row>
    <row r="417" spans="1:5" x14ac:dyDescent="0.3">
      <c r="A417" s="29" t="s">
        <v>536</v>
      </c>
      <c r="B417" s="19" t="s">
        <v>225</v>
      </c>
      <c r="C417" s="19" t="s">
        <v>653</v>
      </c>
      <c r="D417" s="136"/>
      <c r="E417" s="24"/>
    </row>
    <row r="418" spans="1:5" x14ac:dyDescent="0.3">
      <c r="A418" s="16" t="s">
        <v>602</v>
      </c>
      <c r="B418" s="48" t="s">
        <v>214</v>
      </c>
      <c r="C418" s="18" t="s">
        <v>1765</v>
      </c>
      <c r="D418" s="470">
        <v>0.66500000000000004</v>
      </c>
      <c r="E418" s="22" t="s">
        <v>459</v>
      </c>
    </row>
    <row r="419" spans="1:5" x14ac:dyDescent="0.3">
      <c r="A419" s="16" t="s">
        <v>657</v>
      </c>
      <c r="B419" s="48" t="s">
        <v>658</v>
      </c>
      <c r="C419" s="18"/>
      <c r="D419" s="27">
        <v>2</v>
      </c>
      <c r="E419" s="22" t="s">
        <v>748</v>
      </c>
    </row>
    <row r="420" spans="1:5" x14ac:dyDescent="0.3">
      <c r="A420" s="16" t="s">
        <v>1768</v>
      </c>
      <c r="B420" s="18" t="s">
        <v>534</v>
      </c>
      <c r="C420" s="18" t="s">
        <v>1766</v>
      </c>
      <c r="D420" s="27">
        <v>9</v>
      </c>
      <c r="E420" s="22" t="s">
        <v>655</v>
      </c>
    </row>
    <row r="421" spans="1:5" x14ac:dyDescent="0.3">
      <c r="A421" s="16" t="s">
        <v>605</v>
      </c>
      <c r="B421" s="18" t="s">
        <v>128</v>
      </c>
      <c r="C421" s="18"/>
      <c r="D421" s="137">
        <f>SUM('13. WET CLEAN'!$D$12,'12. WET ETCH'!$D$7,'14. PHOTOLITHO.'!$D$11,'20. CMP'!$D$9,'21. THINNING'!$D$7,'22. DICING'!$D$7)</f>
        <v>5.829689300978834</v>
      </c>
      <c r="E421" s="22" t="s">
        <v>232</v>
      </c>
    </row>
    <row r="422" spans="1:5" x14ac:dyDescent="0.3">
      <c r="A422" s="16" t="s">
        <v>604</v>
      </c>
      <c r="B422" s="18" t="s">
        <v>128</v>
      </c>
      <c r="C422" s="18"/>
      <c r="D422" s="137">
        <f>$D$421/'1. USER INPUTS'!$E$23</f>
        <v>1356.8989516878087</v>
      </c>
      <c r="E422" s="22" t="s">
        <v>232</v>
      </c>
    </row>
    <row r="423" spans="1:5" x14ac:dyDescent="0.3">
      <c r="A423" s="16" t="s">
        <v>918</v>
      </c>
      <c r="B423" s="18" t="s">
        <v>128</v>
      </c>
      <c r="C423" s="18" t="s">
        <v>2034</v>
      </c>
      <c r="D423" s="134">
        <f>1/D418</f>
        <v>1.5037593984962405</v>
      </c>
      <c r="E423" s="22" t="s">
        <v>232</v>
      </c>
    </row>
    <row r="424" spans="1:5" x14ac:dyDescent="0.3">
      <c r="A424" s="16" t="s">
        <v>607</v>
      </c>
      <c r="B424" s="18" t="s">
        <v>128</v>
      </c>
      <c r="C424" s="18"/>
      <c r="D424" s="137">
        <f>$D$421*$D$423</f>
        <v>8.7664500766599005</v>
      </c>
      <c r="E424" s="22" t="s">
        <v>232</v>
      </c>
    </row>
    <row r="425" spans="1:5" x14ac:dyDescent="0.3">
      <c r="A425" s="16" t="s">
        <v>606</v>
      </c>
      <c r="B425" s="18" t="s">
        <v>128</v>
      </c>
      <c r="C425" s="18"/>
      <c r="D425" s="137">
        <f>$D$424/'1. USER INPUTS'!$E$23</f>
        <v>2040.4495514102384</v>
      </c>
      <c r="E425" s="22" t="s">
        <v>232</v>
      </c>
    </row>
    <row r="426" spans="1:5" x14ac:dyDescent="0.3">
      <c r="A426" s="1125" t="s">
        <v>291</v>
      </c>
      <c r="B426" s="1126"/>
      <c r="C426" s="1126"/>
      <c r="D426" s="1126"/>
      <c r="E426" s="1127"/>
    </row>
    <row r="427" spans="1:5" x14ac:dyDescent="0.3">
      <c r="A427" s="16" t="s">
        <v>713</v>
      </c>
      <c r="B427" s="18" t="s">
        <v>128</v>
      </c>
      <c r="C427" s="18" t="s">
        <v>712</v>
      </c>
      <c r="D427" s="137">
        <f>$D$424</f>
        <v>8.7664500766599005</v>
      </c>
      <c r="E427" s="22" t="s">
        <v>232</v>
      </c>
    </row>
    <row r="428" spans="1:5" x14ac:dyDescent="0.3">
      <c r="A428" s="16" t="s">
        <v>716</v>
      </c>
      <c r="B428" s="18" t="s">
        <v>132</v>
      </c>
      <c r="C428" s="18" t="s">
        <v>1767</v>
      </c>
      <c r="D428" s="137">
        <f>$D$421*($D$420/1000)</f>
        <v>5.2467203708809501E-2</v>
      </c>
      <c r="E428" s="22" t="s">
        <v>232</v>
      </c>
    </row>
    <row r="429" spans="1:5" x14ac:dyDescent="0.3">
      <c r="A429" s="1128" t="s">
        <v>292</v>
      </c>
      <c r="B429" s="1129"/>
      <c r="C429" s="1129"/>
      <c r="D429" s="1129"/>
      <c r="E429" s="1130"/>
    </row>
    <row r="430" spans="1:5" x14ac:dyDescent="0.3">
      <c r="A430" s="16" t="s">
        <v>322</v>
      </c>
      <c r="B430" s="18" t="s">
        <v>293</v>
      </c>
      <c r="C430" s="18"/>
      <c r="D430" s="27">
        <v>1</v>
      </c>
      <c r="E430" s="22"/>
    </row>
    <row r="431" spans="1:5" ht="15" thickBot="1" x14ac:dyDescent="0.35">
      <c r="A431" s="133" t="s">
        <v>1957</v>
      </c>
      <c r="B431" s="111" t="s">
        <v>521</v>
      </c>
      <c r="C431" s="118" t="s">
        <v>1924</v>
      </c>
      <c r="D431" s="114">
        <f>((1-$D$418)*$D$424)/1000</f>
        <v>2.9367607756810663E-3</v>
      </c>
      <c r="E431" s="283" t="s">
        <v>232</v>
      </c>
    </row>
    <row r="432" spans="1:5" x14ac:dyDescent="0.3">
      <c r="A432" s="1140"/>
      <c r="B432" s="1141"/>
      <c r="C432" s="1141"/>
      <c r="D432" s="1141"/>
      <c r="E432" s="1142"/>
    </row>
    <row r="433" spans="1:5" ht="15" thickBot="1" x14ac:dyDescent="0.35">
      <c r="A433" s="1143"/>
      <c r="B433" s="1144"/>
      <c r="C433" s="1144"/>
      <c r="D433" s="1144"/>
      <c r="E433" s="1145"/>
    </row>
    <row r="434" spans="1:5" ht="30" customHeight="1" thickBot="1" x14ac:dyDescent="0.35">
      <c r="A434" s="638" t="s">
        <v>652</v>
      </c>
      <c r="B434" s="35" t="s">
        <v>142</v>
      </c>
      <c r="C434" s="21" t="s">
        <v>256</v>
      </c>
      <c r="D434" s="26" t="s">
        <v>236</v>
      </c>
      <c r="E434" s="23" t="s">
        <v>212</v>
      </c>
    </row>
    <row r="435" spans="1:5" x14ac:dyDescent="0.3">
      <c r="A435" s="1134" t="s">
        <v>536</v>
      </c>
      <c r="B435" s="19" t="s">
        <v>225</v>
      </c>
      <c r="C435" s="19" t="s">
        <v>608</v>
      </c>
      <c r="D435" s="136"/>
      <c r="E435" s="24"/>
    </row>
    <row r="436" spans="1:5" x14ac:dyDescent="0.3">
      <c r="A436" s="1135"/>
      <c r="B436" s="18" t="s">
        <v>225</v>
      </c>
      <c r="C436" s="18" t="s">
        <v>654</v>
      </c>
      <c r="D436" s="27"/>
      <c r="E436" s="22"/>
    </row>
    <row r="437" spans="1:5" x14ac:dyDescent="0.3">
      <c r="A437" s="119" t="s">
        <v>667</v>
      </c>
      <c r="B437" s="18" t="s">
        <v>270</v>
      </c>
      <c r="C437" s="18"/>
      <c r="D437" s="27">
        <v>18</v>
      </c>
      <c r="E437" s="22" t="s">
        <v>748</v>
      </c>
    </row>
    <row r="438" spans="1:5" x14ac:dyDescent="0.3">
      <c r="A438" s="119" t="s">
        <v>668</v>
      </c>
      <c r="B438" s="18" t="s">
        <v>270</v>
      </c>
      <c r="C438" s="18"/>
      <c r="D438" s="27">
        <v>22</v>
      </c>
      <c r="E438" s="22" t="s">
        <v>748</v>
      </c>
    </row>
    <row r="439" spans="1:5" x14ac:dyDescent="0.3">
      <c r="A439" s="119" t="s">
        <v>614</v>
      </c>
      <c r="B439" s="18" t="s">
        <v>270</v>
      </c>
      <c r="C439" s="18"/>
      <c r="D439" s="27">
        <f>D438-D437</f>
        <v>4</v>
      </c>
      <c r="E439" s="22" t="s">
        <v>232</v>
      </c>
    </row>
    <row r="440" spans="1:5" x14ac:dyDescent="0.3">
      <c r="A440" s="16" t="s">
        <v>659</v>
      </c>
      <c r="B440" s="48" t="s">
        <v>658</v>
      </c>
      <c r="C440" s="18" t="s">
        <v>660</v>
      </c>
      <c r="D440" s="27">
        <v>5</v>
      </c>
      <c r="E440" s="22" t="s">
        <v>748</v>
      </c>
    </row>
    <row r="441" spans="1:5" x14ac:dyDescent="0.3">
      <c r="A441" s="119" t="s">
        <v>656</v>
      </c>
      <c r="B441" s="18" t="s">
        <v>613</v>
      </c>
      <c r="C441" s="18" t="s">
        <v>1891</v>
      </c>
      <c r="D441" s="27">
        <f>(4/1000)*60</f>
        <v>0.24</v>
      </c>
      <c r="E441" s="22" t="s">
        <v>655</v>
      </c>
    </row>
    <row r="442" spans="1:5" x14ac:dyDescent="0.3">
      <c r="A442" s="119" t="s">
        <v>1772</v>
      </c>
      <c r="B442" s="18" t="s">
        <v>225</v>
      </c>
      <c r="C442" s="18"/>
      <c r="D442" s="138">
        <f>$D$16</f>
        <v>1430</v>
      </c>
      <c r="E442" s="22" t="s">
        <v>1743</v>
      </c>
    </row>
    <row r="443" spans="1:5" x14ac:dyDescent="0.3">
      <c r="A443" s="119" t="s">
        <v>611</v>
      </c>
      <c r="B443" s="18" t="s">
        <v>613</v>
      </c>
      <c r="C443" s="18" t="s">
        <v>1770</v>
      </c>
      <c r="D443" s="27">
        <f>$D$441*$D$442</f>
        <v>343.2</v>
      </c>
      <c r="E443" s="22" t="s">
        <v>232</v>
      </c>
    </row>
    <row r="444" spans="1:5" x14ac:dyDescent="0.3">
      <c r="A444" s="119" t="s">
        <v>1777</v>
      </c>
      <c r="B444" s="18" t="s">
        <v>615</v>
      </c>
      <c r="C444" s="18" t="s">
        <v>1778</v>
      </c>
      <c r="D444" s="27">
        <f>365*24</f>
        <v>8760</v>
      </c>
      <c r="E444" s="22" t="s">
        <v>232</v>
      </c>
    </row>
    <row r="445" spans="1:5" x14ac:dyDescent="0.3">
      <c r="A445" s="119" t="s">
        <v>612</v>
      </c>
      <c r="B445" s="18" t="s">
        <v>133</v>
      </c>
      <c r="C445" s="18"/>
      <c r="D445" s="137">
        <f>D443*D444</f>
        <v>3006432</v>
      </c>
      <c r="E445" s="22" t="s">
        <v>232</v>
      </c>
    </row>
    <row r="446" spans="1:5" x14ac:dyDescent="0.3">
      <c r="A446" s="16" t="s">
        <v>1769</v>
      </c>
      <c r="B446" s="18" t="s">
        <v>534</v>
      </c>
      <c r="C446" s="462" t="s">
        <v>610</v>
      </c>
      <c r="D446" s="27">
        <f>(0.216*$D$439)+0.272</f>
        <v>1.1360000000000001</v>
      </c>
      <c r="E446" s="22" t="s">
        <v>655</v>
      </c>
    </row>
    <row r="447" spans="1:5" x14ac:dyDescent="0.3">
      <c r="A447" s="16" t="s">
        <v>1775</v>
      </c>
      <c r="B447" s="18" t="s">
        <v>128</v>
      </c>
      <c r="C447" s="18" t="s">
        <v>546</v>
      </c>
      <c r="D447" s="137">
        <f>$D$445*1000</f>
        <v>3006432000</v>
      </c>
      <c r="E447" s="22" t="s">
        <v>232</v>
      </c>
    </row>
    <row r="448" spans="1:5" x14ac:dyDescent="0.3">
      <c r="A448" s="16" t="s">
        <v>1776</v>
      </c>
      <c r="B448" s="18" t="s">
        <v>128</v>
      </c>
      <c r="C448" s="30" t="s">
        <v>833</v>
      </c>
      <c r="D448" s="137">
        <f>$D$447/$D$7</f>
        <v>2505.36</v>
      </c>
      <c r="E448" s="22" t="s">
        <v>232</v>
      </c>
    </row>
    <row r="449" spans="1:5" x14ac:dyDescent="0.3">
      <c r="A449" s="16" t="s">
        <v>1774</v>
      </c>
      <c r="B449" s="18" t="s">
        <v>132</v>
      </c>
      <c r="C449" s="18" t="s">
        <v>546</v>
      </c>
      <c r="D449" s="137">
        <f>$D$446*$D$445</f>
        <v>3415306.7520000003</v>
      </c>
      <c r="E449" s="22" t="s">
        <v>232</v>
      </c>
    </row>
    <row r="450" spans="1:5" x14ac:dyDescent="0.3">
      <c r="A450" s="16" t="s">
        <v>1749</v>
      </c>
      <c r="B450" s="18" t="s">
        <v>132</v>
      </c>
      <c r="C450" s="30"/>
      <c r="D450" s="137">
        <f>$D$449/$D$7</f>
        <v>2.8460889600000003</v>
      </c>
      <c r="E450" s="22" t="s">
        <v>232</v>
      </c>
    </row>
    <row r="451" spans="1:5" x14ac:dyDescent="0.3">
      <c r="A451" s="1125" t="s">
        <v>291</v>
      </c>
      <c r="B451" s="1126"/>
      <c r="C451" s="1126"/>
      <c r="D451" s="1126"/>
      <c r="E451" s="1127"/>
    </row>
    <row r="452" spans="1:5" x14ac:dyDescent="0.3">
      <c r="A452" s="293" t="s">
        <v>713</v>
      </c>
      <c r="B452" s="15" t="s">
        <v>128</v>
      </c>
      <c r="C452" s="15" t="s">
        <v>712</v>
      </c>
      <c r="D452" s="107">
        <f>$D$448*'1. USER INPUTS'!$E$23</f>
        <v>10.763860027257738</v>
      </c>
      <c r="E452" s="276" t="s">
        <v>232</v>
      </c>
    </row>
    <row r="453" spans="1:5" x14ac:dyDescent="0.3">
      <c r="A453" s="293" t="s">
        <v>716</v>
      </c>
      <c r="B453" s="15" t="s">
        <v>132</v>
      </c>
      <c r="C453" s="451" t="s">
        <v>665</v>
      </c>
      <c r="D453" s="107">
        <f>$D$450*'1. USER INPUTS'!$E$23</f>
        <v>1.2227744990964792E-2</v>
      </c>
      <c r="E453" s="476" t="s">
        <v>232</v>
      </c>
    </row>
    <row r="454" spans="1:5" x14ac:dyDescent="0.3">
      <c r="A454" s="1128" t="s">
        <v>292</v>
      </c>
      <c r="B454" s="1129"/>
      <c r="C454" s="1129"/>
      <c r="D454" s="1129"/>
      <c r="E454" s="1130"/>
    </row>
    <row r="455" spans="1:5" x14ac:dyDescent="0.3">
      <c r="A455" s="16" t="s">
        <v>322</v>
      </c>
      <c r="B455" s="18" t="s">
        <v>293</v>
      </c>
      <c r="C455" s="18"/>
      <c r="D455" s="27">
        <v>1</v>
      </c>
      <c r="E455" s="22"/>
    </row>
    <row r="456" spans="1:5" ht="15" thickBot="1" x14ac:dyDescent="0.35">
      <c r="A456" s="133" t="s">
        <v>1957</v>
      </c>
      <c r="B456" s="111" t="s">
        <v>521</v>
      </c>
      <c r="C456" s="118" t="s">
        <v>1925</v>
      </c>
      <c r="D456" s="114">
        <f>$D$452/1000</f>
        <v>1.0763860027257738E-2</v>
      </c>
      <c r="E456" s="283" t="s">
        <v>232</v>
      </c>
    </row>
    <row r="457" spans="1:5" x14ac:dyDescent="0.3">
      <c r="A457" s="1140"/>
      <c r="B457" s="1141"/>
      <c r="C457" s="1141"/>
      <c r="D457" s="1141"/>
      <c r="E457" s="1142"/>
    </row>
    <row r="458" spans="1:5" ht="15" thickBot="1" x14ac:dyDescent="0.35">
      <c r="A458" s="1143"/>
      <c r="B458" s="1144"/>
      <c r="C458" s="1144"/>
      <c r="D458" s="1144"/>
      <c r="E458" s="1145"/>
    </row>
    <row r="459" spans="1:5" ht="30" customHeight="1" thickBot="1" x14ac:dyDescent="0.35">
      <c r="A459" s="638" t="s">
        <v>1959</v>
      </c>
      <c r="B459" s="145" t="s">
        <v>142</v>
      </c>
      <c r="C459" s="99" t="s">
        <v>256</v>
      </c>
      <c r="D459" s="100" t="s">
        <v>236</v>
      </c>
      <c r="E459" s="101" t="s">
        <v>212</v>
      </c>
    </row>
    <row r="460" spans="1:5" x14ac:dyDescent="0.3">
      <c r="A460" s="29" t="s">
        <v>536</v>
      </c>
      <c r="B460" s="19" t="s">
        <v>225</v>
      </c>
      <c r="C460" s="19" t="s">
        <v>661</v>
      </c>
      <c r="D460" s="136"/>
      <c r="E460" s="105"/>
    </row>
    <row r="461" spans="1:5" x14ac:dyDescent="0.3">
      <c r="A461" s="119" t="s">
        <v>1772</v>
      </c>
      <c r="B461" s="18" t="s">
        <v>225</v>
      </c>
      <c r="C461" s="18"/>
      <c r="D461" s="138">
        <f>'29. FAB SIZE MODEL'!$J$49</f>
        <v>1430</v>
      </c>
      <c r="E461" s="22" t="s">
        <v>1743</v>
      </c>
    </row>
    <row r="462" spans="1:5" x14ac:dyDescent="0.3">
      <c r="A462" s="173" t="s">
        <v>664</v>
      </c>
      <c r="B462" s="48" t="s">
        <v>658</v>
      </c>
      <c r="C462" s="47" t="s">
        <v>787</v>
      </c>
      <c r="D462" s="174">
        <v>8</v>
      </c>
      <c r="E462" s="167" t="s">
        <v>748</v>
      </c>
    </row>
    <row r="463" spans="1:5" x14ac:dyDescent="0.3">
      <c r="A463" s="45" t="s">
        <v>1790</v>
      </c>
      <c r="B463" s="44" t="s">
        <v>613</v>
      </c>
      <c r="C463" s="18" t="s">
        <v>1915</v>
      </c>
      <c r="D463" s="150">
        <f>0.2</f>
        <v>0.2</v>
      </c>
      <c r="E463" s="167" t="s">
        <v>748</v>
      </c>
    </row>
    <row r="464" spans="1:5" x14ac:dyDescent="0.3">
      <c r="A464" s="45" t="s">
        <v>1773</v>
      </c>
      <c r="B464" s="18" t="s">
        <v>613</v>
      </c>
      <c r="C464" s="18"/>
      <c r="D464" s="138">
        <f>$D$463*$D$461</f>
        <v>286</v>
      </c>
      <c r="E464" s="22" t="s">
        <v>232</v>
      </c>
    </row>
    <row r="465" spans="1:5" x14ac:dyDescent="0.3">
      <c r="A465" s="45" t="s">
        <v>922</v>
      </c>
      <c r="B465" s="18" t="s">
        <v>1779</v>
      </c>
      <c r="C465" s="18"/>
      <c r="D465" s="137">
        <f>$D$464/$D$10</f>
        <v>2.0660639999999999</v>
      </c>
      <c r="E465" s="22" t="s">
        <v>232</v>
      </c>
    </row>
    <row r="466" spans="1:5" x14ac:dyDescent="0.3">
      <c r="A466" s="16" t="s">
        <v>1786</v>
      </c>
      <c r="B466" s="18" t="s">
        <v>534</v>
      </c>
      <c r="C466" s="462" t="s">
        <v>1965</v>
      </c>
      <c r="D466" s="27">
        <v>0.13700000000000001</v>
      </c>
      <c r="E466" s="167" t="s">
        <v>1763</v>
      </c>
    </row>
    <row r="467" spans="1:5" x14ac:dyDescent="0.3">
      <c r="A467" s="16" t="s">
        <v>1744</v>
      </c>
      <c r="B467" s="18" t="s">
        <v>1950</v>
      </c>
      <c r="C467" s="477"/>
      <c r="D467" s="137">
        <f>$D$464*$D$466</f>
        <v>39.182000000000002</v>
      </c>
      <c r="E467" s="456" t="s">
        <v>232</v>
      </c>
    </row>
    <row r="468" spans="1:5" x14ac:dyDescent="0.3">
      <c r="A468" s="16" t="s">
        <v>1749</v>
      </c>
      <c r="B468" s="18" t="s">
        <v>132</v>
      </c>
      <c r="C468" s="462"/>
      <c r="D468" s="137">
        <f>$D$467/$D$10</f>
        <v>0.28305076800000001</v>
      </c>
      <c r="E468" s="456" t="s">
        <v>232</v>
      </c>
    </row>
    <row r="469" spans="1:5" x14ac:dyDescent="0.3">
      <c r="A469" s="1125" t="s">
        <v>291</v>
      </c>
      <c r="B469" s="1126"/>
      <c r="C469" s="1126"/>
      <c r="D469" s="1126"/>
      <c r="E469" s="1127"/>
    </row>
    <row r="470" spans="1:5" x14ac:dyDescent="0.3">
      <c r="A470" s="449" t="s">
        <v>785</v>
      </c>
      <c r="B470" s="450" t="s">
        <v>133</v>
      </c>
      <c r="C470" s="451" t="s">
        <v>832</v>
      </c>
      <c r="D470" s="452">
        <f>$D$465*'1. USER INPUTS'!$E$23</f>
        <v>8.8764982690536405E-3</v>
      </c>
      <c r="E470" s="461" t="s">
        <v>232</v>
      </c>
    </row>
    <row r="471" spans="1:5" x14ac:dyDescent="0.3">
      <c r="A471" s="1128" t="s">
        <v>292</v>
      </c>
      <c r="B471" s="1129"/>
      <c r="C471" s="1129"/>
      <c r="D471" s="1129"/>
      <c r="E471" s="1130"/>
    </row>
    <row r="472" spans="1:5" x14ac:dyDescent="0.3">
      <c r="A472" s="16" t="s">
        <v>322</v>
      </c>
      <c r="B472" s="18" t="s">
        <v>293</v>
      </c>
      <c r="C472" s="18"/>
      <c r="D472" s="27">
        <v>1</v>
      </c>
      <c r="E472" s="22"/>
    </row>
    <row r="473" spans="1:5" ht="15" thickBot="1" x14ac:dyDescent="0.35">
      <c r="A473" s="133"/>
      <c r="B473" s="111"/>
      <c r="C473" s="111"/>
      <c r="D473" s="114"/>
      <c r="E473" s="321"/>
    </row>
    <row r="474" spans="1:5" x14ac:dyDescent="0.3">
      <c r="A474" s="1150"/>
      <c r="B474" s="1151"/>
      <c r="C474" s="1151"/>
      <c r="D474" s="1151"/>
      <c r="E474" s="1152"/>
    </row>
    <row r="475" spans="1:5" ht="15" thickBot="1" x14ac:dyDescent="0.35">
      <c r="A475" s="1143"/>
      <c r="B475" s="1144"/>
      <c r="C475" s="1144"/>
      <c r="D475" s="1144"/>
      <c r="E475" s="1145"/>
    </row>
    <row r="476" spans="1:5" ht="30" customHeight="1" thickBot="1" x14ac:dyDescent="0.35">
      <c r="A476" s="638" t="s">
        <v>1022</v>
      </c>
      <c r="B476" s="145" t="s">
        <v>142</v>
      </c>
      <c r="C476" s="99" t="s">
        <v>256</v>
      </c>
      <c r="D476" s="100" t="s">
        <v>236</v>
      </c>
      <c r="E476" s="101" t="s">
        <v>212</v>
      </c>
    </row>
    <row r="477" spans="1:5" x14ac:dyDescent="0.3">
      <c r="A477" s="1134" t="s">
        <v>536</v>
      </c>
      <c r="B477" s="19" t="s">
        <v>225</v>
      </c>
      <c r="C477" s="19" t="s">
        <v>799</v>
      </c>
      <c r="D477" s="136"/>
      <c r="E477" s="467"/>
    </row>
    <row r="478" spans="1:5" x14ac:dyDescent="0.3">
      <c r="A478" s="1135"/>
      <c r="B478" s="103" t="s">
        <v>225</v>
      </c>
      <c r="C478" s="103" t="s">
        <v>937</v>
      </c>
      <c r="D478" s="141"/>
      <c r="E478" s="478"/>
    </row>
    <row r="479" spans="1:5" x14ac:dyDescent="0.3">
      <c r="A479" s="279" t="s">
        <v>2427</v>
      </c>
      <c r="B479" s="103" t="s">
        <v>521</v>
      </c>
      <c r="C479" s="103"/>
      <c r="D479" s="142">
        <f>SUM('3. SUMMARY LCI'!B45,'3. SUMMARY LCI'!B71,'3. SUMMARY LCI'!B99,'3. SUMMARY LCI'!B121,'3. SUMMARY LCI'!B144,'3. SUMMARY LCI'!B165,'3. SUMMARY LCI'!B189,'3. SUMMARY LCI'!B245)/'25. CHEM. &amp; MAT.'!$F$14</f>
        <v>6.0048536840172986E-2</v>
      </c>
      <c r="E479" s="478" t="s">
        <v>232</v>
      </c>
    </row>
    <row r="480" spans="1:5" x14ac:dyDescent="0.3">
      <c r="A480" s="279" t="s">
        <v>1788</v>
      </c>
      <c r="B480" s="103" t="s">
        <v>521</v>
      </c>
      <c r="C480" s="103"/>
      <c r="D480" s="142">
        <f>($D$479)/'1. USER INPUTS'!$E$23</f>
        <v>13.976696266666666</v>
      </c>
      <c r="E480" s="478" t="s">
        <v>232</v>
      </c>
    </row>
    <row r="481" spans="1:5" x14ac:dyDescent="0.3">
      <c r="A481" s="279" t="s">
        <v>1787</v>
      </c>
      <c r="B481" s="103" t="s">
        <v>521</v>
      </c>
      <c r="C481" s="103"/>
      <c r="D481" s="142">
        <f>($D$480*$D$10)</f>
        <v>1934.7586194167591</v>
      </c>
      <c r="E481" s="478" t="s">
        <v>232</v>
      </c>
    </row>
    <row r="482" spans="1:5" x14ac:dyDescent="0.3">
      <c r="A482" s="16" t="s">
        <v>1780</v>
      </c>
      <c r="B482" s="18" t="s">
        <v>534</v>
      </c>
      <c r="C482" s="462" t="s">
        <v>1964</v>
      </c>
      <c r="D482" s="27">
        <v>0.56299999999999994</v>
      </c>
      <c r="E482" s="167" t="s">
        <v>1763</v>
      </c>
    </row>
    <row r="483" spans="1:5" x14ac:dyDescent="0.3">
      <c r="A483" s="279" t="s">
        <v>2428</v>
      </c>
      <c r="B483" s="103" t="s">
        <v>132</v>
      </c>
      <c r="C483" s="103"/>
      <c r="D483" s="142">
        <f>$D$479*$D$482</f>
        <v>3.3807326241017385E-2</v>
      </c>
      <c r="E483" s="478" t="s">
        <v>232</v>
      </c>
    </row>
    <row r="484" spans="1:5" x14ac:dyDescent="0.3">
      <c r="A484" s="119" t="s">
        <v>1772</v>
      </c>
      <c r="B484" s="18" t="s">
        <v>225</v>
      </c>
      <c r="C484" s="18"/>
      <c r="D484" s="138">
        <f>'29. FAB SIZE MODEL'!$J$49</f>
        <v>1430</v>
      </c>
      <c r="E484" s="22" t="s">
        <v>1743</v>
      </c>
    </row>
    <row r="485" spans="1:5" x14ac:dyDescent="0.3">
      <c r="A485" s="173" t="s">
        <v>1789</v>
      </c>
      <c r="B485" s="48" t="s">
        <v>658</v>
      </c>
      <c r="C485" s="47"/>
      <c r="D485" s="174">
        <v>8</v>
      </c>
      <c r="E485" s="167" t="s">
        <v>748</v>
      </c>
    </row>
    <row r="486" spans="1:5" x14ac:dyDescent="0.3">
      <c r="A486" s="16" t="s">
        <v>1791</v>
      </c>
      <c r="B486" s="18" t="s">
        <v>613</v>
      </c>
      <c r="C486" s="18" t="s">
        <v>1917</v>
      </c>
      <c r="D486" s="137">
        <f>0.05</f>
        <v>0.05</v>
      </c>
      <c r="E486" s="167" t="s">
        <v>748</v>
      </c>
    </row>
    <row r="487" spans="1:5" x14ac:dyDescent="0.3">
      <c r="A487" s="45" t="s">
        <v>1787</v>
      </c>
      <c r="B487" s="18" t="s">
        <v>613</v>
      </c>
      <c r="C487" s="18"/>
      <c r="D487" s="138">
        <f>$D$484*$D$486</f>
        <v>71.5</v>
      </c>
      <c r="E487" s="22" t="s">
        <v>232</v>
      </c>
    </row>
    <row r="488" spans="1:5" x14ac:dyDescent="0.3">
      <c r="A488" s="45" t="s">
        <v>1788</v>
      </c>
      <c r="B488" s="18" t="s">
        <v>1779</v>
      </c>
      <c r="C488" s="18"/>
      <c r="D488" s="137">
        <f>$D$487/$D$10</f>
        <v>0.51651599999999998</v>
      </c>
      <c r="E488" s="22" t="s">
        <v>232</v>
      </c>
    </row>
    <row r="489" spans="1:5" x14ac:dyDescent="0.3">
      <c r="A489" s="16" t="s">
        <v>841</v>
      </c>
      <c r="B489" s="18" t="s">
        <v>129</v>
      </c>
      <c r="C489" s="462"/>
      <c r="D489" s="134">
        <f>'25. CHEM. &amp; MAT.'!$F$14</f>
        <v>1.25</v>
      </c>
      <c r="E489" s="167" t="s">
        <v>1581</v>
      </c>
    </row>
    <row r="490" spans="1:5" x14ac:dyDescent="0.3">
      <c r="A490" s="16" t="s">
        <v>1744</v>
      </c>
      <c r="B490" s="18" t="s">
        <v>132</v>
      </c>
      <c r="C490" s="477"/>
      <c r="D490" s="137">
        <f>$D$487*$D$482</f>
        <v>40.254499999999993</v>
      </c>
      <c r="E490" s="456" t="s">
        <v>232</v>
      </c>
    </row>
    <row r="491" spans="1:5" ht="15" thickBot="1" x14ac:dyDescent="0.35">
      <c r="A491" s="46" t="s">
        <v>1749</v>
      </c>
      <c r="B491" s="47" t="s">
        <v>132</v>
      </c>
      <c r="C491" s="464"/>
      <c r="D491" s="261">
        <f>$D$490/$D$10</f>
        <v>0.2907985079999999</v>
      </c>
      <c r="E491" s="569" t="s">
        <v>232</v>
      </c>
    </row>
    <row r="492" spans="1:5" x14ac:dyDescent="0.3">
      <c r="A492" s="1147" t="s">
        <v>291</v>
      </c>
      <c r="B492" s="1148"/>
      <c r="C492" s="1148"/>
      <c r="D492" s="1148"/>
      <c r="E492" s="1149"/>
    </row>
    <row r="493" spans="1:5" x14ac:dyDescent="0.3">
      <c r="A493" s="16" t="s">
        <v>962</v>
      </c>
      <c r="B493" s="18" t="s">
        <v>128</v>
      </c>
      <c r="C493" s="30" t="s">
        <v>832</v>
      </c>
      <c r="D493" s="137">
        <f>$D$479</f>
        <v>6.0048536840172986E-2</v>
      </c>
      <c r="E493" s="167" t="s">
        <v>232</v>
      </c>
    </row>
    <row r="494" spans="1:5" x14ac:dyDescent="0.3">
      <c r="A494" s="1131" t="s">
        <v>292</v>
      </c>
      <c r="B494" s="1175"/>
      <c r="C494" s="1175"/>
      <c r="D494" s="1175"/>
      <c r="E494" s="1176"/>
    </row>
    <row r="495" spans="1:5" x14ac:dyDescent="0.3">
      <c r="A495" s="16" t="s">
        <v>322</v>
      </c>
      <c r="B495" s="18" t="s">
        <v>293</v>
      </c>
      <c r="C495" s="18"/>
      <c r="D495" s="27">
        <v>1</v>
      </c>
      <c r="E495" s="22"/>
    </row>
    <row r="496" spans="1:5" ht="15" thickBot="1" x14ac:dyDescent="0.35">
      <c r="A496" s="133"/>
      <c r="B496" s="111"/>
      <c r="C496" s="111"/>
      <c r="D496" s="114"/>
      <c r="E496" s="321"/>
    </row>
    <row r="497" spans="1:5" x14ac:dyDescent="0.3">
      <c r="A497" s="1140"/>
      <c r="B497" s="1141"/>
      <c r="C497" s="1141"/>
      <c r="D497" s="1141"/>
      <c r="E497" s="1142"/>
    </row>
    <row r="498" spans="1:5" ht="15" thickBot="1" x14ac:dyDescent="0.35">
      <c r="A498" s="1143"/>
      <c r="B498" s="1144"/>
      <c r="C498" s="1144"/>
      <c r="D498" s="1144"/>
      <c r="E498" s="1145"/>
    </row>
    <row r="499" spans="1:5" ht="30" customHeight="1" thickBot="1" x14ac:dyDescent="0.35">
      <c r="A499" s="638" t="s">
        <v>1023</v>
      </c>
      <c r="B499" s="145" t="s">
        <v>142</v>
      </c>
      <c r="C499" s="99" t="s">
        <v>256</v>
      </c>
      <c r="D499" s="100" t="s">
        <v>236</v>
      </c>
      <c r="E499" s="101" t="s">
        <v>212</v>
      </c>
    </row>
    <row r="500" spans="1:5" x14ac:dyDescent="0.3">
      <c r="A500" s="29" t="s">
        <v>536</v>
      </c>
      <c r="B500" s="19" t="s">
        <v>225</v>
      </c>
      <c r="C500" s="135" t="s">
        <v>666</v>
      </c>
      <c r="D500" s="170"/>
      <c r="E500" s="467"/>
    </row>
    <row r="501" spans="1:5" x14ac:dyDescent="0.3">
      <c r="A501" s="119" t="s">
        <v>1772</v>
      </c>
      <c r="B501" s="18" t="s">
        <v>225</v>
      </c>
      <c r="C501" s="18"/>
      <c r="D501" s="138">
        <f>'29. FAB SIZE MODEL'!$J$49</f>
        <v>1430</v>
      </c>
      <c r="E501" s="22" t="s">
        <v>1743</v>
      </c>
    </row>
    <row r="502" spans="1:5" x14ac:dyDescent="0.3">
      <c r="A502" s="16" t="s">
        <v>1792</v>
      </c>
      <c r="B502" s="18" t="s">
        <v>613</v>
      </c>
      <c r="C502" s="18" t="s">
        <v>1916</v>
      </c>
      <c r="D502" s="137">
        <f>0.2</f>
        <v>0.2</v>
      </c>
      <c r="E502" s="167" t="s">
        <v>748</v>
      </c>
    </row>
    <row r="503" spans="1:5" x14ac:dyDescent="0.3">
      <c r="A503" s="45" t="s">
        <v>1793</v>
      </c>
      <c r="B503" s="18" t="s">
        <v>613</v>
      </c>
      <c r="C503" s="18"/>
      <c r="D503" s="138">
        <f>$D$484*$D$502</f>
        <v>286</v>
      </c>
      <c r="E503" s="22" t="s">
        <v>232</v>
      </c>
    </row>
    <row r="504" spans="1:5" x14ac:dyDescent="0.3">
      <c r="A504" s="45" t="s">
        <v>1794</v>
      </c>
      <c r="B504" s="18" t="s">
        <v>1779</v>
      </c>
      <c r="C504" s="18"/>
      <c r="D504" s="137">
        <f>$D$487/$D$10</f>
        <v>0.51651599999999998</v>
      </c>
      <c r="E504" s="22" t="s">
        <v>232</v>
      </c>
    </row>
    <row r="505" spans="1:5" x14ac:dyDescent="0.3">
      <c r="A505" s="16" t="s">
        <v>1785</v>
      </c>
      <c r="B505" s="18" t="s">
        <v>534</v>
      </c>
      <c r="C505" s="462" t="s">
        <v>609</v>
      </c>
      <c r="D505" s="27">
        <f>0.06</f>
        <v>0.06</v>
      </c>
      <c r="E505" s="167" t="s">
        <v>655</v>
      </c>
    </row>
    <row r="506" spans="1:5" x14ac:dyDescent="0.3">
      <c r="A506" s="16" t="s">
        <v>1744</v>
      </c>
      <c r="B506" s="18" t="s">
        <v>132</v>
      </c>
      <c r="C506" s="477"/>
      <c r="D506" s="137">
        <f>$D$503*$D$505</f>
        <v>17.16</v>
      </c>
      <c r="E506" s="456" t="s">
        <v>232</v>
      </c>
    </row>
    <row r="507" spans="1:5" ht="15" thickBot="1" x14ac:dyDescent="0.35">
      <c r="A507" s="46" t="s">
        <v>1749</v>
      </c>
      <c r="B507" s="47" t="s">
        <v>132</v>
      </c>
      <c r="C507" s="464"/>
      <c r="D507" s="261">
        <f>$D$506/$D$10</f>
        <v>0.12396383999999999</v>
      </c>
      <c r="E507" s="569" t="s">
        <v>232</v>
      </c>
    </row>
    <row r="508" spans="1:5" x14ac:dyDescent="0.3">
      <c r="A508" s="1147" t="s">
        <v>291</v>
      </c>
      <c r="B508" s="1148"/>
      <c r="C508" s="1148"/>
      <c r="D508" s="1148"/>
      <c r="E508" s="1149"/>
    </row>
    <row r="509" spans="1:5" x14ac:dyDescent="0.3">
      <c r="A509" s="293" t="s">
        <v>716</v>
      </c>
      <c r="B509" s="15" t="s">
        <v>132</v>
      </c>
      <c r="C509" s="38" t="s">
        <v>665</v>
      </c>
      <c r="D509" s="107">
        <f>$D$507*'1. USER INPUTS'!$E$23</f>
        <v>5.3258989614321842E-4</v>
      </c>
      <c r="E509" s="570"/>
    </row>
    <row r="510" spans="1:5" x14ac:dyDescent="0.3">
      <c r="A510" s="1131" t="s">
        <v>292</v>
      </c>
      <c r="B510" s="1175"/>
      <c r="C510" s="1175"/>
      <c r="D510" s="1175"/>
      <c r="E510" s="1176"/>
    </row>
    <row r="511" spans="1:5" x14ac:dyDescent="0.3">
      <c r="A511" s="16" t="s">
        <v>322</v>
      </c>
      <c r="B511" s="18" t="s">
        <v>293</v>
      </c>
      <c r="C511" s="18"/>
      <c r="D511" s="27">
        <v>1</v>
      </c>
      <c r="E511" s="22"/>
    </row>
    <row r="512" spans="1:5" ht="15" thickBot="1" x14ac:dyDescent="0.35">
      <c r="A512" s="133"/>
      <c r="B512" s="111"/>
      <c r="C512" s="111"/>
      <c r="D512" s="114"/>
      <c r="E512" s="321"/>
    </row>
    <row r="513" spans="1:5" x14ac:dyDescent="0.3">
      <c r="A513" s="1140"/>
      <c r="B513" s="1141"/>
      <c r="C513" s="1141"/>
      <c r="D513" s="1141"/>
      <c r="E513" s="1142"/>
    </row>
    <row r="514" spans="1:5" ht="15" thickBot="1" x14ac:dyDescent="0.35">
      <c r="A514" s="1143"/>
      <c r="B514" s="1144"/>
      <c r="C514" s="1144"/>
      <c r="D514" s="1144"/>
      <c r="E514" s="1145"/>
    </row>
    <row r="515" spans="1:5" ht="30" customHeight="1" thickBot="1" x14ac:dyDescent="0.35">
      <c r="A515" s="638" t="s">
        <v>2316</v>
      </c>
      <c r="B515" s="749" t="s">
        <v>142</v>
      </c>
      <c r="C515" s="750" t="s">
        <v>256</v>
      </c>
      <c r="D515" s="751" t="s">
        <v>236</v>
      </c>
      <c r="E515" s="752" t="s">
        <v>212</v>
      </c>
    </row>
    <row r="516" spans="1:5" x14ac:dyDescent="0.3">
      <c r="A516" s="274" t="s">
        <v>1014</v>
      </c>
      <c r="B516" s="226" t="s">
        <v>214</v>
      </c>
      <c r="C516" s="226"/>
      <c r="D516" s="849">
        <f>'1. USER INPUTS'!$E$21</f>
        <v>0.83848735559134746</v>
      </c>
      <c r="E516" s="393" t="s">
        <v>398</v>
      </c>
    </row>
    <row r="517" spans="1:5" x14ac:dyDescent="0.3">
      <c r="A517" s="76" t="s">
        <v>1736</v>
      </c>
      <c r="B517" s="4" t="s">
        <v>547</v>
      </c>
      <c r="C517" s="4"/>
      <c r="D517" s="265">
        <f>$D$7</f>
        <v>1200000</v>
      </c>
      <c r="E517" s="313" t="s">
        <v>232</v>
      </c>
    </row>
    <row r="518" spans="1:5" x14ac:dyDescent="0.3">
      <c r="A518" s="76" t="s">
        <v>1015</v>
      </c>
      <c r="B518" s="4" t="s">
        <v>547</v>
      </c>
      <c r="C518" s="4"/>
      <c r="D518" s="265">
        <f>INT((1-$D$516)*$D$517)</f>
        <v>193815</v>
      </c>
      <c r="E518" s="313" t="s">
        <v>232</v>
      </c>
    </row>
    <row r="519" spans="1:5" x14ac:dyDescent="0.3">
      <c r="A519" s="76" t="s">
        <v>188</v>
      </c>
      <c r="B519" s="4" t="s">
        <v>309</v>
      </c>
      <c r="C519" s="4"/>
      <c r="D519" s="4">
        <f>'1. USER INPUTS'!$E$12</f>
        <v>200</v>
      </c>
      <c r="E519" s="313" t="s">
        <v>398</v>
      </c>
    </row>
    <row r="520" spans="1:5" x14ac:dyDescent="0.3">
      <c r="A520" s="76" t="s">
        <v>235</v>
      </c>
      <c r="B520" s="4" t="s">
        <v>231</v>
      </c>
      <c r="C520" s="4"/>
      <c r="D520" s="265">
        <f>PI()*(((D519/1000)/2)^2)</f>
        <v>3.1415926535897934E-2</v>
      </c>
      <c r="E520" s="313" t="s">
        <v>232</v>
      </c>
    </row>
    <row r="521" spans="1:5" x14ac:dyDescent="0.3">
      <c r="A521" s="76" t="s">
        <v>1016</v>
      </c>
      <c r="B521" s="4" t="s">
        <v>130</v>
      </c>
      <c r="C521" s="4" t="s">
        <v>1796</v>
      </c>
      <c r="D521" s="265">
        <f>0.000725</f>
        <v>7.2499999999999995E-4</v>
      </c>
      <c r="E521" s="313" t="s">
        <v>748</v>
      </c>
    </row>
    <row r="522" spans="1:5" x14ac:dyDescent="0.3">
      <c r="A522" s="76" t="s">
        <v>234</v>
      </c>
      <c r="B522" s="4" t="s">
        <v>129</v>
      </c>
      <c r="C522" s="4"/>
      <c r="D522" s="265">
        <f>'25. CHEM. &amp; MAT.'!$F$3</f>
        <v>2330</v>
      </c>
      <c r="E522" s="313" t="s">
        <v>1581</v>
      </c>
    </row>
    <row r="523" spans="1:5" x14ac:dyDescent="0.3">
      <c r="A523" s="76" t="s">
        <v>241</v>
      </c>
      <c r="B523" s="4" t="s">
        <v>128</v>
      </c>
      <c r="C523" s="4"/>
      <c r="D523" s="265">
        <f>$D$522*($D$520*$D$521)</f>
        <v>5.306935390076558E-2</v>
      </c>
      <c r="E523" s="313" t="s">
        <v>232</v>
      </c>
    </row>
    <row r="524" spans="1:5" x14ac:dyDescent="0.3">
      <c r="A524" s="76" t="s">
        <v>1795</v>
      </c>
      <c r="B524" s="4" t="s">
        <v>128</v>
      </c>
      <c r="C524" s="4"/>
      <c r="D524" s="265">
        <f>$D$523*$D$518</f>
        <v>10285.636826276881</v>
      </c>
      <c r="E524" s="313" t="s">
        <v>232</v>
      </c>
    </row>
    <row r="525" spans="1:5" ht="15" thickBot="1" x14ac:dyDescent="0.35">
      <c r="A525" s="230" t="s">
        <v>1018</v>
      </c>
      <c r="B525" s="243" t="s">
        <v>128</v>
      </c>
      <c r="C525" s="243"/>
      <c r="D525" s="567">
        <f>$D$524/$D$517</f>
        <v>8.5713640218974003E-3</v>
      </c>
      <c r="E525" s="568" t="s">
        <v>232</v>
      </c>
    </row>
    <row r="526" spans="1:5" x14ac:dyDescent="0.3">
      <c r="A526" s="1177" t="s">
        <v>292</v>
      </c>
      <c r="B526" s="1178"/>
      <c r="C526" s="1178"/>
      <c r="D526" s="1178"/>
      <c r="E526" s="1179"/>
    </row>
    <row r="527" spans="1:5" x14ac:dyDescent="0.3">
      <c r="A527" s="16" t="s">
        <v>322</v>
      </c>
      <c r="B527" s="18" t="s">
        <v>293</v>
      </c>
      <c r="C527" s="18"/>
      <c r="D527" s="27">
        <v>1</v>
      </c>
      <c r="E527" s="22"/>
    </row>
    <row r="528" spans="1:5" ht="15" thickBot="1" x14ac:dyDescent="0.35">
      <c r="A528" s="561" t="s">
        <v>1017</v>
      </c>
      <c r="B528" s="562" t="s">
        <v>128</v>
      </c>
      <c r="C528" s="563" t="s">
        <v>1926</v>
      </c>
      <c r="D528" s="564">
        <f>($D$525*'1. USER INPUTS'!$E$23)</f>
        <v>3.682543130503263E-5</v>
      </c>
      <c r="E528" s="565" t="s">
        <v>232</v>
      </c>
    </row>
    <row r="529" spans="1:5" ht="14.4" customHeight="1" x14ac:dyDescent="0.3">
      <c r="A529" s="1140"/>
      <c r="B529" s="1141"/>
      <c r="C529" s="1141"/>
      <c r="D529" s="1141"/>
      <c r="E529" s="1142"/>
    </row>
    <row r="530" spans="1:5" ht="14.4" customHeight="1" thickBot="1" x14ac:dyDescent="0.35">
      <c r="A530" s="1143"/>
      <c r="B530" s="1144"/>
      <c r="C530" s="1144"/>
      <c r="D530" s="1144"/>
      <c r="E530" s="1145"/>
    </row>
    <row r="531" spans="1:5" ht="14.4" customHeight="1" x14ac:dyDescent="0.3"/>
    <row r="532" spans="1:5" ht="14.4" customHeight="1" x14ac:dyDescent="0.3"/>
    <row r="533" spans="1:5" ht="14.4" customHeight="1" x14ac:dyDescent="0.3"/>
    <row r="534" spans="1:5" ht="14.4" customHeight="1" x14ac:dyDescent="0.3"/>
    <row r="535" spans="1:5" ht="14.4" customHeight="1" x14ac:dyDescent="0.3"/>
    <row r="536" spans="1:5" ht="14.4" customHeight="1" x14ac:dyDescent="0.3"/>
    <row r="537" spans="1:5" ht="14.4" customHeight="1" x14ac:dyDescent="0.3"/>
    <row r="538" spans="1:5" ht="14.4" customHeight="1" x14ac:dyDescent="0.3"/>
    <row r="539" spans="1:5" ht="14.4" customHeight="1" x14ac:dyDescent="0.3"/>
    <row r="540" spans="1:5" ht="14.4" customHeight="1" x14ac:dyDescent="0.3"/>
    <row r="541" spans="1:5" ht="14.4" customHeight="1" x14ac:dyDescent="0.3"/>
    <row r="542" spans="1:5" ht="14.4" customHeight="1" x14ac:dyDescent="0.3"/>
    <row r="543" spans="1:5" ht="14.4" customHeight="1" x14ac:dyDescent="0.3"/>
    <row r="544" spans="1:5" ht="14.4" customHeight="1" x14ac:dyDescent="0.3"/>
  </sheetData>
  <sheetProtection algorithmName="SHA-512" hashValue="z/6yRxcBTU0fNY7/MtfzZ5zDn9YiINtctd0TeLDKU47AdM1N+ePGnPU5GhfCmj32KtiVOYbhY2CodMhlVusa/A==" saltValue="bU3ZT/OVkSAGLC73UOIyiw==" spinCount="100000" sheet="1" objects="1" scenarios="1"/>
  <mergeCells count="50">
    <mergeCell ref="A471:E471"/>
    <mergeCell ref="A513:E514"/>
    <mergeCell ref="A497:E498"/>
    <mergeCell ref="A529:E530"/>
    <mergeCell ref="A526:E526"/>
    <mergeCell ref="A474:E475"/>
    <mergeCell ref="A494:E494"/>
    <mergeCell ref="A510:E510"/>
    <mergeCell ref="A477:A478"/>
    <mergeCell ref="A492:E492"/>
    <mergeCell ref="A508:E508"/>
    <mergeCell ref="A375:E375"/>
    <mergeCell ref="A432:E433"/>
    <mergeCell ref="A148:A149"/>
    <mergeCell ref="A190:E190"/>
    <mergeCell ref="A469:E469"/>
    <mergeCell ref="A426:E426"/>
    <mergeCell ref="A429:E429"/>
    <mergeCell ref="A451:E451"/>
    <mergeCell ref="A454:E454"/>
    <mergeCell ref="A435:A436"/>
    <mergeCell ref="A341:E341"/>
    <mergeCell ref="A327:A328"/>
    <mergeCell ref="A173:E173"/>
    <mergeCell ref="A188:E188"/>
    <mergeCell ref="A414:E415"/>
    <mergeCell ref="A457:E458"/>
    <mergeCell ref="A36:E36"/>
    <mergeCell ref="A175:E175"/>
    <mergeCell ref="A181:A182"/>
    <mergeCell ref="A51:E51"/>
    <mergeCell ref="A120:E121"/>
    <mergeCell ref="A142:E142"/>
    <mergeCell ref="A140:E140"/>
    <mergeCell ref="A131:A133"/>
    <mergeCell ref="A355:E355"/>
    <mergeCell ref="A123:A124"/>
    <mergeCell ref="A349:E350"/>
    <mergeCell ref="A145:E146"/>
    <mergeCell ref="A178:E179"/>
    <mergeCell ref="A193:E194"/>
    <mergeCell ref="A276:E277"/>
    <mergeCell ref="A324:E325"/>
    <mergeCell ref="A279:A280"/>
    <mergeCell ref="A332:E332"/>
    <mergeCell ref="A284:E284"/>
    <mergeCell ref="A318:E318"/>
    <mergeCell ref="A196:A197"/>
    <mergeCell ref="A202:E202"/>
    <mergeCell ref="A239:E239"/>
  </mergeCells>
  <phoneticPr fontId="15" type="noConversion"/>
  <pageMargins left="0.7" right="0.7" top="0.75" bottom="0.75" header="0.3" footer="0.3"/>
  <pageSetup paperSize="9" orientation="portrait" verticalDpi="0" r:id="rId1"/>
  <ignoredErrors>
    <ignoredError sqref="D11" formula="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7"/>
  <sheetViews>
    <sheetView zoomScale="85" zoomScaleNormal="85" workbookViewId="0"/>
  </sheetViews>
  <sheetFormatPr baseColWidth="10" defaultColWidth="10.88671875" defaultRowHeight="13.2" x14ac:dyDescent="0.3"/>
  <cols>
    <col min="1" max="1" width="31.6640625" style="6" bestFit="1" customWidth="1"/>
    <col min="2" max="2" width="29.5546875" style="8" customWidth="1"/>
    <col min="3" max="3" width="66.77734375" style="6" bestFit="1" customWidth="1"/>
    <col min="4" max="4" width="10.33203125" style="6" customWidth="1"/>
    <col min="5" max="5" width="12.44140625" style="6" bestFit="1" customWidth="1"/>
    <col min="6" max="6" width="7.77734375" style="13" bestFit="1" customWidth="1"/>
    <col min="7" max="7" width="11.77734375" style="184" bestFit="1" customWidth="1"/>
    <col min="8" max="16384" width="10.88671875" style="5"/>
  </cols>
  <sheetData>
    <row r="1" spans="1:7" ht="13.8" thickBot="1" x14ac:dyDescent="0.35">
      <c r="A1" s="25" t="s">
        <v>135</v>
      </c>
    </row>
    <row r="2" spans="1:7" ht="39.6" customHeight="1" thickBot="1" x14ac:dyDescent="0.35">
      <c r="A2" s="645" t="s">
        <v>119</v>
      </c>
      <c r="B2" s="646" t="s">
        <v>844</v>
      </c>
      <c r="C2" s="646" t="s">
        <v>219</v>
      </c>
      <c r="D2" s="885" t="s">
        <v>901</v>
      </c>
      <c r="E2" s="885" t="s">
        <v>30</v>
      </c>
      <c r="F2" s="647" t="s">
        <v>1003</v>
      </c>
      <c r="G2" s="648" t="s">
        <v>797</v>
      </c>
    </row>
    <row r="3" spans="1:7" ht="19.95" customHeight="1" x14ac:dyDescent="0.3">
      <c r="A3" s="1180" t="s">
        <v>2534</v>
      </c>
      <c r="B3" s="886" t="s">
        <v>874</v>
      </c>
      <c r="C3" s="887" t="s">
        <v>243</v>
      </c>
      <c r="D3" s="887" t="s">
        <v>222</v>
      </c>
      <c r="E3" s="887" t="s">
        <v>2455</v>
      </c>
      <c r="F3" s="887">
        <v>2330</v>
      </c>
      <c r="G3" s="897">
        <v>28.085000000000001</v>
      </c>
    </row>
    <row r="4" spans="1:7" ht="19.95" customHeight="1" x14ac:dyDescent="0.3">
      <c r="A4" s="1181"/>
      <c r="B4" s="888" t="s">
        <v>875</v>
      </c>
      <c r="C4" s="889" t="s">
        <v>244</v>
      </c>
      <c r="D4" s="889" t="s">
        <v>222</v>
      </c>
      <c r="E4" s="889" t="s">
        <v>210</v>
      </c>
      <c r="F4" s="889">
        <v>2230</v>
      </c>
      <c r="G4" s="898">
        <v>28.085000000000001</v>
      </c>
    </row>
    <row r="5" spans="1:7" ht="19.95" customHeight="1" x14ac:dyDescent="0.3">
      <c r="A5" s="1181"/>
      <c r="B5" s="888" t="s">
        <v>2450</v>
      </c>
      <c r="C5" s="889" t="s">
        <v>245</v>
      </c>
      <c r="D5" s="889" t="s">
        <v>222</v>
      </c>
      <c r="E5" s="889" t="s">
        <v>72</v>
      </c>
      <c r="F5" s="889">
        <v>2500</v>
      </c>
      <c r="G5" s="898">
        <v>60.08</v>
      </c>
    </row>
    <row r="6" spans="1:7" ht="19.95" customHeight="1" x14ac:dyDescent="0.3">
      <c r="A6" s="1181"/>
      <c r="B6" s="888" t="s">
        <v>880</v>
      </c>
      <c r="C6" s="889" t="s">
        <v>881</v>
      </c>
      <c r="D6" s="889" t="s">
        <v>222</v>
      </c>
      <c r="E6" s="889" t="s">
        <v>210</v>
      </c>
      <c r="F6" s="889">
        <v>3170</v>
      </c>
      <c r="G6" s="898">
        <v>140.28</v>
      </c>
    </row>
    <row r="7" spans="1:7" ht="19.95" customHeight="1" x14ac:dyDescent="0.3">
      <c r="A7" s="1181"/>
      <c r="B7" s="888" t="s">
        <v>179</v>
      </c>
      <c r="C7" s="889" t="s">
        <v>877</v>
      </c>
      <c r="D7" s="889" t="s">
        <v>222</v>
      </c>
      <c r="E7" s="889" t="s">
        <v>2460</v>
      </c>
      <c r="F7" s="889">
        <v>2700</v>
      </c>
      <c r="G7" s="898">
        <v>26.98</v>
      </c>
    </row>
    <row r="8" spans="1:7" ht="19.95" customHeight="1" x14ac:dyDescent="0.3">
      <c r="A8" s="1181"/>
      <c r="B8" s="888" t="s">
        <v>186</v>
      </c>
      <c r="C8" s="889" t="s">
        <v>24</v>
      </c>
      <c r="D8" s="889" t="s">
        <v>222</v>
      </c>
      <c r="E8" s="889" t="s">
        <v>2461</v>
      </c>
      <c r="F8" s="889">
        <v>19300</v>
      </c>
      <c r="G8" s="898">
        <v>180.14</v>
      </c>
    </row>
    <row r="9" spans="1:7" ht="19.95" customHeight="1" x14ac:dyDescent="0.3">
      <c r="A9" s="1181"/>
      <c r="B9" s="888" t="s">
        <v>180</v>
      </c>
      <c r="C9" s="889" t="s">
        <v>204</v>
      </c>
      <c r="D9" s="889" t="s">
        <v>222</v>
      </c>
      <c r="E9" s="889" t="s">
        <v>2462</v>
      </c>
      <c r="F9" s="889">
        <v>4500</v>
      </c>
      <c r="G9" s="898">
        <v>47.866999999999997</v>
      </c>
    </row>
    <row r="10" spans="1:7" ht="19.95" customHeight="1" x14ac:dyDescent="0.3">
      <c r="A10" s="1181"/>
      <c r="B10" s="888" t="s">
        <v>187</v>
      </c>
      <c r="C10" s="889" t="s">
        <v>205</v>
      </c>
      <c r="D10" s="889" t="s">
        <v>222</v>
      </c>
      <c r="E10" s="889" t="s">
        <v>1999</v>
      </c>
      <c r="F10" s="889">
        <v>8900</v>
      </c>
      <c r="G10" s="898">
        <v>58.69</v>
      </c>
    </row>
    <row r="11" spans="1:7" ht="19.95" customHeight="1" thickBot="1" x14ac:dyDescent="0.35">
      <c r="A11" s="1182"/>
      <c r="B11" s="890" t="s">
        <v>1039</v>
      </c>
      <c r="C11" s="891" t="s">
        <v>1040</v>
      </c>
      <c r="D11" s="891" t="s">
        <v>222</v>
      </c>
      <c r="E11" s="891" t="s">
        <v>2454</v>
      </c>
      <c r="F11" s="891">
        <v>10503</v>
      </c>
      <c r="G11" s="899">
        <v>107.86799999999999</v>
      </c>
    </row>
    <row r="12" spans="1:7" ht="19.95" customHeight="1" x14ac:dyDescent="0.3">
      <c r="A12" s="1180" t="s">
        <v>2448</v>
      </c>
      <c r="B12" s="886" t="s">
        <v>2446</v>
      </c>
      <c r="C12" s="887" t="s">
        <v>527</v>
      </c>
      <c r="D12" s="887" t="s">
        <v>220</v>
      </c>
      <c r="E12" s="887" t="s">
        <v>82</v>
      </c>
      <c r="F12" s="892">
        <v>0.09</v>
      </c>
      <c r="G12" s="897">
        <v>1.008</v>
      </c>
    </row>
    <row r="13" spans="1:7" ht="19.95" customHeight="1" x14ac:dyDescent="0.3">
      <c r="A13" s="1181"/>
      <c r="B13" s="893" t="s">
        <v>2447</v>
      </c>
      <c r="C13" s="889" t="s">
        <v>2443</v>
      </c>
      <c r="D13" s="889" t="s">
        <v>220</v>
      </c>
      <c r="E13" s="889" t="s">
        <v>60</v>
      </c>
      <c r="F13" s="894">
        <v>1.429</v>
      </c>
      <c r="G13" s="898">
        <v>31.998999999999999</v>
      </c>
    </row>
    <row r="14" spans="1:7" ht="19.95" customHeight="1" x14ac:dyDescent="0.3">
      <c r="A14" s="1181"/>
      <c r="B14" s="893" t="s">
        <v>2449</v>
      </c>
      <c r="C14" s="889" t="s">
        <v>31</v>
      </c>
      <c r="D14" s="889" t="s">
        <v>220</v>
      </c>
      <c r="E14" s="889" t="s">
        <v>61</v>
      </c>
      <c r="F14" s="894">
        <v>1.25</v>
      </c>
      <c r="G14" s="898">
        <v>28.01</v>
      </c>
    </row>
    <row r="15" spans="1:7" ht="19.95" customHeight="1" x14ac:dyDescent="0.3">
      <c r="A15" s="1181"/>
      <c r="B15" s="893" t="s">
        <v>2</v>
      </c>
      <c r="C15" s="889" t="s">
        <v>32</v>
      </c>
      <c r="D15" s="889" t="s">
        <v>220</v>
      </c>
      <c r="E15" s="889" t="s">
        <v>64</v>
      </c>
      <c r="F15" s="894">
        <v>1.784</v>
      </c>
      <c r="G15" s="898">
        <v>39.948</v>
      </c>
    </row>
    <row r="16" spans="1:7" ht="19.95" customHeight="1" thickBot="1" x14ac:dyDescent="0.35">
      <c r="A16" s="1182"/>
      <c r="B16" s="895" t="s">
        <v>4</v>
      </c>
      <c r="C16" s="891" t="s">
        <v>33</v>
      </c>
      <c r="D16" s="891" t="s">
        <v>220</v>
      </c>
      <c r="E16" s="891" t="s">
        <v>65</v>
      </c>
      <c r="F16" s="896">
        <v>0.17849999999999999</v>
      </c>
      <c r="G16" s="899">
        <v>4.0019999999999998</v>
      </c>
    </row>
    <row r="17" spans="1:7" ht="19.95" customHeight="1" x14ac:dyDescent="0.3">
      <c r="A17" s="1180" t="s">
        <v>29</v>
      </c>
      <c r="B17" s="886" t="s">
        <v>2445</v>
      </c>
      <c r="C17" s="887" t="s">
        <v>2451</v>
      </c>
      <c r="D17" s="887" t="s">
        <v>220</v>
      </c>
      <c r="E17" s="887" t="s">
        <v>63</v>
      </c>
      <c r="F17" s="892">
        <v>1.9770000000000001</v>
      </c>
      <c r="G17" s="897">
        <v>44.012999999999998</v>
      </c>
    </row>
    <row r="18" spans="1:7" ht="19.95" customHeight="1" x14ac:dyDescent="0.3">
      <c r="A18" s="1181"/>
      <c r="B18" s="893" t="s">
        <v>2444</v>
      </c>
      <c r="C18" s="889" t="s">
        <v>36</v>
      </c>
      <c r="D18" s="889" t="s">
        <v>220</v>
      </c>
      <c r="E18" s="889" t="s">
        <v>66</v>
      </c>
      <c r="F18" s="894">
        <v>0.65700000000000003</v>
      </c>
      <c r="G18" s="898">
        <v>16.042999999999999</v>
      </c>
    </row>
    <row r="19" spans="1:7" ht="19.95" customHeight="1" x14ac:dyDescent="0.3">
      <c r="A19" s="1181"/>
      <c r="B19" s="893" t="s">
        <v>27</v>
      </c>
      <c r="C19" s="889" t="s">
        <v>34</v>
      </c>
      <c r="D19" s="889" t="s">
        <v>220</v>
      </c>
      <c r="E19" s="889" t="s">
        <v>67</v>
      </c>
      <c r="F19" s="894">
        <v>1.145</v>
      </c>
      <c r="G19" s="898">
        <v>28.01</v>
      </c>
    </row>
    <row r="20" spans="1:7" ht="19.95" customHeight="1" x14ac:dyDescent="0.3">
      <c r="A20" s="1181"/>
      <c r="B20" s="893" t="s">
        <v>2452</v>
      </c>
      <c r="C20" s="889" t="s">
        <v>35</v>
      </c>
      <c r="D20" s="889" t="s">
        <v>220</v>
      </c>
      <c r="E20" s="889" t="s">
        <v>68</v>
      </c>
      <c r="F20" s="894">
        <v>1.9770000000000001</v>
      </c>
      <c r="G20" s="898">
        <v>44.009</v>
      </c>
    </row>
    <row r="21" spans="1:7" ht="19.95" customHeight="1" x14ac:dyDescent="0.3">
      <c r="A21" s="1181"/>
      <c r="B21" s="893" t="s">
        <v>28</v>
      </c>
      <c r="C21" s="889" t="s">
        <v>69</v>
      </c>
      <c r="D21" s="889" t="s">
        <v>220</v>
      </c>
      <c r="E21" s="889" t="s">
        <v>70</v>
      </c>
      <c r="F21" s="894">
        <v>1.3402000000000001</v>
      </c>
      <c r="G21" s="898">
        <v>30.006</v>
      </c>
    </row>
    <row r="22" spans="1:7" ht="19.95" customHeight="1" x14ac:dyDescent="0.3">
      <c r="A22" s="1181"/>
      <c r="B22" s="893" t="s">
        <v>2453</v>
      </c>
      <c r="C22" s="889" t="s">
        <v>51</v>
      </c>
      <c r="D22" s="889" t="s">
        <v>220</v>
      </c>
      <c r="E22" s="889" t="s">
        <v>71</v>
      </c>
      <c r="F22" s="894">
        <v>1.88</v>
      </c>
      <c r="G22" s="898">
        <v>46.005000000000003</v>
      </c>
    </row>
    <row r="23" spans="1:7" ht="19.95" customHeight="1" x14ac:dyDescent="0.3">
      <c r="A23" s="1181"/>
      <c r="B23" s="893" t="s">
        <v>2463</v>
      </c>
      <c r="C23" s="889" t="s">
        <v>2457</v>
      </c>
      <c r="D23" s="889" t="s">
        <v>220</v>
      </c>
      <c r="E23" s="889" t="s">
        <v>2456</v>
      </c>
      <c r="F23" s="894">
        <v>3.1027999999999998</v>
      </c>
      <c r="G23" s="898">
        <v>79.903999999999996</v>
      </c>
    </row>
    <row r="24" spans="1:7" ht="19.95" customHeight="1" x14ac:dyDescent="0.3">
      <c r="A24" s="1181"/>
      <c r="B24" s="893" t="s">
        <v>2464</v>
      </c>
      <c r="C24" s="889" t="s">
        <v>2458</v>
      </c>
      <c r="D24" s="889" t="s">
        <v>220</v>
      </c>
      <c r="E24" s="889" t="s">
        <v>50</v>
      </c>
      <c r="F24" s="894">
        <v>1.696</v>
      </c>
      <c r="G24" s="898">
        <v>37.9968</v>
      </c>
    </row>
    <row r="25" spans="1:7" ht="19.95" customHeight="1" thickBot="1" x14ac:dyDescent="0.35">
      <c r="A25" s="1182"/>
      <c r="B25" s="895" t="s">
        <v>2465</v>
      </c>
      <c r="C25" s="891" t="s">
        <v>2459</v>
      </c>
      <c r="D25" s="891" t="s">
        <v>220</v>
      </c>
      <c r="E25" s="891" t="s">
        <v>54</v>
      </c>
      <c r="F25" s="896">
        <v>3.2</v>
      </c>
      <c r="G25" s="899">
        <v>70.906000000000006</v>
      </c>
    </row>
    <row r="26" spans="1:7" ht="19.95" customHeight="1" x14ac:dyDescent="0.3">
      <c r="A26" s="1184" t="s">
        <v>206</v>
      </c>
      <c r="B26" s="886" t="s">
        <v>2479</v>
      </c>
      <c r="C26" s="887" t="s">
        <v>37</v>
      </c>
      <c r="D26" s="887" t="s">
        <v>220</v>
      </c>
      <c r="E26" s="887" t="s">
        <v>75</v>
      </c>
      <c r="F26" s="892">
        <v>1.44</v>
      </c>
      <c r="G26" s="897">
        <v>32.116999999999997</v>
      </c>
    </row>
    <row r="27" spans="1:7" ht="19.95" customHeight="1" x14ac:dyDescent="0.3">
      <c r="A27" s="1185"/>
      <c r="B27" s="893" t="s">
        <v>2480</v>
      </c>
      <c r="C27" s="889" t="s">
        <v>191</v>
      </c>
      <c r="D27" s="889" t="s">
        <v>220</v>
      </c>
      <c r="E27" s="889" t="s">
        <v>217</v>
      </c>
      <c r="F27" s="894">
        <v>1.2609999999999999</v>
      </c>
      <c r="G27" s="898">
        <v>101.00700000000001</v>
      </c>
    </row>
    <row r="28" spans="1:7" ht="19.95" customHeight="1" x14ac:dyDescent="0.3">
      <c r="A28" s="1185"/>
      <c r="B28" s="893" t="s">
        <v>2476</v>
      </c>
      <c r="C28" s="889" t="s">
        <v>2475</v>
      </c>
      <c r="D28" s="889" t="s">
        <v>220</v>
      </c>
      <c r="E28" s="889" t="s">
        <v>2477</v>
      </c>
      <c r="F28" s="894">
        <v>1.3420000000000001</v>
      </c>
      <c r="G28" s="898">
        <v>135.44999999999999</v>
      </c>
    </row>
    <row r="29" spans="1:7" ht="19.95" customHeight="1" x14ac:dyDescent="0.3">
      <c r="A29" s="1185"/>
      <c r="B29" s="893" t="s">
        <v>2466</v>
      </c>
      <c r="C29" s="889" t="s">
        <v>2478</v>
      </c>
      <c r="D29" s="889" t="s">
        <v>220</v>
      </c>
      <c r="E29" s="889" t="s">
        <v>85</v>
      </c>
      <c r="F29" s="894">
        <v>1.4830000000000001</v>
      </c>
      <c r="G29" s="898">
        <v>169.9</v>
      </c>
    </row>
    <row r="30" spans="1:7" ht="19.95" customHeight="1" x14ac:dyDescent="0.3">
      <c r="A30" s="1185"/>
      <c r="B30" s="893" t="s">
        <v>2467</v>
      </c>
      <c r="C30" s="889" t="s">
        <v>38</v>
      </c>
      <c r="D30" s="889" t="s">
        <v>220</v>
      </c>
      <c r="E30" s="889" t="s">
        <v>76</v>
      </c>
      <c r="F30" s="894">
        <v>1.38</v>
      </c>
      <c r="G30" s="898">
        <v>94.971400000000003</v>
      </c>
    </row>
    <row r="31" spans="1:7" ht="19.95" customHeight="1" x14ac:dyDescent="0.3">
      <c r="A31" s="1185"/>
      <c r="B31" s="893" t="s">
        <v>2468</v>
      </c>
      <c r="C31" s="889" t="s">
        <v>39</v>
      </c>
      <c r="D31" s="889" t="s">
        <v>220</v>
      </c>
      <c r="E31" s="889" t="s">
        <v>74</v>
      </c>
      <c r="F31" s="894">
        <v>4.93</v>
      </c>
      <c r="G31" s="898">
        <v>77.945400000000006</v>
      </c>
    </row>
    <row r="32" spans="1:7" ht="19.95" customHeight="1" x14ac:dyDescent="0.3">
      <c r="A32" s="1185"/>
      <c r="B32" s="893" t="s">
        <v>2469</v>
      </c>
      <c r="C32" s="889" t="s">
        <v>896</v>
      </c>
      <c r="D32" s="889" t="s">
        <v>220</v>
      </c>
      <c r="E32" s="889" t="s">
        <v>2470</v>
      </c>
      <c r="F32" s="894">
        <v>13</v>
      </c>
      <c r="G32" s="898">
        <v>297.83</v>
      </c>
    </row>
    <row r="33" spans="1:7" ht="19.95" customHeight="1" thickBot="1" x14ac:dyDescent="0.35">
      <c r="A33" s="1186"/>
      <c r="B33" s="895" t="s">
        <v>2471</v>
      </c>
      <c r="C33" s="891" t="s">
        <v>2481</v>
      </c>
      <c r="D33" s="891" t="s">
        <v>220</v>
      </c>
      <c r="E33" s="891" t="s">
        <v>73</v>
      </c>
      <c r="F33" s="896">
        <v>1.131</v>
      </c>
      <c r="G33" s="899">
        <v>27.67</v>
      </c>
    </row>
    <row r="34" spans="1:7" ht="19.95" customHeight="1" x14ac:dyDescent="0.3">
      <c r="A34" s="1187" t="s">
        <v>2473</v>
      </c>
      <c r="B34" s="900" t="s">
        <v>2472</v>
      </c>
      <c r="C34" s="901" t="s">
        <v>115</v>
      </c>
      <c r="D34" s="901" t="s">
        <v>220</v>
      </c>
      <c r="E34" s="901" t="s">
        <v>118</v>
      </c>
      <c r="F34" s="902">
        <v>2.76</v>
      </c>
      <c r="G34" s="929">
        <v>67.805999999999997</v>
      </c>
    </row>
    <row r="35" spans="1:7" ht="19.95" customHeight="1" x14ac:dyDescent="0.3">
      <c r="A35" s="1188"/>
      <c r="B35" s="893" t="s">
        <v>77</v>
      </c>
      <c r="C35" s="889" t="s">
        <v>86</v>
      </c>
      <c r="D35" s="889" t="s">
        <v>220</v>
      </c>
      <c r="E35" s="889" t="s">
        <v>84</v>
      </c>
      <c r="F35" s="894">
        <v>1.66</v>
      </c>
      <c r="G35" s="898">
        <v>104.08</v>
      </c>
    </row>
    <row r="36" spans="1:7" ht="19.95" customHeight="1" x14ac:dyDescent="0.3">
      <c r="A36" s="1188"/>
      <c r="B36" s="903" t="s">
        <v>2474</v>
      </c>
      <c r="C36" s="904" t="s">
        <v>87</v>
      </c>
      <c r="D36" s="904" t="s">
        <v>220</v>
      </c>
      <c r="E36" s="904" t="s">
        <v>55</v>
      </c>
      <c r="F36" s="905">
        <v>3.72</v>
      </c>
      <c r="G36" s="930">
        <v>88.004300000000001</v>
      </c>
    </row>
    <row r="37" spans="1:7" ht="19.95" customHeight="1" x14ac:dyDescent="0.3">
      <c r="A37" s="1188"/>
      <c r="B37" s="893" t="s">
        <v>2482</v>
      </c>
      <c r="C37" s="889" t="s">
        <v>80</v>
      </c>
      <c r="D37" s="889" t="s">
        <v>220</v>
      </c>
      <c r="E37" s="889" t="s">
        <v>88</v>
      </c>
      <c r="F37" s="894">
        <v>1.5189999999999999</v>
      </c>
      <c r="G37" s="898">
        <v>100.01600000000001</v>
      </c>
    </row>
    <row r="38" spans="1:7" ht="19.95" customHeight="1" x14ac:dyDescent="0.3">
      <c r="A38" s="1188"/>
      <c r="B38" s="893" t="s">
        <v>2483</v>
      </c>
      <c r="C38" s="889" t="s">
        <v>2532</v>
      </c>
      <c r="D38" s="889" t="s">
        <v>220</v>
      </c>
      <c r="E38" s="889" t="s">
        <v>56</v>
      </c>
      <c r="F38" s="894">
        <v>5.734</v>
      </c>
      <c r="G38" s="898">
        <v>138.012</v>
      </c>
    </row>
    <row r="39" spans="1:7" ht="19.95" customHeight="1" x14ac:dyDescent="0.3">
      <c r="A39" s="1188"/>
      <c r="B39" s="893" t="s">
        <v>2513</v>
      </c>
      <c r="C39" s="889" t="s">
        <v>53</v>
      </c>
      <c r="D39" s="889" t="s">
        <v>220</v>
      </c>
      <c r="E39" s="889" t="s">
        <v>57</v>
      </c>
      <c r="F39" s="894">
        <v>1.65</v>
      </c>
      <c r="G39" s="898">
        <v>200.03</v>
      </c>
    </row>
    <row r="40" spans="1:7" ht="19.95" customHeight="1" x14ac:dyDescent="0.3">
      <c r="A40" s="1188"/>
      <c r="B40" s="893" t="s">
        <v>2514</v>
      </c>
      <c r="C40" s="889" t="s">
        <v>116</v>
      </c>
      <c r="D40" s="889" t="s">
        <v>220</v>
      </c>
      <c r="E40" s="889" t="s">
        <v>89</v>
      </c>
      <c r="F40" s="894">
        <v>2.698</v>
      </c>
      <c r="G40" s="898">
        <v>66.007000000000005</v>
      </c>
    </row>
    <row r="41" spans="1:7" ht="19.95" customHeight="1" x14ac:dyDescent="0.3">
      <c r="A41" s="1188"/>
      <c r="B41" s="893" t="s">
        <v>2515</v>
      </c>
      <c r="C41" s="889" t="s">
        <v>117</v>
      </c>
      <c r="D41" s="889" t="s">
        <v>220</v>
      </c>
      <c r="E41" s="889" t="s">
        <v>62</v>
      </c>
      <c r="F41" s="894">
        <v>3.0030000000000001</v>
      </c>
      <c r="G41" s="898">
        <v>71</v>
      </c>
    </row>
    <row r="42" spans="1:7" ht="19.95" customHeight="1" x14ac:dyDescent="0.3">
      <c r="A42" s="1188"/>
      <c r="B42" s="893" t="s">
        <v>2516</v>
      </c>
      <c r="C42" s="889" t="s">
        <v>58</v>
      </c>
      <c r="D42" s="889" t="s">
        <v>220</v>
      </c>
      <c r="E42" s="889" t="s">
        <v>90</v>
      </c>
      <c r="F42" s="894">
        <v>2.9460000000000002</v>
      </c>
      <c r="G42" s="898">
        <v>70.013999999999996</v>
      </c>
    </row>
    <row r="43" spans="1:7" ht="19.95" customHeight="1" x14ac:dyDescent="0.3">
      <c r="A43" s="1188"/>
      <c r="B43" s="893" t="s">
        <v>2517</v>
      </c>
      <c r="C43" s="889" t="s">
        <v>193</v>
      </c>
      <c r="D43" s="889" t="s">
        <v>220</v>
      </c>
      <c r="E43" s="889" t="s">
        <v>92</v>
      </c>
      <c r="F43" s="894">
        <v>1.95</v>
      </c>
      <c r="G43" s="898">
        <v>108.07</v>
      </c>
    </row>
    <row r="44" spans="1:7" ht="19.95" customHeight="1" x14ac:dyDescent="0.3">
      <c r="A44" s="1188"/>
      <c r="B44" s="893" t="s">
        <v>2518</v>
      </c>
      <c r="C44" s="889" t="s">
        <v>192</v>
      </c>
      <c r="D44" s="889" t="s">
        <v>220</v>
      </c>
      <c r="E44" s="889" t="s">
        <v>91</v>
      </c>
      <c r="F44" s="894">
        <v>6.17</v>
      </c>
      <c r="G44" s="898">
        <v>146.05000000000001</v>
      </c>
    </row>
    <row r="45" spans="1:7" ht="19.95" customHeight="1" thickBot="1" x14ac:dyDescent="0.35">
      <c r="A45" s="1192"/>
      <c r="B45" s="906" t="s">
        <v>2469</v>
      </c>
      <c r="C45" s="907" t="s">
        <v>896</v>
      </c>
      <c r="D45" s="907" t="s">
        <v>220</v>
      </c>
      <c r="E45" s="907" t="s">
        <v>2533</v>
      </c>
      <c r="F45" s="908">
        <v>4.5599999999999996</v>
      </c>
      <c r="G45" s="931">
        <v>297.83</v>
      </c>
    </row>
    <row r="46" spans="1:7" ht="19.95" customHeight="1" x14ac:dyDescent="0.3">
      <c r="A46" s="1180" t="s">
        <v>17</v>
      </c>
      <c r="B46" s="886" t="s">
        <v>2535</v>
      </c>
      <c r="C46" s="887" t="s">
        <v>257</v>
      </c>
      <c r="D46" s="887" t="s">
        <v>221</v>
      </c>
      <c r="E46" s="887" t="s">
        <v>93</v>
      </c>
      <c r="F46" s="909">
        <f>1150</f>
        <v>1150</v>
      </c>
      <c r="G46" s="897" t="s">
        <v>210</v>
      </c>
    </row>
    <row r="47" spans="1:7" ht="19.95" customHeight="1" x14ac:dyDescent="0.3">
      <c r="A47" s="1181"/>
      <c r="B47" s="893" t="s">
        <v>2537</v>
      </c>
      <c r="C47" s="889" t="s">
        <v>40</v>
      </c>
      <c r="D47" s="889" t="s">
        <v>221</v>
      </c>
      <c r="E47" s="889" t="s">
        <v>94</v>
      </c>
      <c r="F47" s="910">
        <v>1710</v>
      </c>
      <c r="G47" s="898" t="s">
        <v>210</v>
      </c>
    </row>
    <row r="48" spans="1:7" ht="19.95" customHeight="1" x14ac:dyDescent="0.3">
      <c r="A48" s="1181"/>
      <c r="B48" s="893" t="s">
        <v>2536</v>
      </c>
      <c r="C48" s="889" t="s">
        <v>194</v>
      </c>
      <c r="D48" s="889" t="s">
        <v>221</v>
      </c>
      <c r="E48" s="889" t="s">
        <v>196</v>
      </c>
      <c r="F48" s="910">
        <v>1060</v>
      </c>
      <c r="G48" s="898" t="s">
        <v>210</v>
      </c>
    </row>
    <row r="49" spans="1:7" ht="19.95" customHeight="1" x14ac:dyDescent="0.3">
      <c r="A49" s="1181"/>
      <c r="B49" s="893" t="s">
        <v>123</v>
      </c>
      <c r="C49" s="889" t="s">
        <v>195</v>
      </c>
      <c r="D49" s="889" t="s">
        <v>221</v>
      </c>
      <c r="E49" s="889" t="s">
        <v>95</v>
      </c>
      <c r="F49" s="910">
        <v>1220</v>
      </c>
      <c r="G49" s="898">
        <v>46.024999999999999</v>
      </c>
    </row>
    <row r="50" spans="1:7" ht="19.95" customHeight="1" x14ac:dyDescent="0.3">
      <c r="A50" s="1181"/>
      <c r="B50" s="893" t="s">
        <v>2527</v>
      </c>
      <c r="C50" s="889" t="s">
        <v>41</v>
      </c>
      <c r="D50" s="889" t="s">
        <v>221</v>
      </c>
      <c r="E50" s="889" t="s">
        <v>97</v>
      </c>
      <c r="F50" s="910">
        <v>1510</v>
      </c>
      <c r="G50" s="898">
        <v>63.012</v>
      </c>
    </row>
    <row r="51" spans="1:7" ht="19.95" customHeight="1" x14ac:dyDescent="0.3">
      <c r="A51" s="1181"/>
      <c r="B51" s="893" t="s">
        <v>2538</v>
      </c>
      <c r="C51" s="889" t="s">
        <v>41</v>
      </c>
      <c r="D51" s="889" t="s">
        <v>221</v>
      </c>
      <c r="E51" s="889" t="s">
        <v>97</v>
      </c>
      <c r="F51" s="910">
        <v>1420</v>
      </c>
      <c r="G51" s="898" t="s">
        <v>210</v>
      </c>
    </row>
    <row r="52" spans="1:7" ht="19.95" customHeight="1" x14ac:dyDescent="0.3">
      <c r="A52" s="1181"/>
      <c r="B52" s="893" t="s">
        <v>2539</v>
      </c>
      <c r="C52" s="889" t="s">
        <v>99</v>
      </c>
      <c r="D52" s="889" t="s">
        <v>221</v>
      </c>
      <c r="E52" s="889" t="s">
        <v>98</v>
      </c>
      <c r="F52" s="910">
        <v>1190</v>
      </c>
      <c r="G52" s="898" t="s">
        <v>210</v>
      </c>
    </row>
    <row r="53" spans="1:7" ht="19.95" customHeight="1" x14ac:dyDescent="0.3">
      <c r="A53" s="1181"/>
      <c r="B53" s="893" t="s">
        <v>12</v>
      </c>
      <c r="C53" s="889" t="s">
        <v>99</v>
      </c>
      <c r="D53" s="889" t="s">
        <v>220</v>
      </c>
      <c r="E53" s="889" t="s">
        <v>98</v>
      </c>
      <c r="F53" s="910">
        <v>1.49</v>
      </c>
      <c r="G53" s="898">
        <v>36.46</v>
      </c>
    </row>
    <row r="54" spans="1:7" ht="19.95" customHeight="1" x14ac:dyDescent="0.3">
      <c r="A54" s="1181"/>
      <c r="B54" s="893" t="s">
        <v>2540</v>
      </c>
      <c r="C54" s="889" t="s">
        <v>113</v>
      </c>
      <c r="D54" s="889" t="s">
        <v>221</v>
      </c>
      <c r="E54" s="889" t="s">
        <v>114</v>
      </c>
      <c r="F54" s="910">
        <v>1490</v>
      </c>
      <c r="G54" s="898">
        <v>80.91</v>
      </c>
    </row>
    <row r="55" spans="1:7" ht="19.95" customHeight="1" thickBot="1" x14ac:dyDescent="0.35">
      <c r="A55" s="1182"/>
      <c r="B55" s="895" t="s">
        <v>2528</v>
      </c>
      <c r="C55" s="891" t="s">
        <v>42</v>
      </c>
      <c r="D55" s="891" t="s">
        <v>221</v>
      </c>
      <c r="E55" s="891" t="s">
        <v>96</v>
      </c>
      <c r="F55" s="911">
        <v>1830</v>
      </c>
      <c r="G55" s="899">
        <v>98.078999999999994</v>
      </c>
    </row>
    <row r="56" spans="1:7" ht="19.95" customHeight="1" x14ac:dyDescent="0.3">
      <c r="A56" s="1183" t="s">
        <v>122</v>
      </c>
      <c r="B56" s="886" t="s">
        <v>2523</v>
      </c>
      <c r="C56" s="887" t="s">
        <v>43</v>
      </c>
      <c r="D56" s="887" t="s">
        <v>220</v>
      </c>
      <c r="E56" s="887" t="s">
        <v>100</v>
      </c>
      <c r="F56" s="892">
        <v>0.76900000000000002</v>
      </c>
      <c r="G56" s="897">
        <v>17.030999999999999</v>
      </c>
    </row>
    <row r="57" spans="1:7" ht="19.95" customHeight="1" x14ac:dyDescent="0.3">
      <c r="A57" s="1181"/>
      <c r="B57" s="893" t="s">
        <v>2524</v>
      </c>
      <c r="C57" s="889" t="s">
        <v>126</v>
      </c>
      <c r="D57" s="889" t="s">
        <v>221</v>
      </c>
      <c r="E57" s="889" t="s">
        <v>102</v>
      </c>
      <c r="F57" s="910">
        <v>910</v>
      </c>
      <c r="G57" s="898">
        <v>17.030999999999999</v>
      </c>
    </row>
    <row r="58" spans="1:7" ht="19.95" customHeight="1" x14ac:dyDescent="0.3">
      <c r="A58" s="1181"/>
      <c r="B58" s="893" t="s">
        <v>2525</v>
      </c>
      <c r="C58" s="889" t="s">
        <v>199</v>
      </c>
      <c r="D58" s="889" t="s">
        <v>221</v>
      </c>
      <c r="E58" s="889" t="s">
        <v>200</v>
      </c>
      <c r="F58" s="910">
        <v>1010</v>
      </c>
      <c r="G58" s="898">
        <v>37.036999999999999</v>
      </c>
    </row>
    <row r="59" spans="1:7" ht="19.95" customHeight="1" x14ac:dyDescent="0.3">
      <c r="A59" s="1181"/>
      <c r="B59" s="893" t="s">
        <v>22</v>
      </c>
      <c r="C59" s="889" t="s">
        <v>44</v>
      </c>
      <c r="D59" s="889" t="s">
        <v>222</v>
      </c>
      <c r="E59" s="889" t="s">
        <v>103</v>
      </c>
      <c r="F59" s="910">
        <v>2130</v>
      </c>
      <c r="G59" s="898">
        <v>39.997100000000003</v>
      </c>
    </row>
    <row r="60" spans="1:7" ht="19.95" customHeight="1" thickBot="1" x14ac:dyDescent="0.35">
      <c r="A60" s="1182"/>
      <c r="B60" s="895" t="s">
        <v>139</v>
      </c>
      <c r="C60" s="891" t="s">
        <v>197</v>
      </c>
      <c r="D60" s="891" t="s">
        <v>221</v>
      </c>
      <c r="E60" s="891" t="s">
        <v>201</v>
      </c>
      <c r="F60" s="911">
        <v>2044</v>
      </c>
      <c r="G60" s="899">
        <v>56.104999999999997</v>
      </c>
    </row>
    <row r="61" spans="1:7" ht="19.95" customHeight="1" x14ac:dyDescent="0.3">
      <c r="A61" s="1180" t="s">
        <v>25</v>
      </c>
      <c r="B61" s="886" t="s">
        <v>2526</v>
      </c>
      <c r="C61" s="887" t="s">
        <v>79</v>
      </c>
      <c r="D61" s="887" t="s">
        <v>220</v>
      </c>
      <c r="E61" s="887" t="s">
        <v>81</v>
      </c>
      <c r="F61" s="892">
        <v>0.81530000000000002</v>
      </c>
      <c r="G61" s="897">
        <v>30.026</v>
      </c>
    </row>
    <row r="62" spans="1:7" ht="19.95" customHeight="1" x14ac:dyDescent="0.3">
      <c r="A62" s="1181"/>
      <c r="B62" s="893" t="s">
        <v>2509</v>
      </c>
      <c r="C62" s="889" t="s">
        <v>13</v>
      </c>
      <c r="D62" s="889" t="s">
        <v>221</v>
      </c>
      <c r="E62" s="889" t="s">
        <v>218</v>
      </c>
      <c r="F62" s="910">
        <v>1000</v>
      </c>
      <c r="G62" s="898">
        <v>18.015000000000001</v>
      </c>
    </row>
    <row r="63" spans="1:7" ht="19.95" customHeight="1" x14ac:dyDescent="0.3">
      <c r="A63" s="1181"/>
      <c r="B63" s="893" t="s">
        <v>2510</v>
      </c>
      <c r="C63" s="889" t="s">
        <v>45</v>
      </c>
      <c r="D63" s="889" t="s">
        <v>221</v>
      </c>
      <c r="E63" s="889" t="s">
        <v>83</v>
      </c>
      <c r="F63" s="910">
        <v>1450</v>
      </c>
      <c r="G63" s="898">
        <v>34.014000000000003</v>
      </c>
    </row>
    <row r="64" spans="1:7" ht="19.95" customHeight="1" x14ac:dyDescent="0.3">
      <c r="A64" s="1181"/>
      <c r="B64" s="893" t="s">
        <v>2521</v>
      </c>
      <c r="C64" s="889" t="s">
        <v>52</v>
      </c>
      <c r="D64" s="889" t="s">
        <v>221</v>
      </c>
      <c r="E64" s="889" t="s">
        <v>104</v>
      </c>
      <c r="F64" s="894">
        <v>0.78449999999999998</v>
      </c>
      <c r="G64" s="898">
        <v>58.08</v>
      </c>
    </row>
    <row r="65" spans="1:7" ht="19.95" customHeight="1" x14ac:dyDescent="0.3">
      <c r="A65" s="1181"/>
      <c r="B65" s="893" t="s">
        <v>2522</v>
      </c>
      <c r="C65" s="889" t="s">
        <v>215</v>
      </c>
      <c r="D65" s="889" t="s">
        <v>221</v>
      </c>
      <c r="E65" s="889" t="s">
        <v>105</v>
      </c>
      <c r="F65" s="910">
        <v>785.05</v>
      </c>
      <c r="G65" s="898">
        <v>60.094999999999999</v>
      </c>
    </row>
    <row r="66" spans="1:7" ht="19.95" customHeight="1" x14ac:dyDescent="0.3">
      <c r="A66" s="1181"/>
      <c r="B66" s="893" t="s">
        <v>14</v>
      </c>
      <c r="C66" s="889" t="s">
        <v>2542</v>
      </c>
      <c r="D66" s="889" t="s">
        <v>221</v>
      </c>
      <c r="E66" s="912" t="s">
        <v>108</v>
      </c>
      <c r="F66" s="913">
        <v>920</v>
      </c>
      <c r="G66" s="932">
        <v>90.122</v>
      </c>
    </row>
    <row r="67" spans="1:7" ht="19.95" customHeight="1" thickBot="1" x14ac:dyDescent="0.35">
      <c r="A67" s="1182"/>
      <c r="B67" s="895" t="s">
        <v>15</v>
      </c>
      <c r="C67" s="891" t="s">
        <v>59</v>
      </c>
      <c r="D67" s="891" t="s">
        <v>221</v>
      </c>
      <c r="E67" s="891" t="s">
        <v>109</v>
      </c>
      <c r="F67" s="911">
        <v>962</v>
      </c>
      <c r="G67" s="899">
        <v>132.15899999999999</v>
      </c>
    </row>
    <row r="68" spans="1:7" ht="19.95" customHeight="1" x14ac:dyDescent="0.3">
      <c r="A68" s="1187" t="s">
        <v>2493</v>
      </c>
      <c r="B68" s="886" t="s">
        <v>2488</v>
      </c>
      <c r="C68" s="887" t="s">
        <v>2489</v>
      </c>
      <c r="D68" s="887" t="s">
        <v>221</v>
      </c>
      <c r="E68" s="887" t="s">
        <v>210</v>
      </c>
      <c r="F68" s="909">
        <f>'26. CHEM. SOL._MODEL'!$D$105</f>
        <v>1020</v>
      </c>
      <c r="G68" s="897" t="s">
        <v>210</v>
      </c>
    </row>
    <row r="69" spans="1:7" ht="19.95" customHeight="1" x14ac:dyDescent="0.3">
      <c r="A69" s="1188"/>
      <c r="B69" s="903" t="s">
        <v>2490</v>
      </c>
      <c r="C69" s="904" t="s">
        <v>2491</v>
      </c>
      <c r="D69" s="904" t="s">
        <v>221</v>
      </c>
      <c r="E69" s="904" t="s">
        <v>210</v>
      </c>
      <c r="F69" s="914">
        <f>'26. CHEM. SOL._MODEL'!$D$132</f>
        <v>1015</v>
      </c>
      <c r="G69" s="930" t="s">
        <v>210</v>
      </c>
    </row>
    <row r="70" spans="1:7" ht="19.95" customHeight="1" x14ac:dyDescent="0.3">
      <c r="A70" s="1188"/>
      <c r="B70" s="903" t="s">
        <v>2492</v>
      </c>
      <c r="C70" s="904" t="s">
        <v>2494</v>
      </c>
      <c r="D70" s="904" t="s">
        <v>221</v>
      </c>
      <c r="E70" s="904" t="s">
        <v>210</v>
      </c>
      <c r="F70" s="914">
        <f>'26. CHEM. SOL._MODEL'!$D$154</f>
        <v>1735</v>
      </c>
      <c r="G70" s="930" t="s">
        <v>210</v>
      </c>
    </row>
    <row r="71" spans="1:7" ht="19.95" customHeight="1" x14ac:dyDescent="0.3">
      <c r="A71" s="1188"/>
      <c r="B71" s="903" t="s">
        <v>2508</v>
      </c>
      <c r="C71" s="904" t="s">
        <v>2507</v>
      </c>
      <c r="D71" s="904" t="s">
        <v>221</v>
      </c>
      <c r="E71" s="904" t="s">
        <v>210</v>
      </c>
      <c r="F71" s="914">
        <f>'26. CHEM. SOL._MODEL'!$D$249</f>
        <v>1313.6363636363637</v>
      </c>
      <c r="G71" s="930" t="s">
        <v>210</v>
      </c>
    </row>
    <row r="72" spans="1:7" ht="19.95" customHeight="1" x14ac:dyDescent="0.3">
      <c r="A72" s="1188"/>
      <c r="B72" s="903" t="s">
        <v>2520</v>
      </c>
      <c r="C72" s="904" t="s">
        <v>2512</v>
      </c>
      <c r="D72" s="904" t="s">
        <v>221</v>
      </c>
      <c r="E72" s="904" t="s">
        <v>210</v>
      </c>
      <c r="F72" s="914">
        <f>'26. CHEM. SOL._MODEL'!$D$282</f>
        <v>1300</v>
      </c>
      <c r="G72" s="930" t="s">
        <v>210</v>
      </c>
    </row>
    <row r="73" spans="1:7" ht="19.95" customHeight="1" x14ac:dyDescent="0.3">
      <c r="A73" s="1188"/>
      <c r="B73" s="893" t="s">
        <v>207</v>
      </c>
      <c r="C73" s="889" t="s">
        <v>2505</v>
      </c>
      <c r="D73" s="889" t="s">
        <v>221</v>
      </c>
      <c r="E73" s="889" t="s">
        <v>210</v>
      </c>
      <c r="F73" s="910">
        <f>'26. CHEM. SOL._MODEL'!$D$370</f>
        <v>1607.3913043478262</v>
      </c>
      <c r="G73" s="898" t="s">
        <v>210</v>
      </c>
    </row>
    <row r="74" spans="1:7" ht="19.95" customHeight="1" x14ac:dyDescent="0.3">
      <c r="A74" s="1188"/>
      <c r="B74" s="893" t="s">
        <v>208</v>
      </c>
      <c r="C74" s="889" t="s">
        <v>2503</v>
      </c>
      <c r="D74" s="889" t="s">
        <v>221</v>
      </c>
      <c r="E74" s="889" t="s">
        <v>210</v>
      </c>
      <c r="F74" s="910">
        <f>'26. CHEM. SOL._MODEL'!$D$310</f>
        <v>1285</v>
      </c>
      <c r="G74" s="898" t="s">
        <v>210</v>
      </c>
    </row>
    <row r="75" spans="1:7" ht="19.95" customHeight="1" x14ac:dyDescent="0.3">
      <c r="A75" s="1188"/>
      <c r="B75" s="893" t="s">
        <v>209</v>
      </c>
      <c r="C75" s="889" t="s">
        <v>2502</v>
      </c>
      <c r="D75" s="889" t="s">
        <v>221</v>
      </c>
      <c r="E75" s="889" t="s">
        <v>210</v>
      </c>
      <c r="F75" s="910">
        <f>'26. CHEM. SOL._MODEL'!$D$337</f>
        <v>1330</v>
      </c>
      <c r="G75" s="898" t="s">
        <v>210</v>
      </c>
    </row>
    <row r="76" spans="1:7" ht="19.95" customHeight="1" x14ac:dyDescent="0.3">
      <c r="A76" s="1188"/>
      <c r="B76" s="893" t="s">
        <v>1803</v>
      </c>
      <c r="C76" s="889" t="s">
        <v>2504</v>
      </c>
      <c r="D76" s="889" t="s">
        <v>221</v>
      </c>
      <c r="E76" s="889" t="s">
        <v>210</v>
      </c>
      <c r="F76" s="910">
        <v>1110</v>
      </c>
      <c r="G76" s="898" t="s">
        <v>210</v>
      </c>
    </row>
    <row r="77" spans="1:7" ht="19.95" customHeight="1" x14ac:dyDescent="0.3">
      <c r="A77" s="1188"/>
      <c r="B77" s="893" t="s">
        <v>2484</v>
      </c>
      <c r="C77" s="889" t="s">
        <v>2486</v>
      </c>
      <c r="D77" s="889" t="s">
        <v>221</v>
      </c>
      <c r="E77" s="889" t="s">
        <v>210</v>
      </c>
      <c r="F77" s="910">
        <f>'26. CHEM. SOL._MODEL'!$D$14</f>
        <v>1051.4285714285716</v>
      </c>
      <c r="G77" s="898" t="s">
        <v>210</v>
      </c>
    </row>
    <row r="78" spans="1:7" ht="19.95" customHeight="1" x14ac:dyDescent="0.3">
      <c r="A78" s="1188"/>
      <c r="B78" s="893" t="s">
        <v>2485</v>
      </c>
      <c r="C78" s="889" t="s">
        <v>2487</v>
      </c>
      <c r="D78" s="889" t="s">
        <v>221</v>
      </c>
      <c r="E78" s="889" t="s">
        <v>210</v>
      </c>
      <c r="F78" s="910">
        <f>'26. CHEM. SOL._MODEL'!$D$44</f>
        <v>1018.8372093023255</v>
      </c>
      <c r="G78" s="898" t="s">
        <v>210</v>
      </c>
    </row>
    <row r="79" spans="1:7" ht="19.95" customHeight="1" thickBot="1" x14ac:dyDescent="0.35">
      <c r="A79" s="1188"/>
      <c r="B79" s="915" t="s">
        <v>2501</v>
      </c>
      <c r="C79" s="916" t="s">
        <v>2506</v>
      </c>
      <c r="D79" s="916" t="s">
        <v>221</v>
      </c>
      <c r="E79" s="916" t="s">
        <v>210</v>
      </c>
      <c r="F79" s="917">
        <f>'26. CHEM. SOL._MODEL'!$D$74</f>
        <v>1091.4285714285716</v>
      </c>
      <c r="G79" s="933" t="s">
        <v>210</v>
      </c>
    </row>
    <row r="80" spans="1:7" ht="19.95" customHeight="1" x14ac:dyDescent="0.3">
      <c r="A80" s="1189" t="s">
        <v>2495</v>
      </c>
      <c r="B80" s="886" t="s">
        <v>16</v>
      </c>
      <c r="C80" s="887" t="s">
        <v>295</v>
      </c>
      <c r="D80" s="887" t="s">
        <v>221</v>
      </c>
      <c r="E80" s="887" t="s">
        <v>101</v>
      </c>
      <c r="F80" s="909">
        <v>1015</v>
      </c>
      <c r="G80" s="897">
        <v>91.153999999999996</v>
      </c>
    </row>
    <row r="81" spans="1:7" ht="19.95" customHeight="1" x14ac:dyDescent="0.3">
      <c r="A81" s="1190"/>
      <c r="B81" s="893" t="s">
        <v>2499</v>
      </c>
      <c r="C81" s="889" t="s">
        <v>2500</v>
      </c>
      <c r="D81" s="889" t="s">
        <v>221</v>
      </c>
      <c r="E81" s="889" t="s">
        <v>210</v>
      </c>
      <c r="F81" s="910">
        <f>'26. CHEM. SOL._MODEL'!$D$197</f>
        <v>1000.357</v>
      </c>
      <c r="G81" s="898" t="s">
        <v>210</v>
      </c>
    </row>
    <row r="82" spans="1:7" ht="19.95" customHeight="1" x14ac:dyDescent="0.3">
      <c r="A82" s="1190"/>
      <c r="B82" s="893" t="s">
        <v>11</v>
      </c>
      <c r="C82" s="889" t="s">
        <v>2541</v>
      </c>
      <c r="D82" s="889" t="s">
        <v>221</v>
      </c>
      <c r="E82" s="889" t="s">
        <v>107</v>
      </c>
      <c r="F82" s="910">
        <v>765</v>
      </c>
      <c r="G82" s="898">
        <v>161.39500000000001</v>
      </c>
    </row>
    <row r="83" spans="1:7" ht="19.95" customHeight="1" x14ac:dyDescent="0.3">
      <c r="A83" s="1190"/>
      <c r="B83" s="915" t="s">
        <v>345</v>
      </c>
      <c r="C83" s="916" t="s">
        <v>345</v>
      </c>
      <c r="D83" s="916" t="s">
        <v>221</v>
      </c>
      <c r="E83" s="916" t="s">
        <v>210</v>
      </c>
      <c r="F83" s="917">
        <v>1250</v>
      </c>
      <c r="G83" s="933" t="s">
        <v>210</v>
      </c>
    </row>
    <row r="84" spans="1:7" ht="19.95" customHeight="1" thickBot="1" x14ac:dyDescent="0.35">
      <c r="A84" s="1191"/>
      <c r="B84" s="895" t="s">
        <v>2498</v>
      </c>
      <c r="C84" s="891" t="s">
        <v>2497</v>
      </c>
      <c r="D84" s="891" t="s">
        <v>221</v>
      </c>
      <c r="E84" s="891" t="s">
        <v>210</v>
      </c>
      <c r="F84" s="911">
        <v>1150</v>
      </c>
      <c r="G84" s="899" t="s">
        <v>210</v>
      </c>
    </row>
    <row r="85" spans="1:7" ht="19.95" customHeight="1" x14ac:dyDescent="0.3">
      <c r="A85" s="1180" t="s">
        <v>120</v>
      </c>
      <c r="B85" s="903" t="s">
        <v>2547</v>
      </c>
      <c r="C85" s="904" t="s">
        <v>2549</v>
      </c>
      <c r="D85" s="904" t="s">
        <v>221</v>
      </c>
      <c r="E85" s="904" t="s">
        <v>2548</v>
      </c>
      <c r="F85" s="914">
        <v>2300</v>
      </c>
      <c r="G85" s="930">
        <v>159.60900000000001</v>
      </c>
    </row>
    <row r="86" spans="1:7" ht="19.95" customHeight="1" x14ac:dyDescent="0.3">
      <c r="A86" s="1181"/>
      <c r="B86" s="893" t="s">
        <v>334</v>
      </c>
      <c r="C86" s="889" t="s">
        <v>2550</v>
      </c>
      <c r="D86" s="889" t="s">
        <v>222</v>
      </c>
      <c r="E86" s="889" t="s">
        <v>335</v>
      </c>
      <c r="F86" s="910">
        <v>2070</v>
      </c>
      <c r="G86" s="898">
        <v>262.85000000000002</v>
      </c>
    </row>
    <row r="87" spans="1:7" ht="19.95" customHeight="1" x14ac:dyDescent="0.3">
      <c r="A87" s="1181"/>
      <c r="B87" s="893" t="s">
        <v>2545</v>
      </c>
      <c r="C87" s="889" t="s">
        <v>2551</v>
      </c>
      <c r="D87" s="889" t="s">
        <v>222</v>
      </c>
      <c r="E87" s="889" t="s">
        <v>2546</v>
      </c>
      <c r="F87" s="910">
        <v>3680</v>
      </c>
      <c r="G87" s="898">
        <v>250.87</v>
      </c>
    </row>
    <row r="88" spans="1:7" ht="19.95" customHeight="1" x14ac:dyDescent="0.3">
      <c r="A88" s="1181"/>
      <c r="B88" s="893" t="s">
        <v>336</v>
      </c>
      <c r="C88" s="889" t="s">
        <v>2552</v>
      </c>
      <c r="D88" s="889" t="s">
        <v>222</v>
      </c>
      <c r="E88" s="889" t="s">
        <v>338</v>
      </c>
      <c r="F88" s="910">
        <v>1920</v>
      </c>
      <c r="G88" s="898">
        <v>237.68299999999999</v>
      </c>
    </row>
    <row r="89" spans="1:7" ht="19.95" customHeight="1" thickBot="1" x14ac:dyDescent="0.35">
      <c r="A89" s="1182"/>
      <c r="B89" s="895" t="s">
        <v>337</v>
      </c>
      <c r="C89" s="891" t="s">
        <v>2553</v>
      </c>
      <c r="D89" s="891" t="s">
        <v>222</v>
      </c>
      <c r="E89" s="891" t="s">
        <v>2544</v>
      </c>
      <c r="F89" s="911">
        <v>1440</v>
      </c>
      <c r="G89" s="899">
        <v>61.83</v>
      </c>
    </row>
    <row r="90" spans="1:7" ht="19.95" customHeight="1" thickBot="1" x14ac:dyDescent="0.35">
      <c r="A90" s="649" t="s">
        <v>121</v>
      </c>
      <c r="B90" s="934" t="s">
        <v>23</v>
      </c>
      <c r="C90" s="918" t="s">
        <v>46</v>
      </c>
      <c r="D90" s="918" t="s">
        <v>222</v>
      </c>
      <c r="E90" s="918" t="s">
        <v>110</v>
      </c>
      <c r="F90" s="919">
        <v>2211</v>
      </c>
      <c r="G90" s="935">
        <v>74.093000000000004</v>
      </c>
    </row>
    <row r="91" spans="1:7" ht="19.95" customHeight="1" x14ac:dyDescent="0.3">
      <c r="A91" s="1180" t="s">
        <v>198</v>
      </c>
      <c r="B91" s="886" t="s">
        <v>2519</v>
      </c>
      <c r="C91" s="887" t="s">
        <v>49</v>
      </c>
      <c r="D91" s="887" t="s">
        <v>222</v>
      </c>
      <c r="E91" s="887" t="s">
        <v>111</v>
      </c>
      <c r="F91" s="909" t="s">
        <v>210</v>
      </c>
      <c r="G91" s="897" t="s">
        <v>210</v>
      </c>
    </row>
    <row r="92" spans="1:7" ht="19.95" customHeight="1" thickBot="1" x14ac:dyDescent="0.35">
      <c r="A92" s="1182"/>
      <c r="B92" s="895" t="s">
        <v>2511</v>
      </c>
      <c r="C92" s="891" t="s">
        <v>48</v>
      </c>
      <c r="D92" s="891" t="s">
        <v>222</v>
      </c>
      <c r="E92" s="891" t="s">
        <v>72</v>
      </c>
      <c r="F92" s="911">
        <v>2650</v>
      </c>
      <c r="G92" s="899" t="s">
        <v>210</v>
      </c>
    </row>
    <row r="93" spans="1:7" ht="19.95" customHeight="1" x14ac:dyDescent="0.3">
      <c r="A93" s="1180" t="s">
        <v>202</v>
      </c>
      <c r="B93" s="886" t="s">
        <v>18</v>
      </c>
      <c r="C93" s="887" t="s">
        <v>47</v>
      </c>
      <c r="D93" s="887" t="s">
        <v>221</v>
      </c>
      <c r="E93" s="887" t="s">
        <v>210</v>
      </c>
      <c r="F93" s="909">
        <v>1950</v>
      </c>
      <c r="G93" s="897" t="s">
        <v>210</v>
      </c>
    </row>
    <row r="94" spans="1:7" ht="19.95" customHeight="1" thickBot="1" x14ac:dyDescent="0.35">
      <c r="A94" s="1182"/>
      <c r="B94" s="895" t="s">
        <v>203</v>
      </c>
      <c r="C94" s="891" t="s">
        <v>2554</v>
      </c>
      <c r="D94" s="891" t="s">
        <v>221</v>
      </c>
      <c r="E94" s="891" t="s">
        <v>2543</v>
      </c>
      <c r="F94" s="911">
        <v>957</v>
      </c>
      <c r="G94" s="899">
        <v>104.152</v>
      </c>
    </row>
    <row r="95" spans="1:7" ht="19.95" customHeight="1" x14ac:dyDescent="0.3">
      <c r="A95" s="1180" t="s">
        <v>2496</v>
      </c>
      <c r="B95" s="886" t="s">
        <v>876</v>
      </c>
      <c r="C95" s="887" t="s">
        <v>2531</v>
      </c>
      <c r="D95" s="887" t="s">
        <v>222</v>
      </c>
      <c r="E95" s="887" t="s">
        <v>210</v>
      </c>
      <c r="F95" s="909">
        <v>2220</v>
      </c>
      <c r="G95" s="897" t="s">
        <v>210</v>
      </c>
    </row>
    <row r="96" spans="1:7" ht="19.95" customHeight="1" x14ac:dyDescent="0.3">
      <c r="A96" s="1181"/>
      <c r="B96" s="893" t="s">
        <v>998</v>
      </c>
      <c r="C96" s="889" t="s">
        <v>2529</v>
      </c>
      <c r="D96" s="889" t="s">
        <v>222</v>
      </c>
      <c r="E96" s="889" t="s">
        <v>210</v>
      </c>
      <c r="F96" s="910">
        <v>1300</v>
      </c>
      <c r="G96" s="898" t="s">
        <v>210</v>
      </c>
    </row>
    <row r="97" spans="1:7" ht="19.95" customHeight="1" thickBot="1" x14ac:dyDescent="0.35">
      <c r="A97" s="1182"/>
      <c r="B97" s="895" t="s">
        <v>1002</v>
      </c>
      <c r="C97" s="891" t="s">
        <v>2530</v>
      </c>
      <c r="D97" s="891" t="s">
        <v>222</v>
      </c>
      <c r="E97" s="891" t="s">
        <v>210</v>
      </c>
      <c r="F97" s="911">
        <v>1390</v>
      </c>
      <c r="G97" s="899" t="s">
        <v>210</v>
      </c>
    </row>
  </sheetData>
  <sheetProtection algorithmName="SHA-512" hashValue="LNHvZpCpHpeyzrq2hcfhlPtBiSbc4EWaPz7jsgkjs3yRgnholUp7Al9pABBaN5hXnGinA+2s+auTBZgCe6scWQ==" saltValue="F/QSjPCOLuIYNH+T82VvNQ==" spinCount="100000" sheet="1" objects="1" scenarios="1"/>
  <mergeCells count="14">
    <mergeCell ref="A3:A11"/>
    <mergeCell ref="A95:A97"/>
    <mergeCell ref="A85:A89"/>
    <mergeCell ref="A93:A94"/>
    <mergeCell ref="A12:A16"/>
    <mergeCell ref="A91:A92"/>
    <mergeCell ref="A46:A55"/>
    <mergeCell ref="A17:A25"/>
    <mergeCell ref="A61:A67"/>
    <mergeCell ref="A56:A60"/>
    <mergeCell ref="A26:A33"/>
    <mergeCell ref="A68:A79"/>
    <mergeCell ref="A80:A84"/>
    <mergeCell ref="A34:A45"/>
  </mergeCells>
  <phoneticPr fontId="15" type="noConversion"/>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A94B0-5805-4CA1-BC72-1DB013E113C4}">
  <dimension ref="A1:I391"/>
  <sheetViews>
    <sheetView zoomScale="85" zoomScaleNormal="85" workbookViewId="0"/>
  </sheetViews>
  <sheetFormatPr baseColWidth="10" defaultRowHeight="14.4" x14ac:dyDescent="0.3"/>
  <cols>
    <col min="1" max="1" width="131.5546875" bestFit="1" customWidth="1"/>
    <col min="3" max="3" width="74.6640625" customWidth="1"/>
    <col min="4" max="4" width="9" bestFit="1" customWidth="1"/>
    <col min="5" max="5" width="74.88671875" style="247" customWidth="1"/>
    <col min="6" max="6" width="9.21875" customWidth="1"/>
    <col min="7" max="7" width="8.44140625" bestFit="1" customWidth="1"/>
    <col min="8" max="8" width="13.33203125" bestFit="1" customWidth="1"/>
    <col min="9" max="9" width="36.21875" bestFit="1" customWidth="1"/>
  </cols>
  <sheetData>
    <row r="1" spans="1:5" ht="15" thickBot="1" x14ac:dyDescent="0.35">
      <c r="A1" t="s">
        <v>135</v>
      </c>
    </row>
    <row r="2" spans="1:5" ht="30" customHeight="1" thickBot="1" x14ac:dyDescent="0.35">
      <c r="A2" s="661" t="s">
        <v>1688</v>
      </c>
      <c r="B2" s="738" t="s">
        <v>142</v>
      </c>
      <c r="C2" s="739" t="s">
        <v>256</v>
      </c>
      <c r="D2" s="740" t="s">
        <v>236</v>
      </c>
      <c r="E2" s="741" t="s">
        <v>212</v>
      </c>
    </row>
    <row r="3" spans="1:5" x14ac:dyDescent="0.3">
      <c r="A3" s="274" t="s">
        <v>1455</v>
      </c>
      <c r="B3" s="226" t="s">
        <v>1528</v>
      </c>
      <c r="C3" s="226" t="s">
        <v>1620</v>
      </c>
      <c r="D3" s="406">
        <f>1/7</f>
        <v>0.14285714285714285</v>
      </c>
      <c r="E3" s="393" t="s">
        <v>232</v>
      </c>
    </row>
    <row r="4" spans="1:5" x14ac:dyDescent="0.3">
      <c r="A4" s="341" t="s">
        <v>1583</v>
      </c>
      <c r="B4" s="391" t="s">
        <v>1528</v>
      </c>
      <c r="C4" s="391" t="s">
        <v>1672</v>
      </c>
      <c r="D4" s="407">
        <f>0.29*$D$3</f>
        <v>4.1428571428571426E-2</v>
      </c>
      <c r="E4" s="398" t="s">
        <v>232</v>
      </c>
    </row>
    <row r="5" spans="1:5" x14ac:dyDescent="0.3">
      <c r="A5" s="401" t="s">
        <v>1456</v>
      </c>
      <c r="B5" s="402" t="s">
        <v>1528</v>
      </c>
      <c r="C5" s="402" t="s">
        <v>1673</v>
      </c>
      <c r="D5" s="409">
        <f>$D$3-$D$4</f>
        <v>0.10142857142857142</v>
      </c>
      <c r="E5" s="398" t="s">
        <v>232</v>
      </c>
    </row>
    <row r="6" spans="1:5" x14ac:dyDescent="0.3">
      <c r="A6" s="76" t="s">
        <v>1469</v>
      </c>
      <c r="B6" s="4" t="s">
        <v>1528</v>
      </c>
      <c r="C6" s="4" t="s">
        <v>1621</v>
      </c>
      <c r="D6" s="270">
        <f>1/7</f>
        <v>0.14285714285714285</v>
      </c>
      <c r="E6" s="398" t="s">
        <v>232</v>
      </c>
    </row>
    <row r="7" spans="1:5" x14ac:dyDescent="0.3">
      <c r="A7" s="76" t="s">
        <v>1584</v>
      </c>
      <c r="B7" s="4" t="s">
        <v>1528</v>
      </c>
      <c r="C7" s="4" t="s">
        <v>1674</v>
      </c>
      <c r="D7" s="270">
        <f>0.3*$D$6</f>
        <v>4.2857142857142851E-2</v>
      </c>
      <c r="E7" s="398" t="s">
        <v>232</v>
      </c>
    </row>
    <row r="8" spans="1:5" x14ac:dyDescent="0.3">
      <c r="A8" s="76" t="s">
        <v>1456</v>
      </c>
      <c r="B8" s="4" t="s">
        <v>1528</v>
      </c>
      <c r="C8" s="4" t="s">
        <v>1675</v>
      </c>
      <c r="D8" s="270">
        <f>$D$6-$D$7</f>
        <v>0.1</v>
      </c>
      <c r="E8" s="398" t="s">
        <v>232</v>
      </c>
    </row>
    <row r="9" spans="1:5" x14ac:dyDescent="0.3">
      <c r="A9" s="76" t="s">
        <v>1456</v>
      </c>
      <c r="B9" s="4" t="s">
        <v>1528</v>
      </c>
      <c r="C9" s="4" t="s">
        <v>1622</v>
      </c>
      <c r="D9" s="270">
        <f>5/7</f>
        <v>0.7142857142857143</v>
      </c>
      <c r="E9" s="398" t="s">
        <v>232</v>
      </c>
    </row>
    <row r="10" spans="1:5" ht="15" thickBot="1" x14ac:dyDescent="0.35">
      <c r="A10" s="404" t="s">
        <v>1434</v>
      </c>
      <c r="B10" s="405" t="s">
        <v>1528</v>
      </c>
      <c r="C10" s="405" t="s">
        <v>1460</v>
      </c>
      <c r="D10" s="410">
        <f>SUM(D4:D5,D7:D8,D9)</f>
        <v>1</v>
      </c>
      <c r="E10" s="421" t="s">
        <v>232</v>
      </c>
    </row>
    <row r="11" spans="1:5" x14ac:dyDescent="0.3">
      <c r="A11" s="274" t="s">
        <v>1430</v>
      </c>
      <c r="B11" s="19" t="s">
        <v>129</v>
      </c>
      <c r="C11" s="19"/>
      <c r="D11" s="420">
        <f>'25. CHEM. &amp; MAT.'!$F$57</f>
        <v>910</v>
      </c>
      <c r="E11" s="393" t="s">
        <v>1581</v>
      </c>
    </row>
    <row r="12" spans="1:5" x14ac:dyDescent="0.3">
      <c r="A12" s="76" t="s">
        <v>1471</v>
      </c>
      <c r="B12" s="18" t="s">
        <v>129</v>
      </c>
      <c r="C12" s="4"/>
      <c r="D12" s="266">
        <f>'25. CHEM. &amp; MAT.'!$F$63</f>
        <v>1450</v>
      </c>
      <c r="E12" s="313" t="s">
        <v>1581</v>
      </c>
    </row>
    <row r="13" spans="1:5" x14ac:dyDescent="0.3">
      <c r="A13" s="76" t="s">
        <v>1432</v>
      </c>
      <c r="B13" s="18" t="s">
        <v>129</v>
      </c>
      <c r="C13" s="4"/>
      <c r="D13" s="266">
        <f>'25. CHEM. &amp; MAT.'!$F$62</f>
        <v>1000</v>
      </c>
      <c r="E13" s="313" t="s">
        <v>1581</v>
      </c>
    </row>
    <row r="14" spans="1:5" ht="15" thickBot="1" x14ac:dyDescent="0.35">
      <c r="A14" s="77" t="s">
        <v>1433</v>
      </c>
      <c r="B14" s="20" t="s">
        <v>129</v>
      </c>
      <c r="C14" s="12"/>
      <c r="D14" s="342">
        <f>($D$3*$D$11)+($D$6*$D$12)+($D$9*$D$13)</f>
        <v>1051.4285714285716</v>
      </c>
      <c r="E14" s="397" t="s">
        <v>232</v>
      </c>
    </row>
    <row r="15" spans="1:5" x14ac:dyDescent="0.3">
      <c r="A15" s="274" t="s">
        <v>1457</v>
      </c>
      <c r="B15" s="19" t="s">
        <v>1529</v>
      </c>
      <c r="C15" s="226" t="s">
        <v>1623</v>
      </c>
      <c r="D15" s="406">
        <f>($D$3*$D$11)/$D$14</f>
        <v>0.12364130434782607</v>
      </c>
      <c r="E15" s="393" t="s">
        <v>232</v>
      </c>
    </row>
    <row r="16" spans="1:5" x14ac:dyDescent="0.3">
      <c r="A16" s="341" t="s">
        <v>1585</v>
      </c>
      <c r="B16" s="103" t="s">
        <v>1529</v>
      </c>
      <c r="C16" s="391" t="s">
        <v>1676</v>
      </c>
      <c r="D16" s="407">
        <f>($D$4*$D$11)/$D$14</f>
        <v>3.5855978260869559E-2</v>
      </c>
      <c r="E16" s="398" t="s">
        <v>232</v>
      </c>
    </row>
    <row r="17" spans="1:9" x14ac:dyDescent="0.3">
      <c r="A17" s="76" t="s">
        <v>1459</v>
      </c>
      <c r="B17" s="103" t="s">
        <v>1529</v>
      </c>
      <c r="C17" s="402" t="s">
        <v>1677</v>
      </c>
      <c r="D17" s="270">
        <f>($D$5*$D$11)/$D$14</f>
        <v>8.7785326086956508E-2</v>
      </c>
      <c r="E17" s="398" t="s">
        <v>232</v>
      </c>
      <c r="F17" s="408"/>
    </row>
    <row r="18" spans="1:9" x14ac:dyDescent="0.3">
      <c r="A18" s="341" t="s">
        <v>1470</v>
      </c>
      <c r="B18" s="103" t="s">
        <v>1529</v>
      </c>
      <c r="C18" s="4" t="s">
        <v>1624</v>
      </c>
      <c r="D18" s="407">
        <f>($D$6*$D$12)/$D$14</f>
        <v>0.19701086956521735</v>
      </c>
      <c r="E18" s="398" t="s">
        <v>232</v>
      </c>
    </row>
    <row r="19" spans="1:9" x14ac:dyDescent="0.3">
      <c r="A19" s="341" t="s">
        <v>1586</v>
      </c>
      <c r="B19" s="103" t="s">
        <v>1529</v>
      </c>
      <c r="C19" s="4" t="s">
        <v>1678</v>
      </c>
      <c r="D19" s="407">
        <f>($D$7*$D$12)/$D$14</f>
        <v>5.9103260869565202E-2</v>
      </c>
      <c r="E19" s="398" t="s">
        <v>232</v>
      </c>
    </row>
    <row r="20" spans="1:9" x14ac:dyDescent="0.3">
      <c r="A20" s="76" t="s">
        <v>1459</v>
      </c>
      <c r="B20" s="18" t="s">
        <v>1529</v>
      </c>
      <c r="C20" s="4" t="s">
        <v>1679</v>
      </c>
      <c r="D20" s="407">
        <f>($D$8*$D$12)/$D$14</f>
        <v>0.13790760869565216</v>
      </c>
      <c r="E20" s="398" t="s">
        <v>232</v>
      </c>
    </row>
    <row r="21" spans="1:9" x14ac:dyDescent="0.3">
      <c r="A21" s="76" t="s">
        <v>1459</v>
      </c>
      <c r="B21" s="18" t="s">
        <v>1529</v>
      </c>
      <c r="C21" s="4" t="s">
        <v>1625</v>
      </c>
      <c r="D21" s="270">
        <f>($D$9*$D$13)/$D$14</f>
        <v>0.67934782608695643</v>
      </c>
      <c r="E21" s="398" t="s">
        <v>232</v>
      </c>
    </row>
    <row r="22" spans="1:9" x14ac:dyDescent="0.3">
      <c r="A22" s="412" t="s">
        <v>1434</v>
      </c>
      <c r="B22" s="123" t="s">
        <v>1529</v>
      </c>
      <c r="C22" s="413" t="s">
        <v>1460</v>
      </c>
      <c r="D22" s="414">
        <f>SUM(D16:D17,D19:D21)</f>
        <v>0.99999999999999989</v>
      </c>
      <c r="E22" s="423" t="s">
        <v>232</v>
      </c>
    </row>
    <row r="23" spans="1:9" x14ac:dyDescent="0.3">
      <c r="A23" s="1035" t="s">
        <v>1590</v>
      </c>
      <c r="B23" s="1196"/>
      <c r="C23" s="1196"/>
      <c r="D23" s="1196"/>
      <c r="E23" s="1197"/>
      <c r="F23" s="325"/>
      <c r="G23" s="325"/>
      <c r="H23" s="325"/>
      <c r="I23" s="325"/>
    </row>
    <row r="24" spans="1:9" x14ac:dyDescent="0.3">
      <c r="A24" s="76" t="s">
        <v>1582</v>
      </c>
      <c r="B24" s="4" t="s">
        <v>224</v>
      </c>
      <c r="C24" s="399" t="s">
        <v>147</v>
      </c>
      <c r="D24" s="403" t="s">
        <v>330</v>
      </c>
      <c r="E24" s="313" t="s">
        <v>331</v>
      </c>
    </row>
    <row r="25" spans="1:9" x14ac:dyDescent="0.3">
      <c r="A25" s="293" t="s">
        <v>380</v>
      </c>
      <c r="B25" s="3" t="s">
        <v>153</v>
      </c>
      <c r="C25" s="3" t="s">
        <v>155</v>
      </c>
      <c r="D25" s="415">
        <f>D16</f>
        <v>3.5855978260869559E-2</v>
      </c>
      <c r="E25" s="314" t="s">
        <v>385</v>
      </c>
      <c r="I25" s="51"/>
    </row>
    <row r="26" spans="1:9" x14ac:dyDescent="0.3">
      <c r="A26" s="285" t="s">
        <v>158</v>
      </c>
      <c r="B26" s="3" t="s">
        <v>153</v>
      </c>
      <c r="C26" s="3" t="s">
        <v>159</v>
      </c>
      <c r="D26" s="415">
        <f>SUM(D17,D20,D21)</f>
        <v>0.90504076086956509</v>
      </c>
      <c r="E26" s="314" t="s">
        <v>385</v>
      </c>
      <c r="I26" s="51"/>
    </row>
    <row r="27" spans="1:9" x14ac:dyDescent="0.3">
      <c r="A27" s="285" t="s">
        <v>430</v>
      </c>
      <c r="B27" s="3" t="s">
        <v>153</v>
      </c>
      <c r="C27" s="417" t="s">
        <v>161</v>
      </c>
      <c r="D27" s="415">
        <f>D19</f>
        <v>5.9103260869565202E-2</v>
      </c>
      <c r="E27" s="314" t="s">
        <v>385</v>
      </c>
      <c r="I27" s="51"/>
    </row>
    <row r="28" spans="1:9" x14ac:dyDescent="0.3">
      <c r="A28" s="1128" t="s">
        <v>1587</v>
      </c>
      <c r="B28" s="1129"/>
      <c r="C28" s="1129"/>
      <c r="D28" s="1129"/>
      <c r="E28" s="1130"/>
      <c r="F28" s="325"/>
      <c r="G28" s="325"/>
      <c r="H28" s="325"/>
      <c r="I28" s="325"/>
    </row>
    <row r="29" spans="1:9" ht="15" thickBot="1" x14ac:dyDescent="0.35">
      <c r="A29" s="418" t="s">
        <v>1588</v>
      </c>
      <c r="B29" s="419" t="s">
        <v>153</v>
      </c>
      <c r="C29" s="12"/>
      <c r="D29" s="411">
        <f>SUM(D25:D27)</f>
        <v>0.99999999999999978</v>
      </c>
      <c r="E29" s="148"/>
      <c r="H29" s="416"/>
    </row>
    <row r="30" spans="1:9" x14ac:dyDescent="0.3">
      <c r="A30" s="1140"/>
      <c r="B30" s="1141"/>
      <c r="C30" s="1141"/>
      <c r="D30" s="1141"/>
      <c r="E30" s="1142"/>
    </row>
    <row r="31" spans="1:9" ht="15" thickBot="1" x14ac:dyDescent="0.35">
      <c r="A31" s="1143"/>
      <c r="B31" s="1144"/>
      <c r="C31" s="1144"/>
      <c r="D31" s="1144"/>
      <c r="E31" s="1145"/>
    </row>
    <row r="32" spans="1:9" ht="30" customHeight="1" thickBot="1" x14ac:dyDescent="0.35">
      <c r="A32" s="661" t="s">
        <v>1687</v>
      </c>
      <c r="B32" s="738" t="s">
        <v>142</v>
      </c>
      <c r="C32" s="739" t="s">
        <v>256</v>
      </c>
      <c r="D32" s="740" t="s">
        <v>236</v>
      </c>
      <c r="E32" s="741" t="s">
        <v>212</v>
      </c>
    </row>
    <row r="33" spans="1:5" x14ac:dyDescent="0.3">
      <c r="A33" s="274" t="s">
        <v>1455</v>
      </c>
      <c r="B33" s="226" t="s">
        <v>1528</v>
      </c>
      <c r="C33" s="226" t="s">
        <v>1626</v>
      </c>
      <c r="D33" s="406">
        <f>1/43</f>
        <v>2.3255813953488372E-2</v>
      </c>
      <c r="E33" s="393" t="s">
        <v>232</v>
      </c>
    </row>
    <row r="34" spans="1:5" x14ac:dyDescent="0.3">
      <c r="A34" s="341" t="s">
        <v>1583</v>
      </c>
      <c r="B34" s="391" t="s">
        <v>1528</v>
      </c>
      <c r="C34" s="391" t="s">
        <v>1664</v>
      </c>
      <c r="D34" s="407">
        <f>0.29*$D$33</f>
        <v>6.7441860465116271E-3</v>
      </c>
      <c r="E34" s="398" t="s">
        <v>232</v>
      </c>
    </row>
    <row r="35" spans="1:5" x14ac:dyDescent="0.3">
      <c r="A35" s="401" t="s">
        <v>1456</v>
      </c>
      <c r="B35" s="402" t="s">
        <v>1528</v>
      </c>
      <c r="C35" s="402" t="s">
        <v>1665</v>
      </c>
      <c r="D35" s="409">
        <f>$D$33-$D$34</f>
        <v>1.6511627906976745E-2</v>
      </c>
      <c r="E35" s="398" t="s">
        <v>232</v>
      </c>
    </row>
    <row r="36" spans="1:5" x14ac:dyDescent="0.3">
      <c r="A36" s="76" t="s">
        <v>1469</v>
      </c>
      <c r="B36" s="4" t="s">
        <v>1528</v>
      </c>
      <c r="C36" s="4" t="s">
        <v>1627</v>
      </c>
      <c r="D36" s="270">
        <f>2/43</f>
        <v>4.6511627906976744E-2</v>
      </c>
      <c r="E36" s="398" t="s">
        <v>232</v>
      </c>
    </row>
    <row r="37" spans="1:5" x14ac:dyDescent="0.3">
      <c r="A37" s="76" t="s">
        <v>1584</v>
      </c>
      <c r="B37" s="4" t="s">
        <v>1528</v>
      </c>
      <c r="C37" s="4" t="s">
        <v>1666</v>
      </c>
      <c r="D37" s="270">
        <f>0.3*$D$36</f>
        <v>1.3953488372093023E-2</v>
      </c>
      <c r="E37" s="398" t="s">
        <v>232</v>
      </c>
    </row>
    <row r="38" spans="1:5" x14ac:dyDescent="0.3">
      <c r="A38" s="76" t="s">
        <v>1456</v>
      </c>
      <c r="B38" s="4" t="s">
        <v>1528</v>
      </c>
      <c r="C38" s="4" t="s">
        <v>1667</v>
      </c>
      <c r="D38" s="270">
        <f>$D$36-$D$37</f>
        <v>3.255813953488372E-2</v>
      </c>
      <c r="E38" s="398" t="s">
        <v>232</v>
      </c>
    </row>
    <row r="39" spans="1:5" x14ac:dyDescent="0.3">
      <c r="A39" s="76" t="s">
        <v>1456</v>
      </c>
      <c r="B39" s="4" t="s">
        <v>1528</v>
      </c>
      <c r="C39" s="4" t="s">
        <v>1628</v>
      </c>
      <c r="D39" s="270">
        <f>40/43</f>
        <v>0.93023255813953487</v>
      </c>
      <c r="E39" s="398" t="s">
        <v>232</v>
      </c>
    </row>
    <row r="40" spans="1:5" ht="15" thickBot="1" x14ac:dyDescent="0.35">
      <c r="A40" s="404" t="s">
        <v>1434</v>
      </c>
      <c r="B40" s="405" t="s">
        <v>1528</v>
      </c>
      <c r="C40" s="405" t="s">
        <v>1460</v>
      </c>
      <c r="D40" s="410">
        <f>SUM(D34:D35,D37:D38,D39)</f>
        <v>1</v>
      </c>
      <c r="E40" s="421" t="s">
        <v>232</v>
      </c>
    </row>
    <row r="41" spans="1:5" x14ac:dyDescent="0.3">
      <c r="A41" s="274" t="s">
        <v>1430</v>
      </c>
      <c r="B41" s="19" t="s">
        <v>129</v>
      </c>
      <c r="C41" s="19"/>
      <c r="D41" s="420">
        <f>'25. CHEM. &amp; MAT.'!$F$57</f>
        <v>910</v>
      </c>
      <c r="E41" s="393" t="s">
        <v>1581</v>
      </c>
    </row>
    <row r="42" spans="1:5" x14ac:dyDescent="0.3">
      <c r="A42" s="76" t="s">
        <v>1471</v>
      </c>
      <c r="B42" s="18" t="s">
        <v>129</v>
      </c>
      <c r="C42" s="4"/>
      <c r="D42" s="266">
        <f>'25. CHEM. &amp; MAT.'!$F$63</f>
        <v>1450</v>
      </c>
      <c r="E42" s="313" t="s">
        <v>1581</v>
      </c>
    </row>
    <row r="43" spans="1:5" x14ac:dyDescent="0.3">
      <c r="A43" s="76" t="s">
        <v>1432</v>
      </c>
      <c r="B43" s="18" t="s">
        <v>129</v>
      </c>
      <c r="C43" s="4"/>
      <c r="D43" s="266">
        <f>'25. CHEM. &amp; MAT.'!$F$62</f>
        <v>1000</v>
      </c>
      <c r="E43" s="313" t="s">
        <v>1581</v>
      </c>
    </row>
    <row r="44" spans="1:5" ht="15" thickBot="1" x14ac:dyDescent="0.35">
      <c r="A44" s="77" t="s">
        <v>1683</v>
      </c>
      <c r="B44" s="20" t="s">
        <v>129</v>
      </c>
      <c r="C44" s="12"/>
      <c r="D44" s="342">
        <f>($D$33*$D$41)+($D$36*$D$42)+($D$39*$D$43)</f>
        <v>1018.8372093023255</v>
      </c>
      <c r="E44" s="397" t="s">
        <v>232</v>
      </c>
    </row>
    <row r="45" spans="1:5" x14ac:dyDescent="0.3">
      <c r="A45" s="274" t="s">
        <v>1457</v>
      </c>
      <c r="B45" s="19" t="s">
        <v>1529</v>
      </c>
      <c r="C45" s="226" t="s">
        <v>1629</v>
      </c>
      <c r="D45" s="422">
        <f>(D33*$D$41)/$D$44</f>
        <v>2.0771513353115726E-2</v>
      </c>
      <c r="E45" s="393" t="s">
        <v>232</v>
      </c>
    </row>
    <row r="46" spans="1:5" x14ac:dyDescent="0.3">
      <c r="A46" s="341" t="s">
        <v>1585</v>
      </c>
      <c r="B46" s="103" t="s">
        <v>1529</v>
      </c>
      <c r="C46" s="391" t="s">
        <v>1668</v>
      </c>
      <c r="D46" s="270">
        <f t="shared" ref="D46:D47" si="0">(D34*$D$41)/$D$44</f>
        <v>6.0237388724035607E-3</v>
      </c>
      <c r="E46" s="398" t="s">
        <v>232</v>
      </c>
    </row>
    <row r="47" spans="1:5" x14ac:dyDescent="0.3">
      <c r="A47" s="76" t="s">
        <v>1459</v>
      </c>
      <c r="B47" s="103" t="s">
        <v>1529</v>
      </c>
      <c r="C47" s="402" t="s">
        <v>1669</v>
      </c>
      <c r="D47" s="270">
        <f t="shared" si="0"/>
        <v>1.4747774480712168E-2</v>
      </c>
      <c r="E47" s="398" t="s">
        <v>232</v>
      </c>
    </row>
    <row r="48" spans="1:5" x14ac:dyDescent="0.3">
      <c r="A48" s="341" t="s">
        <v>1470</v>
      </c>
      <c r="B48" s="103" t="s">
        <v>1529</v>
      </c>
      <c r="C48" s="4" t="s">
        <v>1630</v>
      </c>
      <c r="D48" s="407">
        <f>(D36*$D$42)/$D$44</f>
        <v>6.6194932663775394E-2</v>
      </c>
      <c r="E48" s="398" t="s">
        <v>232</v>
      </c>
    </row>
    <row r="49" spans="1:6" x14ac:dyDescent="0.3">
      <c r="A49" s="341" t="s">
        <v>1586</v>
      </c>
      <c r="B49" s="103" t="s">
        <v>1529</v>
      </c>
      <c r="C49" s="4" t="s">
        <v>1670</v>
      </c>
      <c r="D49" s="407">
        <f>(D37*$D$42)/$D$44</f>
        <v>1.985847979913262E-2</v>
      </c>
      <c r="E49" s="398" t="s">
        <v>232</v>
      </c>
    </row>
    <row r="50" spans="1:6" x14ac:dyDescent="0.3">
      <c r="A50" s="76" t="s">
        <v>1459</v>
      </c>
      <c r="B50" s="18" t="s">
        <v>1529</v>
      </c>
      <c r="C50" s="4" t="s">
        <v>1671</v>
      </c>
      <c r="D50" s="407">
        <f>(D38*$D$42)/$D$44</f>
        <v>4.6336452864642781E-2</v>
      </c>
      <c r="E50" s="398" t="s">
        <v>232</v>
      </c>
      <c r="F50" s="408"/>
    </row>
    <row r="51" spans="1:6" x14ac:dyDescent="0.3">
      <c r="A51" s="76" t="s">
        <v>1459</v>
      </c>
      <c r="B51" s="18" t="s">
        <v>1529</v>
      </c>
      <c r="C51" s="4" t="s">
        <v>1631</v>
      </c>
      <c r="D51" s="270">
        <f>($D$39*$D$43)/$D$44</f>
        <v>0.91303355398310893</v>
      </c>
      <c r="E51" s="398" t="s">
        <v>232</v>
      </c>
    </row>
    <row r="52" spans="1:6" x14ac:dyDescent="0.3">
      <c r="A52" s="412" t="s">
        <v>1434</v>
      </c>
      <c r="B52" s="123" t="s">
        <v>1529</v>
      </c>
      <c r="C52" s="413" t="s">
        <v>1460</v>
      </c>
      <c r="D52" s="414">
        <f>SUM(D46:D47,D49:D51)</f>
        <v>1</v>
      </c>
      <c r="E52" s="423" t="s">
        <v>232</v>
      </c>
    </row>
    <row r="53" spans="1:6" x14ac:dyDescent="0.3">
      <c r="A53" s="1035" t="s">
        <v>1590</v>
      </c>
      <c r="B53" s="1196"/>
      <c r="C53" s="1196"/>
      <c r="D53" s="1196"/>
      <c r="E53" s="1197"/>
    </row>
    <row r="54" spans="1:6" x14ac:dyDescent="0.3">
      <c r="A54" s="76" t="s">
        <v>1582</v>
      </c>
      <c r="B54" s="4" t="s">
        <v>224</v>
      </c>
      <c r="C54" s="399" t="s">
        <v>147</v>
      </c>
      <c r="D54" s="403" t="s">
        <v>330</v>
      </c>
      <c r="E54" s="313" t="s">
        <v>331</v>
      </c>
    </row>
    <row r="55" spans="1:6" x14ac:dyDescent="0.3">
      <c r="A55" s="293" t="s">
        <v>380</v>
      </c>
      <c r="B55" s="3" t="s">
        <v>153</v>
      </c>
      <c r="C55" s="3" t="s">
        <v>155</v>
      </c>
      <c r="D55" s="415">
        <f>D46</f>
        <v>6.0237388724035607E-3</v>
      </c>
      <c r="E55" s="314" t="s">
        <v>385</v>
      </c>
    </row>
    <row r="56" spans="1:6" x14ac:dyDescent="0.3">
      <c r="A56" s="285" t="s">
        <v>158</v>
      </c>
      <c r="B56" s="3" t="s">
        <v>153</v>
      </c>
      <c r="C56" s="3" t="s">
        <v>159</v>
      </c>
      <c r="D56" s="415">
        <f>SUM(D47,D50,D51)</f>
        <v>0.97411778132846383</v>
      </c>
      <c r="E56" s="314" t="s">
        <v>385</v>
      </c>
    </row>
    <row r="57" spans="1:6" x14ac:dyDescent="0.3">
      <c r="A57" s="285" t="s">
        <v>430</v>
      </c>
      <c r="B57" s="3" t="s">
        <v>153</v>
      </c>
      <c r="C57" s="417" t="s">
        <v>161</v>
      </c>
      <c r="D57" s="415">
        <f>D49</f>
        <v>1.985847979913262E-2</v>
      </c>
      <c r="E57" s="314" t="s">
        <v>385</v>
      </c>
    </row>
    <row r="58" spans="1:6" x14ac:dyDescent="0.3">
      <c r="A58" s="1128" t="s">
        <v>1587</v>
      </c>
      <c r="B58" s="1129"/>
      <c r="C58" s="1129"/>
      <c r="D58" s="1129"/>
      <c r="E58" s="1130"/>
    </row>
    <row r="59" spans="1:6" ht="15" thickBot="1" x14ac:dyDescent="0.35">
      <c r="A59" s="418" t="s">
        <v>1591</v>
      </c>
      <c r="B59" s="419" t="s">
        <v>153</v>
      </c>
      <c r="C59" s="12"/>
      <c r="D59" s="411">
        <f>SUM(D55:D57)</f>
        <v>1</v>
      </c>
      <c r="E59" s="148"/>
    </row>
    <row r="60" spans="1:6" x14ac:dyDescent="0.3">
      <c r="A60" s="1140"/>
      <c r="B60" s="1141"/>
      <c r="C60" s="1141"/>
      <c r="D60" s="1141"/>
      <c r="E60" s="1142"/>
    </row>
    <row r="61" spans="1:6" ht="15" thickBot="1" x14ac:dyDescent="0.35">
      <c r="A61" s="1143"/>
      <c r="B61" s="1144"/>
      <c r="C61" s="1144"/>
      <c r="D61" s="1144"/>
      <c r="E61" s="1145"/>
    </row>
    <row r="62" spans="1:6" ht="30" customHeight="1" thickBot="1" x14ac:dyDescent="0.35">
      <c r="A62" s="661" t="s">
        <v>1686</v>
      </c>
      <c r="B62" s="738" t="s">
        <v>142</v>
      </c>
      <c r="C62" s="739" t="s">
        <v>256</v>
      </c>
      <c r="D62" s="740" t="s">
        <v>236</v>
      </c>
      <c r="E62" s="741" t="s">
        <v>212</v>
      </c>
    </row>
    <row r="63" spans="1:6" x14ac:dyDescent="0.3">
      <c r="A63" s="274" t="s">
        <v>1468</v>
      </c>
      <c r="B63" s="226" t="s">
        <v>1528</v>
      </c>
      <c r="C63" s="226" t="s">
        <v>1657</v>
      </c>
      <c r="D63" s="406">
        <f>1/7</f>
        <v>0.14285714285714285</v>
      </c>
      <c r="E63" s="393" t="s">
        <v>232</v>
      </c>
    </row>
    <row r="64" spans="1:6" x14ac:dyDescent="0.3">
      <c r="A64" s="341" t="s">
        <v>1592</v>
      </c>
      <c r="B64" s="391" t="s">
        <v>1528</v>
      </c>
      <c r="C64" s="391" t="s">
        <v>1662</v>
      </c>
      <c r="D64" s="409">
        <f>0.37*$D$63</f>
        <v>5.2857142857142853E-2</v>
      </c>
      <c r="E64" s="398" t="s">
        <v>232</v>
      </c>
    </row>
    <row r="65" spans="1:5" x14ac:dyDescent="0.3">
      <c r="A65" s="401" t="s">
        <v>1456</v>
      </c>
      <c r="B65" s="402" t="s">
        <v>1528</v>
      </c>
      <c r="C65" s="402" t="s">
        <v>1663</v>
      </c>
      <c r="D65" s="270">
        <f>$D$63-$D$64</f>
        <v>0.09</v>
      </c>
      <c r="E65" s="398" t="s">
        <v>232</v>
      </c>
    </row>
    <row r="66" spans="1:5" x14ac:dyDescent="0.3">
      <c r="A66" s="76" t="s">
        <v>1469</v>
      </c>
      <c r="B66" s="4" t="s">
        <v>1528</v>
      </c>
      <c r="C66" s="4" t="s">
        <v>1658</v>
      </c>
      <c r="D66" s="428">
        <f>1/7</f>
        <v>0.14285714285714285</v>
      </c>
      <c r="E66" s="398" t="s">
        <v>232</v>
      </c>
    </row>
    <row r="67" spans="1:5" x14ac:dyDescent="0.3">
      <c r="A67" s="76" t="s">
        <v>1584</v>
      </c>
      <c r="B67" s="4" t="s">
        <v>1528</v>
      </c>
      <c r="C67" s="4" t="s">
        <v>1660</v>
      </c>
      <c r="D67" s="428">
        <f>0.3*$D$66</f>
        <v>4.2857142857142851E-2</v>
      </c>
      <c r="E67" s="398" t="s">
        <v>232</v>
      </c>
    </row>
    <row r="68" spans="1:5" x14ac:dyDescent="0.3">
      <c r="A68" s="76" t="s">
        <v>1456</v>
      </c>
      <c r="B68" s="4" t="s">
        <v>1528</v>
      </c>
      <c r="C68" s="4" t="s">
        <v>1661</v>
      </c>
      <c r="D68" s="428">
        <f>$D$66-$D$67</f>
        <v>0.1</v>
      </c>
      <c r="E68" s="398" t="s">
        <v>232</v>
      </c>
    </row>
    <row r="69" spans="1:5" x14ac:dyDescent="0.3">
      <c r="A69" s="76" t="s">
        <v>1456</v>
      </c>
      <c r="B69" s="4" t="s">
        <v>1528</v>
      </c>
      <c r="C69" s="4" t="s">
        <v>1659</v>
      </c>
      <c r="D69" s="270">
        <f>5/7</f>
        <v>0.7142857142857143</v>
      </c>
      <c r="E69" s="398" t="s">
        <v>232</v>
      </c>
    </row>
    <row r="70" spans="1:5" ht="15" thickBot="1" x14ac:dyDescent="0.35">
      <c r="A70" s="404" t="s">
        <v>1434</v>
      </c>
      <c r="B70" s="427" t="s">
        <v>1528</v>
      </c>
      <c r="C70" s="427" t="s">
        <v>1460</v>
      </c>
      <c r="D70" s="410">
        <f>SUM($D$64:$D$65,$D$67:$D$68,$D$69)</f>
        <v>1</v>
      </c>
      <c r="E70" s="421" t="s">
        <v>232</v>
      </c>
    </row>
    <row r="71" spans="1:5" x14ac:dyDescent="0.3">
      <c r="A71" s="274" t="s">
        <v>1474</v>
      </c>
      <c r="B71" s="19" t="s">
        <v>129</v>
      </c>
      <c r="C71" s="19"/>
      <c r="D71" s="345">
        <f>'25. CHEM. &amp; MAT.'!$F$52</f>
        <v>1190</v>
      </c>
      <c r="E71" s="393" t="s">
        <v>1581</v>
      </c>
    </row>
    <row r="72" spans="1:5" x14ac:dyDescent="0.3">
      <c r="A72" s="76" t="s">
        <v>1431</v>
      </c>
      <c r="B72" s="18" t="s">
        <v>129</v>
      </c>
      <c r="C72" s="4"/>
      <c r="D72" s="264">
        <f>'25. CHEM. &amp; MAT.'!$F$63</f>
        <v>1450</v>
      </c>
      <c r="E72" s="313" t="s">
        <v>1581</v>
      </c>
    </row>
    <row r="73" spans="1:5" x14ac:dyDescent="0.3">
      <c r="A73" s="76" t="s">
        <v>1432</v>
      </c>
      <c r="B73" s="18" t="s">
        <v>129</v>
      </c>
      <c r="C73" s="4"/>
      <c r="D73" s="264">
        <f>'25. CHEM. &amp; MAT.'!$F$62</f>
        <v>1000</v>
      </c>
      <c r="E73" s="313" t="s">
        <v>1581</v>
      </c>
    </row>
    <row r="74" spans="1:5" ht="15" thickBot="1" x14ac:dyDescent="0.35">
      <c r="A74" s="77" t="s">
        <v>1475</v>
      </c>
      <c r="B74" s="20" t="s">
        <v>129</v>
      </c>
      <c r="C74" s="12"/>
      <c r="D74" s="342">
        <f>($D$63*$D$71)+($D$66*$D$72)+($D$69*$D$73)</f>
        <v>1091.4285714285716</v>
      </c>
      <c r="E74" s="397" t="s">
        <v>232</v>
      </c>
    </row>
    <row r="75" spans="1:5" x14ac:dyDescent="0.3">
      <c r="A75" s="274" t="s">
        <v>1476</v>
      </c>
      <c r="B75" s="151" t="s">
        <v>1529</v>
      </c>
      <c r="C75" s="226" t="s">
        <v>1680</v>
      </c>
      <c r="D75" s="406">
        <f>($D$63*$D$71)/$D$74</f>
        <v>0.15575916230366491</v>
      </c>
      <c r="E75" s="393" t="s">
        <v>232</v>
      </c>
    </row>
    <row r="76" spans="1:5" x14ac:dyDescent="0.3">
      <c r="A76" s="341" t="s">
        <v>1593</v>
      </c>
      <c r="B76" s="18" t="s">
        <v>1529</v>
      </c>
      <c r="C76" s="391" t="s">
        <v>1639</v>
      </c>
      <c r="D76" s="407">
        <f>($D$64*$D$71)/$D$74</f>
        <v>5.7630890052356006E-2</v>
      </c>
      <c r="E76" s="398" t="s">
        <v>232</v>
      </c>
    </row>
    <row r="77" spans="1:5" x14ac:dyDescent="0.3">
      <c r="A77" s="401" t="s">
        <v>1459</v>
      </c>
      <c r="B77" s="18" t="s">
        <v>1529</v>
      </c>
      <c r="C77" s="402" t="s">
        <v>1594</v>
      </c>
      <c r="D77" s="407">
        <f>($D$65*$D$71)/$D$74</f>
        <v>9.8128272251308879E-2</v>
      </c>
      <c r="E77" s="398" t="s">
        <v>232</v>
      </c>
    </row>
    <row r="78" spans="1:5" x14ac:dyDescent="0.3">
      <c r="A78" s="76" t="s">
        <v>1458</v>
      </c>
      <c r="B78" s="18" t="s">
        <v>1529</v>
      </c>
      <c r="C78" s="4" t="s">
        <v>1595</v>
      </c>
      <c r="D78" s="270">
        <f>($D$66*$D$72)/$D$74</f>
        <v>0.18979057591623033</v>
      </c>
      <c r="E78" s="398" t="s">
        <v>232</v>
      </c>
    </row>
    <row r="79" spans="1:5" x14ac:dyDescent="0.3">
      <c r="A79" s="76" t="s">
        <v>1584</v>
      </c>
      <c r="B79" s="18" t="s">
        <v>1529</v>
      </c>
      <c r="C79" s="4" t="s">
        <v>1596</v>
      </c>
      <c r="D79" s="270">
        <f>($D$67*$D$72)/$D$74</f>
        <v>5.6937172774869094E-2</v>
      </c>
      <c r="E79" s="398" t="s">
        <v>232</v>
      </c>
    </row>
    <row r="80" spans="1:5" x14ac:dyDescent="0.3">
      <c r="A80" s="76" t="s">
        <v>1456</v>
      </c>
      <c r="B80" s="103" t="s">
        <v>1529</v>
      </c>
      <c r="C80" s="4" t="s">
        <v>1597</v>
      </c>
      <c r="D80" s="270">
        <f>($D$68*$D$72)/$D$74</f>
        <v>0.13285340314136124</v>
      </c>
      <c r="E80" s="398" t="s">
        <v>232</v>
      </c>
    </row>
    <row r="81" spans="1:5" x14ac:dyDescent="0.3">
      <c r="A81" s="76" t="s">
        <v>1459</v>
      </c>
      <c r="B81" s="18" t="s">
        <v>1529</v>
      </c>
      <c r="C81" s="4" t="s">
        <v>1638</v>
      </c>
      <c r="D81" s="270">
        <f>($D$69*$D$73)/$D$74</f>
        <v>0.65445026178010468</v>
      </c>
      <c r="E81" s="398" t="s">
        <v>232</v>
      </c>
    </row>
    <row r="82" spans="1:5" ht="15" thickBot="1" x14ac:dyDescent="0.35">
      <c r="A82" s="425" t="s">
        <v>1434</v>
      </c>
      <c r="B82" s="426" t="s">
        <v>1529</v>
      </c>
      <c r="C82" s="427" t="s">
        <v>1460</v>
      </c>
      <c r="D82" s="411">
        <f>SUM(D76:D77,D79:D80,D81)</f>
        <v>0.99999999999999989</v>
      </c>
      <c r="E82" s="424" t="s">
        <v>232</v>
      </c>
    </row>
    <row r="83" spans="1:5" x14ac:dyDescent="0.3">
      <c r="A83" s="1035" t="s">
        <v>1590</v>
      </c>
      <c r="B83" s="1196"/>
      <c r="C83" s="1196"/>
      <c r="D83" s="1196"/>
      <c r="E83" s="1197"/>
    </row>
    <row r="84" spans="1:5" x14ac:dyDescent="0.3">
      <c r="A84" s="76" t="s">
        <v>1582</v>
      </c>
      <c r="B84" s="4" t="s">
        <v>224</v>
      </c>
      <c r="C84" s="399" t="s">
        <v>147</v>
      </c>
      <c r="D84" s="403" t="s">
        <v>330</v>
      </c>
      <c r="E84" s="313" t="s">
        <v>331</v>
      </c>
    </row>
    <row r="85" spans="1:5" x14ac:dyDescent="0.3">
      <c r="A85" s="293" t="s">
        <v>431</v>
      </c>
      <c r="B85" s="3" t="s">
        <v>153</v>
      </c>
      <c r="C85" s="3" t="s">
        <v>162</v>
      </c>
      <c r="D85" s="415">
        <f>D76</f>
        <v>5.7630890052356006E-2</v>
      </c>
      <c r="E85" s="314" t="s">
        <v>385</v>
      </c>
    </row>
    <row r="86" spans="1:5" x14ac:dyDescent="0.3">
      <c r="A86" s="285" t="s">
        <v>430</v>
      </c>
      <c r="B86" s="3" t="s">
        <v>153</v>
      </c>
      <c r="C86" s="417" t="s">
        <v>161</v>
      </c>
      <c r="D86" s="415">
        <f>D79</f>
        <v>5.6937172774869094E-2</v>
      </c>
      <c r="E86" s="314" t="s">
        <v>385</v>
      </c>
    </row>
    <row r="87" spans="1:5" x14ac:dyDescent="0.3">
      <c r="A87" s="285" t="s">
        <v>158</v>
      </c>
      <c r="B87" s="3" t="s">
        <v>153</v>
      </c>
      <c r="C87" s="3" t="s">
        <v>159</v>
      </c>
      <c r="D87" s="415">
        <f>SUM(D81,D80,D77)</f>
        <v>0.8854319371727748</v>
      </c>
      <c r="E87" s="314" t="s">
        <v>385</v>
      </c>
    </row>
    <row r="88" spans="1:5" x14ac:dyDescent="0.3">
      <c r="A88" s="1128" t="s">
        <v>1587</v>
      </c>
      <c r="B88" s="1129"/>
      <c r="C88" s="1129"/>
      <c r="D88" s="1129"/>
      <c r="E88" s="1130"/>
    </row>
    <row r="89" spans="1:5" ht="15" thickBot="1" x14ac:dyDescent="0.35">
      <c r="A89" s="418" t="s">
        <v>1612</v>
      </c>
      <c r="B89" s="419" t="s">
        <v>153</v>
      </c>
      <c r="C89" s="12"/>
      <c r="D89" s="411">
        <f>SUM($D$85:$D$87)</f>
        <v>0.99999999999999989</v>
      </c>
      <c r="E89" s="148"/>
    </row>
    <row r="90" spans="1:5" x14ac:dyDescent="0.3">
      <c r="A90" s="1140"/>
      <c r="B90" s="1141"/>
      <c r="C90" s="1141"/>
      <c r="D90" s="1141"/>
      <c r="E90" s="1142"/>
    </row>
    <row r="91" spans="1:5" ht="15" thickBot="1" x14ac:dyDescent="0.35">
      <c r="A91" s="1150"/>
      <c r="B91" s="1151"/>
      <c r="C91" s="1151"/>
      <c r="D91" s="1151"/>
      <c r="E91" s="1152"/>
    </row>
    <row r="92" spans="1:5" ht="30" customHeight="1" thickBot="1" x14ac:dyDescent="0.35">
      <c r="A92" s="662" t="s">
        <v>1517</v>
      </c>
      <c r="B92" s="657" t="s">
        <v>142</v>
      </c>
      <c r="C92" s="654" t="s">
        <v>256</v>
      </c>
      <c r="D92" s="655" t="s">
        <v>236</v>
      </c>
      <c r="E92" s="656" t="s">
        <v>212</v>
      </c>
    </row>
    <row r="93" spans="1:5" x14ac:dyDescent="0.3">
      <c r="A93" s="391" t="s">
        <v>1513</v>
      </c>
      <c r="B93" s="391" t="s">
        <v>1528</v>
      </c>
      <c r="C93" s="226" t="s">
        <v>1636</v>
      </c>
      <c r="D93" s="407">
        <f>1/10</f>
        <v>0.1</v>
      </c>
      <c r="E93" s="398" t="s">
        <v>232</v>
      </c>
    </row>
    <row r="94" spans="1:5" x14ac:dyDescent="0.3">
      <c r="A94" s="4" t="s">
        <v>1598</v>
      </c>
      <c r="B94" s="4" t="s">
        <v>1528</v>
      </c>
      <c r="C94" s="391" t="s">
        <v>1600</v>
      </c>
      <c r="D94" s="270">
        <f>0.5*$D$93</f>
        <v>0.05</v>
      </c>
      <c r="E94" s="398" t="s">
        <v>232</v>
      </c>
    </row>
    <row r="95" spans="1:5" x14ac:dyDescent="0.3">
      <c r="A95" s="4" t="s">
        <v>1456</v>
      </c>
      <c r="B95" s="4" t="s">
        <v>1528</v>
      </c>
      <c r="C95" s="391" t="s">
        <v>1601</v>
      </c>
      <c r="D95" s="270">
        <f>$D$93-$D$94</f>
        <v>0.05</v>
      </c>
      <c r="E95" s="398" t="s">
        <v>232</v>
      </c>
    </row>
    <row r="96" spans="1:5" x14ac:dyDescent="0.3">
      <c r="A96" s="76" t="s">
        <v>1520</v>
      </c>
      <c r="B96" s="4" t="s">
        <v>1528</v>
      </c>
      <c r="C96" s="4" t="s">
        <v>1602</v>
      </c>
      <c r="D96" s="270">
        <f>5/10</f>
        <v>0.5</v>
      </c>
      <c r="E96" s="398" t="s">
        <v>232</v>
      </c>
    </row>
    <row r="97" spans="1:5" x14ac:dyDescent="0.3">
      <c r="A97" s="76" t="s">
        <v>1583</v>
      </c>
      <c r="B97" s="4" t="s">
        <v>1528</v>
      </c>
      <c r="C97" s="4" t="s">
        <v>1603</v>
      </c>
      <c r="D97" s="270">
        <f>0.2*$D$96</f>
        <v>0.1</v>
      </c>
      <c r="E97" s="398" t="s">
        <v>232</v>
      </c>
    </row>
    <row r="98" spans="1:5" x14ac:dyDescent="0.3">
      <c r="A98" s="401" t="s">
        <v>1598</v>
      </c>
      <c r="B98" s="4" t="s">
        <v>1528</v>
      </c>
      <c r="C98" s="4" t="s">
        <v>1604</v>
      </c>
      <c r="D98" s="270">
        <f>0.2*$D$96</f>
        <v>0.1</v>
      </c>
      <c r="E98" s="398" t="s">
        <v>232</v>
      </c>
    </row>
    <row r="99" spans="1:5" x14ac:dyDescent="0.3">
      <c r="A99" s="76" t="s">
        <v>1456</v>
      </c>
      <c r="B99" s="4" t="s">
        <v>1528</v>
      </c>
      <c r="C99" s="4" t="s">
        <v>1605</v>
      </c>
      <c r="D99" s="270">
        <f>0.6*$D$96</f>
        <v>0.3</v>
      </c>
      <c r="E99" s="398" t="s">
        <v>232</v>
      </c>
    </row>
    <row r="100" spans="1:5" x14ac:dyDescent="0.3">
      <c r="A100" s="76" t="s">
        <v>1456</v>
      </c>
      <c r="B100" s="4" t="s">
        <v>1528</v>
      </c>
      <c r="C100" s="4" t="s">
        <v>1637</v>
      </c>
      <c r="D100" s="270">
        <f>4/10</f>
        <v>0.4</v>
      </c>
      <c r="E100" s="398" t="s">
        <v>232</v>
      </c>
    </row>
    <row r="101" spans="1:5" ht="15" thickBot="1" x14ac:dyDescent="0.35">
      <c r="A101" s="404" t="s">
        <v>1434</v>
      </c>
      <c r="B101" s="400" t="s">
        <v>1528</v>
      </c>
      <c r="C101" s="427" t="s">
        <v>1460</v>
      </c>
      <c r="D101" s="410">
        <f>SUM(D94:D95,D97:D99,D100)</f>
        <v>1</v>
      </c>
      <c r="E101" s="421" t="s">
        <v>232</v>
      </c>
    </row>
    <row r="102" spans="1:5" x14ac:dyDescent="0.3">
      <c r="A102" s="274" t="s">
        <v>1514</v>
      </c>
      <c r="B102" s="19" t="s">
        <v>129</v>
      </c>
      <c r="C102" s="19"/>
      <c r="D102" s="390">
        <f>'25. CHEM. &amp; MAT.'!$F$46</f>
        <v>1150</v>
      </c>
      <c r="E102" s="393" t="s">
        <v>1581</v>
      </c>
    </row>
    <row r="103" spans="1:5" x14ac:dyDescent="0.3">
      <c r="A103" s="76" t="s">
        <v>1518</v>
      </c>
      <c r="B103" s="18" t="s">
        <v>129</v>
      </c>
      <c r="C103" s="4"/>
      <c r="D103" s="264">
        <f>'25. CHEM. &amp; MAT.'!$F$58</f>
        <v>1010</v>
      </c>
      <c r="E103" s="313" t="s">
        <v>1581</v>
      </c>
    </row>
    <row r="104" spans="1:5" x14ac:dyDescent="0.3">
      <c r="A104" s="76" t="s">
        <v>1432</v>
      </c>
      <c r="B104" s="18" t="s">
        <v>129</v>
      </c>
      <c r="C104" s="4"/>
      <c r="D104" s="264">
        <f>'25. CHEM. &amp; MAT.'!$F$62</f>
        <v>1000</v>
      </c>
      <c r="E104" s="313" t="s">
        <v>1581</v>
      </c>
    </row>
    <row r="105" spans="1:5" ht="15" thickBot="1" x14ac:dyDescent="0.35">
      <c r="A105" s="77" t="s">
        <v>1515</v>
      </c>
      <c r="B105" s="20" t="s">
        <v>129</v>
      </c>
      <c r="C105" s="12"/>
      <c r="D105" s="342">
        <f>($D$93*$D$102)+($D$96*$D$103)+($D$100*$D$104)</f>
        <v>1020</v>
      </c>
      <c r="E105" s="397" t="s">
        <v>232</v>
      </c>
    </row>
    <row r="106" spans="1:5" x14ac:dyDescent="0.3">
      <c r="A106" s="274" t="s">
        <v>1516</v>
      </c>
      <c r="B106" s="19" t="s">
        <v>1529</v>
      </c>
      <c r="C106" s="226" t="s">
        <v>1635</v>
      </c>
      <c r="D106" s="422">
        <f>($D$93*$D$102)/$D$105</f>
        <v>0.11274509803921569</v>
      </c>
      <c r="E106" s="393" t="s">
        <v>232</v>
      </c>
    </row>
    <row r="107" spans="1:5" x14ac:dyDescent="0.3">
      <c r="A107" s="76" t="s">
        <v>1599</v>
      </c>
      <c r="B107" s="18" t="s">
        <v>1529</v>
      </c>
      <c r="C107" s="391" t="s">
        <v>1606</v>
      </c>
      <c r="D107" s="270">
        <f>($D$94*$D$102)/$D$105</f>
        <v>5.6372549019607844E-2</v>
      </c>
      <c r="E107" s="398" t="s">
        <v>232</v>
      </c>
    </row>
    <row r="108" spans="1:5" x14ac:dyDescent="0.3">
      <c r="A108" s="76" t="s">
        <v>1459</v>
      </c>
      <c r="B108" s="18" t="s">
        <v>1529</v>
      </c>
      <c r="C108" s="391" t="s">
        <v>1607</v>
      </c>
      <c r="D108" s="270">
        <f>($D$94*$D$102)/$D$105</f>
        <v>5.6372549019607844E-2</v>
      </c>
      <c r="E108" s="398" t="s">
        <v>232</v>
      </c>
    </row>
    <row r="109" spans="1:5" x14ac:dyDescent="0.3">
      <c r="A109" s="76" t="s">
        <v>1519</v>
      </c>
      <c r="B109" s="18" t="s">
        <v>1529</v>
      </c>
      <c r="C109" s="4" t="s">
        <v>1608</v>
      </c>
      <c r="D109" s="270">
        <f>($D$96*$D$103)/$D$105</f>
        <v>0.49509803921568629</v>
      </c>
      <c r="E109" s="398" t="s">
        <v>232</v>
      </c>
    </row>
    <row r="110" spans="1:5" x14ac:dyDescent="0.3">
      <c r="A110" s="76" t="s">
        <v>1585</v>
      </c>
      <c r="B110" s="18" t="s">
        <v>1529</v>
      </c>
      <c r="C110" s="4" t="s">
        <v>1609</v>
      </c>
      <c r="D110" s="270">
        <f>($D$97*$D$103)/$D$105</f>
        <v>9.901960784313725E-2</v>
      </c>
      <c r="E110" s="398" t="s">
        <v>232</v>
      </c>
    </row>
    <row r="111" spans="1:5" x14ac:dyDescent="0.3">
      <c r="A111" s="401" t="s">
        <v>1599</v>
      </c>
      <c r="B111" s="18" t="s">
        <v>1529</v>
      </c>
      <c r="C111" s="4" t="s">
        <v>1610</v>
      </c>
      <c r="D111" s="270">
        <f>($D$98*$D$103)/$D$105</f>
        <v>9.901960784313725E-2</v>
      </c>
      <c r="E111" s="398" t="s">
        <v>232</v>
      </c>
    </row>
    <row r="112" spans="1:5" x14ac:dyDescent="0.3">
      <c r="A112" s="76" t="s">
        <v>1459</v>
      </c>
      <c r="B112" s="18" t="s">
        <v>1529</v>
      </c>
      <c r="C112" s="4" t="s">
        <v>1611</v>
      </c>
      <c r="D112" s="270">
        <f>($D$99*$D$103)/$D$105</f>
        <v>0.29705882352941176</v>
      </c>
      <c r="E112" s="398" t="s">
        <v>232</v>
      </c>
    </row>
    <row r="113" spans="1:5" x14ac:dyDescent="0.3">
      <c r="A113" s="341" t="s">
        <v>1459</v>
      </c>
      <c r="B113" s="18" t="s">
        <v>1529</v>
      </c>
      <c r="C113" s="4" t="s">
        <v>1632</v>
      </c>
      <c r="D113" s="407">
        <f>($D$100*$D$104)/$D$105</f>
        <v>0.39215686274509803</v>
      </c>
      <c r="E113" s="398" t="s">
        <v>232</v>
      </c>
    </row>
    <row r="114" spans="1:5" ht="15" thickBot="1" x14ac:dyDescent="0.35">
      <c r="A114" s="425" t="s">
        <v>1434</v>
      </c>
      <c r="B114" s="426" t="s">
        <v>1529</v>
      </c>
      <c r="C114" s="427" t="s">
        <v>1460</v>
      </c>
      <c r="D114" s="411">
        <f>SUM(D107:D108,D110:D112,D113)</f>
        <v>1</v>
      </c>
      <c r="E114" s="424" t="s">
        <v>232</v>
      </c>
    </row>
    <row r="115" spans="1:5" x14ac:dyDescent="0.3">
      <c r="A115" s="1193" t="s">
        <v>1590</v>
      </c>
      <c r="B115" s="1194"/>
      <c r="C115" s="1194"/>
      <c r="D115" s="1194"/>
      <c r="E115" s="1195"/>
    </row>
    <row r="116" spans="1:5" x14ac:dyDescent="0.3">
      <c r="A116" s="76" t="s">
        <v>1582</v>
      </c>
      <c r="B116" s="4" t="s">
        <v>224</v>
      </c>
      <c r="C116" s="399" t="s">
        <v>147</v>
      </c>
      <c r="D116" s="403" t="s">
        <v>330</v>
      </c>
      <c r="E116" s="313" t="s">
        <v>331</v>
      </c>
    </row>
    <row r="117" spans="1:5" x14ac:dyDescent="0.3">
      <c r="A117" s="293" t="s">
        <v>380</v>
      </c>
      <c r="B117" s="3" t="s">
        <v>153</v>
      </c>
      <c r="C117" s="3" t="s">
        <v>155</v>
      </c>
      <c r="D117" s="431">
        <f>$D$110</f>
        <v>9.901960784313725E-2</v>
      </c>
      <c r="E117" s="314" t="s">
        <v>385</v>
      </c>
    </row>
    <row r="118" spans="1:5" x14ac:dyDescent="0.3">
      <c r="A118" s="285" t="s">
        <v>695</v>
      </c>
      <c r="B118" s="3" t="s">
        <v>153</v>
      </c>
      <c r="C118" s="417" t="s">
        <v>157</v>
      </c>
      <c r="D118" s="431">
        <f>SUM($D$107,$D$111)</f>
        <v>0.1553921568627451</v>
      </c>
      <c r="E118" s="314" t="s">
        <v>385</v>
      </c>
    </row>
    <row r="119" spans="1:5" x14ac:dyDescent="0.3">
      <c r="A119" s="285" t="s">
        <v>158</v>
      </c>
      <c r="B119" s="3" t="s">
        <v>153</v>
      </c>
      <c r="C119" s="3" t="s">
        <v>159</v>
      </c>
      <c r="D119" s="431">
        <f>SUM($D$108,$D$112:$D$113)</f>
        <v>0.74558823529411766</v>
      </c>
      <c r="E119" s="314" t="s">
        <v>385</v>
      </c>
    </row>
    <row r="120" spans="1:5" x14ac:dyDescent="0.3">
      <c r="A120" s="1128" t="s">
        <v>1587</v>
      </c>
      <c r="B120" s="1129"/>
      <c r="C120" s="1129"/>
      <c r="D120" s="1129"/>
      <c r="E120" s="1130"/>
    </row>
    <row r="121" spans="1:5" ht="15" thickBot="1" x14ac:dyDescent="0.35">
      <c r="A121" s="418" t="s">
        <v>146</v>
      </c>
      <c r="B121" s="419" t="s">
        <v>153</v>
      </c>
      <c r="C121" s="12"/>
      <c r="D121" s="411">
        <f>SUM($D$117:$D$119)</f>
        <v>1</v>
      </c>
      <c r="E121" s="148"/>
    </row>
    <row r="122" spans="1:5" x14ac:dyDescent="0.3">
      <c r="A122" s="1140"/>
      <c r="B122" s="1141"/>
      <c r="C122" s="1141"/>
      <c r="D122" s="1141"/>
      <c r="E122" s="1142"/>
    </row>
    <row r="123" spans="1:5" ht="15" thickBot="1" x14ac:dyDescent="0.35">
      <c r="A123" s="1150"/>
      <c r="B123" s="1151"/>
      <c r="C123" s="1151"/>
      <c r="D123" s="1151"/>
      <c r="E123" s="1152"/>
    </row>
    <row r="124" spans="1:5" ht="30" customHeight="1" thickBot="1" x14ac:dyDescent="0.35">
      <c r="A124" s="662" t="s">
        <v>1723</v>
      </c>
      <c r="B124" s="657" t="s">
        <v>142</v>
      </c>
      <c r="C124" s="654" t="s">
        <v>256</v>
      </c>
      <c r="D124" s="655" t="s">
        <v>236</v>
      </c>
      <c r="E124" s="656" t="s">
        <v>212</v>
      </c>
    </row>
    <row r="125" spans="1:5" x14ac:dyDescent="0.3">
      <c r="A125" s="274" t="s">
        <v>1513</v>
      </c>
      <c r="B125" s="226" t="s">
        <v>1528</v>
      </c>
      <c r="C125" s="226" t="s">
        <v>1634</v>
      </c>
      <c r="D125" s="406">
        <v>0.1</v>
      </c>
      <c r="E125" s="393" t="s">
        <v>232</v>
      </c>
    </row>
    <row r="126" spans="1:5" x14ac:dyDescent="0.3">
      <c r="A126" s="341" t="s">
        <v>1598</v>
      </c>
      <c r="B126" s="4" t="s">
        <v>1528</v>
      </c>
      <c r="C126" s="391" t="s">
        <v>1613</v>
      </c>
      <c r="D126" s="407">
        <f>0.5*$D$125</f>
        <v>0.05</v>
      </c>
      <c r="E126" s="398" t="s">
        <v>232</v>
      </c>
    </row>
    <row r="127" spans="1:5" x14ac:dyDescent="0.3">
      <c r="A127" s="76" t="s">
        <v>1456</v>
      </c>
      <c r="B127" s="4" t="s">
        <v>1528</v>
      </c>
      <c r="C127" s="391" t="s">
        <v>1614</v>
      </c>
      <c r="D127" s="270">
        <f>$D$125-$D$126</f>
        <v>0.05</v>
      </c>
      <c r="E127" s="398" t="s">
        <v>232</v>
      </c>
    </row>
    <row r="128" spans="1:5" x14ac:dyDescent="0.3">
      <c r="A128" s="76" t="s">
        <v>1456</v>
      </c>
      <c r="B128" s="4" t="s">
        <v>1528</v>
      </c>
      <c r="C128" s="243" t="s">
        <v>1633</v>
      </c>
      <c r="D128" s="270">
        <f>1-$D$125</f>
        <v>0.9</v>
      </c>
      <c r="E128" s="398" t="s">
        <v>232</v>
      </c>
    </row>
    <row r="129" spans="1:5" ht="15" thickBot="1" x14ac:dyDescent="0.35">
      <c r="A129" s="404" t="s">
        <v>1434</v>
      </c>
      <c r="B129" s="427" t="s">
        <v>1528</v>
      </c>
      <c r="C129" s="427" t="s">
        <v>1460</v>
      </c>
      <c r="D129" s="410">
        <f>SUM($D$126:$D$127,$D$128)</f>
        <v>1</v>
      </c>
      <c r="E129" s="421" t="s">
        <v>232</v>
      </c>
    </row>
    <row r="130" spans="1:5" x14ac:dyDescent="0.3">
      <c r="A130" s="274" t="s">
        <v>1514</v>
      </c>
      <c r="B130" s="19" t="s">
        <v>129</v>
      </c>
      <c r="C130" s="19"/>
      <c r="D130" s="390">
        <f>'25. CHEM. &amp; MAT.'!$F$46</f>
        <v>1150</v>
      </c>
      <c r="E130" s="393" t="s">
        <v>1581</v>
      </c>
    </row>
    <row r="131" spans="1:5" x14ac:dyDescent="0.3">
      <c r="A131" s="76" t="s">
        <v>1432</v>
      </c>
      <c r="B131" s="18" t="s">
        <v>129</v>
      </c>
      <c r="C131" s="4"/>
      <c r="D131" s="264">
        <f>'25. CHEM. &amp; MAT.'!$F$62</f>
        <v>1000</v>
      </c>
      <c r="E131" s="313" t="s">
        <v>1581</v>
      </c>
    </row>
    <row r="132" spans="1:5" ht="15" thickBot="1" x14ac:dyDescent="0.35">
      <c r="A132" s="77" t="s">
        <v>1534</v>
      </c>
      <c r="B132" s="20" t="s">
        <v>129</v>
      </c>
      <c r="C132" s="12"/>
      <c r="D132" s="342">
        <f>($D$125*$D$130)+($D$128*$D$131)</f>
        <v>1015</v>
      </c>
      <c r="E132" s="397" t="s">
        <v>232</v>
      </c>
    </row>
    <row r="133" spans="1:5" x14ac:dyDescent="0.3">
      <c r="A133" s="274" t="s">
        <v>1516</v>
      </c>
      <c r="B133" s="19" t="s">
        <v>1529</v>
      </c>
      <c r="C133" s="226" t="s">
        <v>1617</v>
      </c>
      <c r="D133" s="422">
        <f>($D$125*$D$130)/$D$132</f>
        <v>0.11330049261083744</v>
      </c>
      <c r="E133" s="393" t="s">
        <v>232</v>
      </c>
    </row>
    <row r="134" spans="1:5" x14ac:dyDescent="0.3">
      <c r="A134" s="341" t="s">
        <v>1599</v>
      </c>
      <c r="B134" s="18" t="s">
        <v>1529</v>
      </c>
      <c r="C134" s="391" t="s">
        <v>1619</v>
      </c>
      <c r="D134" s="270">
        <f>($D$126*$D$130)/$D$132</f>
        <v>5.6650246305418719E-2</v>
      </c>
      <c r="E134" s="398" t="s">
        <v>232</v>
      </c>
    </row>
    <row r="135" spans="1:5" x14ac:dyDescent="0.3">
      <c r="A135" s="76" t="s">
        <v>1459</v>
      </c>
      <c r="B135" s="18" t="s">
        <v>1529</v>
      </c>
      <c r="C135" s="391" t="s">
        <v>1618</v>
      </c>
      <c r="D135" s="270">
        <f>($D$127*$D$130)/$D$132</f>
        <v>5.6650246305418719E-2</v>
      </c>
      <c r="E135" s="398" t="s">
        <v>232</v>
      </c>
    </row>
    <row r="136" spans="1:5" x14ac:dyDescent="0.3">
      <c r="A136" s="341" t="s">
        <v>1459</v>
      </c>
      <c r="B136" s="18" t="s">
        <v>1529</v>
      </c>
      <c r="C136" s="243" t="s">
        <v>1615</v>
      </c>
      <c r="D136" s="407">
        <f>($D$128*$D$131)/$D$132</f>
        <v>0.88669950738916259</v>
      </c>
      <c r="E136" s="398" t="s">
        <v>232</v>
      </c>
    </row>
    <row r="137" spans="1:5" ht="15" thickBot="1" x14ac:dyDescent="0.35">
      <c r="A137" s="425" t="s">
        <v>1434</v>
      </c>
      <c r="B137" s="426" t="s">
        <v>1529</v>
      </c>
      <c r="C137" s="427" t="s">
        <v>1460</v>
      </c>
      <c r="D137" s="411">
        <f>SUM($D$134:$D$136)</f>
        <v>1</v>
      </c>
      <c r="E137" s="424" t="s">
        <v>232</v>
      </c>
    </row>
    <row r="138" spans="1:5" x14ac:dyDescent="0.3">
      <c r="A138" s="1193" t="s">
        <v>1590</v>
      </c>
      <c r="B138" s="1194"/>
      <c r="C138" s="1194"/>
      <c r="D138" s="1194"/>
      <c r="E138" s="1195"/>
    </row>
    <row r="139" spans="1:5" x14ac:dyDescent="0.3">
      <c r="A139" s="76" t="s">
        <v>1582</v>
      </c>
      <c r="B139" s="4" t="s">
        <v>224</v>
      </c>
      <c r="C139" s="399" t="s">
        <v>147</v>
      </c>
      <c r="D139" s="403" t="s">
        <v>330</v>
      </c>
      <c r="E139" s="313" t="s">
        <v>331</v>
      </c>
    </row>
    <row r="140" spans="1:5" x14ac:dyDescent="0.3">
      <c r="A140" s="285" t="s">
        <v>695</v>
      </c>
      <c r="B140" s="3" t="s">
        <v>153</v>
      </c>
      <c r="C140" s="417" t="s">
        <v>157</v>
      </c>
      <c r="D140" s="415">
        <f>$D$134</f>
        <v>5.6650246305418719E-2</v>
      </c>
      <c r="E140" s="314" t="s">
        <v>385</v>
      </c>
    </row>
    <row r="141" spans="1:5" x14ac:dyDescent="0.3">
      <c r="A141" s="285" t="s">
        <v>158</v>
      </c>
      <c r="B141" s="3" t="s">
        <v>153</v>
      </c>
      <c r="C141" s="3" t="s">
        <v>159</v>
      </c>
      <c r="D141" s="415">
        <f>SUM($D$135:$D$136)</f>
        <v>0.94334975369458129</v>
      </c>
      <c r="E141" s="314" t="s">
        <v>385</v>
      </c>
    </row>
    <row r="142" spans="1:5" x14ac:dyDescent="0.3">
      <c r="A142" s="1128" t="s">
        <v>1587</v>
      </c>
      <c r="B142" s="1129"/>
      <c r="C142" s="1129"/>
      <c r="D142" s="1129"/>
      <c r="E142" s="1130"/>
    </row>
    <row r="143" spans="1:5" ht="15" thickBot="1" x14ac:dyDescent="0.35">
      <c r="A143" s="418" t="s">
        <v>1616</v>
      </c>
      <c r="B143" s="419" t="s">
        <v>153</v>
      </c>
      <c r="C143" s="12"/>
      <c r="D143" s="411">
        <f>SUM($D$140:$D$141)</f>
        <v>1</v>
      </c>
      <c r="E143" s="148"/>
    </row>
    <row r="144" spans="1:5" x14ac:dyDescent="0.3">
      <c r="A144" s="1140"/>
      <c r="B144" s="1141"/>
      <c r="C144" s="1141"/>
      <c r="D144" s="1141"/>
      <c r="E144" s="1142"/>
    </row>
    <row r="145" spans="1:5" ht="15" thickBot="1" x14ac:dyDescent="0.35">
      <c r="A145" s="1143"/>
      <c r="B145" s="1144"/>
      <c r="C145" s="1144"/>
      <c r="D145" s="1144"/>
      <c r="E145" s="1145"/>
    </row>
    <row r="146" spans="1:5" ht="30" customHeight="1" thickBot="1" x14ac:dyDescent="0.35">
      <c r="A146" s="662" t="s">
        <v>1552</v>
      </c>
      <c r="B146" s="657" t="s">
        <v>142</v>
      </c>
      <c r="C146" s="654" t="s">
        <v>256</v>
      </c>
      <c r="D146" s="655" t="s">
        <v>236</v>
      </c>
      <c r="E146" s="656" t="s">
        <v>212</v>
      </c>
    </row>
    <row r="147" spans="1:5" x14ac:dyDescent="0.3">
      <c r="A147" s="274" t="s">
        <v>1553</v>
      </c>
      <c r="B147" s="226" t="s">
        <v>1642</v>
      </c>
      <c r="C147" s="226" t="s">
        <v>1640</v>
      </c>
      <c r="D147" s="406">
        <f>3/4</f>
        <v>0.75</v>
      </c>
      <c r="E147" s="393" t="s">
        <v>232</v>
      </c>
    </row>
    <row r="148" spans="1:5" x14ac:dyDescent="0.3">
      <c r="A148" s="76" t="s">
        <v>1469</v>
      </c>
      <c r="B148" s="4" t="s">
        <v>1642</v>
      </c>
      <c r="C148" s="4" t="s">
        <v>1644</v>
      </c>
      <c r="D148" s="270">
        <f>1/4</f>
        <v>0.25</v>
      </c>
      <c r="E148" s="398" t="s">
        <v>232</v>
      </c>
    </row>
    <row r="149" spans="1:5" x14ac:dyDescent="0.3">
      <c r="A149" s="76" t="s">
        <v>1584</v>
      </c>
      <c r="B149" s="4" t="s">
        <v>1642</v>
      </c>
      <c r="C149" s="4" t="s">
        <v>1645</v>
      </c>
      <c r="D149" s="270">
        <f>0.3*$D$148</f>
        <v>7.4999999999999997E-2</v>
      </c>
      <c r="E149" s="398" t="s">
        <v>232</v>
      </c>
    </row>
    <row r="150" spans="1:5" x14ac:dyDescent="0.3">
      <c r="A150" s="76" t="s">
        <v>1456</v>
      </c>
      <c r="B150" s="4" t="s">
        <v>1642</v>
      </c>
      <c r="C150" s="4" t="s">
        <v>1646</v>
      </c>
      <c r="D150" s="270">
        <f>$D$148-$D$149</f>
        <v>0.17499999999999999</v>
      </c>
      <c r="E150" s="398" t="s">
        <v>232</v>
      </c>
    </row>
    <row r="151" spans="1:5" ht="15" thickBot="1" x14ac:dyDescent="0.35">
      <c r="A151" s="404" t="s">
        <v>1434</v>
      </c>
      <c r="B151" s="400" t="s">
        <v>1642</v>
      </c>
      <c r="C151" s="427" t="s">
        <v>1460</v>
      </c>
      <c r="D151" s="410">
        <f>SUM(D147:D148)</f>
        <v>1</v>
      </c>
      <c r="E151" s="421" t="s">
        <v>232</v>
      </c>
    </row>
    <row r="152" spans="1:5" x14ac:dyDescent="0.3">
      <c r="A152" s="274" t="s">
        <v>1554</v>
      </c>
      <c r="B152" s="19" t="s">
        <v>129</v>
      </c>
      <c r="C152" s="19"/>
      <c r="D152" s="390">
        <f>'25. CHEM. &amp; MAT.'!$F$55</f>
        <v>1830</v>
      </c>
      <c r="E152" s="393" t="s">
        <v>1581</v>
      </c>
    </row>
    <row r="153" spans="1:5" x14ac:dyDescent="0.3">
      <c r="A153" s="76" t="s">
        <v>1555</v>
      </c>
      <c r="B153" s="18" t="s">
        <v>129</v>
      </c>
      <c r="C153" s="4"/>
      <c r="D153" s="264">
        <f>'25. CHEM. &amp; MAT.'!F63</f>
        <v>1450</v>
      </c>
      <c r="E153" s="313" t="s">
        <v>1581</v>
      </c>
    </row>
    <row r="154" spans="1:5" ht="15" thickBot="1" x14ac:dyDescent="0.35">
      <c r="A154" s="77" t="s">
        <v>1556</v>
      </c>
      <c r="B154" s="20" t="s">
        <v>129</v>
      </c>
      <c r="C154" s="12"/>
      <c r="D154" s="342">
        <f>($D$147*$D$152)+($D$148*$D$153)</f>
        <v>1735</v>
      </c>
      <c r="E154" s="397" t="s">
        <v>232</v>
      </c>
    </row>
    <row r="155" spans="1:5" x14ac:dyDescent="0.3">
      <c r="A155" s="274" t="s">
        <v>1567</v>
      </c>
      <c r="B155" s="19" t="s">
        <v>1643</v>
      </c>
      <c r="C155" s="226" t="s">
        <v>1641</v>
      </c>
      <c r="D155" s="406">
        <f>($D$147*$D$152)/$D$154</f>
        <v>0.79106628242074928</v>
      </c>
      <c r="E155" s="393" t="s">
        <v>232</v>
      </c>
    </row>
    <row r="156" spans="1:5" x14ac:dyDescent="0.3">
      <c r="A156" s="341" t="s">
        <v>1470</v>
      </c>
      <c r="B156" s="18" t="s">
        <v>1643</v>
      </c>
      <c r="C156" s="4" t="s">
        <v>1647</v>
      </c>
      <c r="D156" s="407">
        <f>($D$148*$D$153)/$D$154</f>
        <v>0.20893371757925072</v>
      </c>
      <c r="E156" s="398" t="s">
        <v>232</v>
      </c>
    </row>
    <row r="157" spans="1:5" x14ac:dyDescent="0.3">
      <c r="A157" s="341" t="s">
        <v>1586</v>
      </c>
      <c r="B157" s="18" t="s">
        <v>1643</v>
      </c>
      <c r="C157" s="4" t="s">
        <v>1648</v>
      </c>
      <c r="D157" s="407">
        <f>($D$149*$D$153)/$D$154</f>
        <v>6.2680115273775219E-2</v>
      </c>
      <c r="E157" s="398" t="s">
        <v>232</v>
      </c>
    </row>
    <row r="158" spans="1:5" x14ac:dyDescent="0.3">
      <c r="A158" s="341" t="s">
        <v>1459</v>
      </c>
      <c r="B158" s="18" t="s">
        <v>1643</v>
      </c>
      <c r="C158" s="4" t="s">
        <v>1649</v>
      </c>
      <c r="D158" s="407">
        <f>($D$150*$D$153)/$D$154</f>
        <v>0.14625360230547549</v>
      </c>
      <c r="E158" s="398" t="s">
        <v>232</v>
      </c>
    </row>
    <row r="159" spans="1:5" ht="15" thickBot="1" x14ac:dyDescent="0.35">
      <c r="A159" s="425" t="s">
        <v>1434</v>
      </c>
      <c r="B159" s="426" t="s">
        <v>1643</v>
      </c>
      <c r="C159" s="427" t="s">
        <v>1460</v>
      </c>
      <c r="D159" s="411">
        <f>SUM(D155,D157:D158)</f>
        <v>1</v>
      </c>
      <c r="E159" s="424" t="s">
        <v>232</v>
      </c>
    </row>
    <row r="160" spans="1:5" x14ac:dyDescent="0.3">
      <c r="A160" s="1193" t="s">
        <v>1590</v>
      </c>
      <c r="B160" s="1194"/>
      <c r="C160" s="1194"/>
      <c r="D160" s="1194"/>
      <c r="E160" s="1195"/>
    </row>
    <row r="161" spans="1:5" x14ac:dyDescent="0.3">
      <c r="A161" s="76" t="s">
        <v>1582</v>
      </c>
      <c r="B161" s="4" t="s">
        <v>224</v>
      </c>
      <c r="C161" s="399" t="s">
        <v>147</v>
      </c>
      <c r="D161" s="403" t="s">
        <v>330</v>
      </c>
      <c r="E161" s="313" t="s">
        <v>331</v>
      </c>
    </row>
    <row r="162" spans="1:5" x14ac:dyDescent="0.3">
      <c r="A162" s="293" t="s">
        <v>798</v>
      </c>
      <c r="B162" s="3" t="s">
        <v>153</v>
      </c>
      <c r="C162" s="3" t="s">
        <v>1650</v>
      </c>
      <c r="D162" s="415">
        <f>D155</f>
        <v>0.79106628242074928</v>
      </c>
      <c r="E162" s="314" t="s">
        <v>385</v>
      </c>
    </row>
    <row r="163" spans="1:5" x14ac:dyDescent="0.3">
      <c r="A163" s="285" t="s">
        <v>430</v>
      </c>
      <c r="B163" s="3" t="s">
        <v>153</v>
      </c>
      <c r="C163" s="417" t="s">
        <v>161</v>
      </c>
      <c r="D163" s="415">
        <f>D157</f>
        <v>6.2680115273775219E-2</v>
      </c>
      <c r="E163" s="314" t="s">
        <v>385</v>
      </c>
    </row>
    <row r="164" spans="1:5" x14ac:dyDescent="0.3">
      <c r="A164" s="285" t="s">
        <v>158</v>
      </c>
      <c r="B164" s="3" t="s">
        <v>153</v>
      </c>
      <c r="C164" s="3" t="s">
        <v>159</v>
      </c>
      <c r="D164" s="415">
        <f>D158</f>
        <v>0.14625360230547549</v>
      </c>
      <c r="E164" s="314" t="s">
        <v>385</v>
      </c>
    </row>
    <row r="165" spans="1:5" x14ac:dyDescent="0.3">
      <c r="A165" s="1128" t="s">
        <v>1587</v>
      </c>
      <c r="B165" s="1129"/>
      <c r="C165" s="1129"/>
      <c r="D165" s="1129"/>
      <c r="E165" s="1130"/>
    </row>
    <row r="166" spans="1:5" ht="15" thickBot="1" x14ac:dyDescent="0.35">
      <c r="A166" s="418" t="s">
        <v>1944</v>
      </c>
      <c r="B166" s="419" t="s">
        <v>153</v>
      </c>
      <c r="C166" s="12"/>
      <c r="D166" s="411">
        <f>SUM(D162:D164)</f>
        <v>1</v>
      </c>
      <c r="E166" s="148"/>
    </row>
    <row r="167" spans="1:5" x14ac:dyDescent="0.3">
      <c r="A167" s="1140"/>
      <c r="B167" s="1141"/>
      <c r="C167" s="1141"/>
      <c r="D167" s="1141"/>
      <c r="E167" s="1142"/>
    </row>
    <row r="168" spans="1:5" ht="15" thickBot="1" x14ac:dyDescent="0.35">
      <c r="A168" s="1143"/>
      <c r="B168" s="1144"/>
      <c r="C168" s="1144"/>
      <c r="D168" s="1144"/>
      <c r="E168" s="1145"/>
    </row>
    <row r="169" spans="1:5" ht="30" customHeight="1" thickBot="1" x14ac:dyDescent="0.35">
      <c r="A169" s="663" t="s">
        <v>1557</v>
      </c>
      <c r="B169" s="742" t="s">
        <v>142</v>
      </c>
      <c r="C169" s="743" t="s">
        <v>256</v>
      </c>
      <c r="D169" s="744" t="s">
        <v>236</v>
      </c>
      <c r="E169" s="745" t="s">
        <v>212</v>
      </c>
    </row>
    <row r="170" spans="1:5" x14ac:dyDescent="0.3">
      <c r="A170" s="274" t="s">
        <v>1521</v>
      </c>
      <c r="B170" s="226" t="s">
        <v>1528</v>
      </c>
      <c r="C170" s="226"/>
      <c r="D170" s="406">
        <f>0.28</f>
        <v>0.28000000000000003</v>
      </c>
      <c r="E170" s="398" t="s">
        <v>232</v>
      </c>
    </row>
    <row r="171" spans="1:5" x14ac:dyDescent="0.3">
      <c r="A171" s="76" t="s">
        <v>1523</v>
      </c>
      <c r="B171" s="4" t="s">
        <v>1528</v>
      </c>
      <c r="C171" s="4"/>
      <c r="D171" s="270">
        <f>0.36</f>
        <v>0.36</v>
      </c>
      <c r="E171" s="398" t="s">
        <v>232</v>
      </c>
    </row>
    <row r="172" spans="1:5" x14ac:dyDescent="0.3">
      <c r="A172" s="4" t="s">
        <v>1522</v>
      </c>
      <c r="B172" s="4" t="s">
        <v>1528</v>
      </c>
      <c r="C172" s="243"/>
      <c r="D172" s="428">
        <f>0.36</f>
        <v>0.36</v>
      </c>
      <c r="E172" s="398" t="s">
        <v>232</v>
      </c>
    </row>
    <row r="173" spans="1:5" ht="15" thickBot="1" x14ac:dyDescent="0.35">
      <c r="A173" s="404" t="s">
        <v>1434</v>
      </c>
      <c r="B173" s="427" t="s">
        <v>1528</v>
      </c>
      <c r="C173" s="427" t="s">
        <v>1460</v>
      </c>
      <c r="D173" s="411">
        <f>SUM($D$170:$D$172)</f>
        <v>1</v>
      </c>
      <c r="E173" s="421" t="s">
        <v>232</v>
      </c>
    </row>
    <row r="174" spans="1:5" x14ac:dyDescent="0.3">
      <c r="A174" s="274" t="s">
        <v>1524</v>
      </c>
      <c r="B174" s="226" t="s">
        <v>129</v>
      </c>
      <c r="C174" s="226"/>
      <c r="D174" s="345">
        <f>'25. CHEM. &amp; MAT.'!$F$82</f>
        <v>765</v>
      </c>
      <c r="E174" s="393" t="s">
        <v>1581</v>
      </c>
    </row>
    <row r="175" spans="1:5" x14ac:dyDescent="0.3">
      <c r="A175" s="76" t="s">
        <v>1525</v>
      </c>
      <c r="B175" s="4" t="s">
        <v>129</v>
      </c>
      <c r="C175" s="4"/>
      <c r="D175" s="264">
        <f>'25. CHEM. &amp; MAT.'!$F$67</f>
        <v>962</v>
      </c>
      <c r="E175" s="313" t="s">
        <v>1581</v>
      </c>
    </row>
    <row r="176" spans="1:5" x14ac:dyDescent="0.3">
      <c r="A176" s="230" t="s">
        <v>1526</v>
      </c>
      <c r="B176" s="243" t="s">
        <v>129</v>
      </c>
      <c r="C176" s="243"/>
      <c r="D176" s="347">
        <f>'25. CHEM. &amp; MAT.'!$F$83</f>
        <v>1250</v>
      </c>
      <c r="E176" s="313" t="s">
        <v>1581</v>
      </c>
    </row>
    <row r="177" spans="1:5" ht="15" thickBot="1" x14ac:dyDescent="0.35">
      <c r="A177" s="77" t="s">
        <v>1527</v>
      </c>
      <c r="B177" s="12" t="s">
        <v>129</v>
      </c>
      <c r="C177" s="12"/>
      <c r="D177" s="346">
        <f>($D$170*$D$174)+($D$171*$D$175)+($D$172*$D$176)</f>
        <v>1010.52</v>
      </c>
      <c r="E177" s="397" t="s">
        <v>232</v>
      </c>
    </row>
    <row r="178" spans="1:5" x14ac:dyDescent="0.3">
      <c r="A178" s="274" t="s">
        <v>1530</v>
      </c>
      <c r="B178" s="19" t="s">
        <v>1529</v>
      </c>
      <c r="C178" s="226"/>
      <c r="D178" s="406">
        <f>($D$170*$D$174)/$D$177</f>
        <v>0.21197007481296759</v>
      </c>
      <c r="E178" s="393" t="s">
        <v>232</v>
      </c>
    </row>
    <row r="179" spans="1:5" x14ac:dyDescent="0.3">
      <c r="A179" s="76" t="s">
        <v>1531</v>
      </c>
      <c r="B179" s="18" t="s">
        <v>1529</v>
      </c>
      <c r="C179" s="4"/>
      <c r="D179" s="270">
        <f>($D$171*$D$175)/$D$177</f>
        <v>0.3427146419665123</v>
      </c>
      <c r="E179" s="398" t="s">
        <v>232</v>
      </c>
    </row>
    <row r="180" spans="1:5" x14ac:dyDescent="0.3">
      <c r="A180" s="76" t="s">
        <v>1532</v>
      </c>
      <c r="B180" s="18" t="s">
        <v>1529</v>
      </c>
      <c r="C180" s="4"/>
      <c r="D180" s="270">
        <f>($D$172*$D$176)/$D$177</f>
        <v>0.44531528322052016</v>
      </c>
      <c r="E180" s="398" t="s">
        <v>232</v>
      </c>
    </row>
    <row r="181" spans="1:5" ht="15" thickBot="1" x14ac:dyDescent="0.35">
      <c r="A181" s="425" t="s">
        <v>1434</v>
      </c>
      <c r="B181" s="426" t="s">
        <v>1529</v>
      </c>
      <c r="C181" s="427" t="s">
        <v>1460</v>
      </c>
      <c r="D181" s="411">
        <f>SUM(D178:D180)</f>
        <v>1</v>
      </c>
      <c r="E181" s="424" t="s">
        <v>232</v>
      </c>
    </row>
    <row r="182" spans="1:5" x14ac:dyDescent="0.3">
      <c r="A182" s="1193" t="s">
        <v>1590</v>
      </c>
      <c r="B182" s="1194"/>
      <c r="C182" s="1194"/>
      <c r="D182" s="1194"/>
      <c r="E182" s="1195"/>
    </row>
    <row r="183" spans="1:5" x14ac:dyDescent="0.3">
      <c r="A183" s="76" t="s">
        <v>1582</v>
      </c>
      <c r="B183" s="4" t="s">
        <v>224</v>
      </c>
      <c r="C183" s="399" t="s">
        <v>147</v>
      </c>
      <c r="D183" s="403" t="s">
        <v>330</v>
      </c>
      <c r="E183" s="313" t="s">
        <v>331</v>
      </c>
    </row>
    <row r="184" spans="1:5" x14ac:dyDescent="0.3">
      <c r="A184" s="15" t="s">
        <v>692</v>
      </c>
      <c r="B184" s="3" t="s">
        <v>153</v>
      </c>
      <c r="C184" s="3" t="s">
        <v>390</v>
      </c>
      <c r="D184" s="415">
        <f>$D$178</f>
        <v>0.21197007481296759</v>
      </c>
      <c r="E184" s="314" t="s">
        <v>385</v>
      </c>
    </row>
    <row r="185" spans="1:5" x14ac:dyDescent="0.3">
      <c r="A185" s="15" t="s">
        <v>693</v>
      </c>
      <c r="B185" s="3" t="s">
        <v>153</v>
      </c>
      <c r="C185" s="417" t="s">
        <v>376</v>
      </c>
      <c r="D185" s="415">
        <f>$D$179</f>
        <v>0.3427146419665123</v>
      </c>
      <c r="E185" s="314" t="s">
        <v>385</v>
      </c>
    </row>
    <row r="186" spans="1:5" x14ac:dyDescent="0.3">
      <c r="A186" s="15" t="s">
        <v>694</v>
      </c>
      <c r="B186" s="3" t="s">
        <v>153</v>
      </c>
      <c r="C186" s="3" t="s">
        <v>391</v>
      </c>
      <c r="D186" s="415">
        <f>$D$180</f>
        <v>0.44531528322052016</v>
      </c>
      <c r="E186" s="314" t="s">
        <v>385</v>
      </c>
    </row>
    <row r="187" spans="1:5" x14ac:dyDescent="0.3">
      <c r="A187" s="1128" t="s">
        <v>1587</v>
      </c>
      <c r="B187" s="1129"/>
      <c r="C187" s="1129"/>
      <c r="D187" s="1129"/>
      <c r="E187" s="1130"/>
    </row>
    <row r="188" spans="1:5" ht="15" thickBot="1" x14ac:dyDescent="0.35">
      <c r="A188" s="418" t="s">
        <v>1651</v>
      </c>
      <c r="B188" s="419" t="s">
        <v>153</v>
      </c>
      <c r="C188" s="12"/>
      <c r="D188" s="411">
        <f>SUM($D$184:$D$186)</f>
        <v>1</v>
      </c>
      <c r="E188" s="148"/>
    </row>
    <row r="189" spans="1:5" x14ac:dyDescent="0.3">
      <c r="A189" s="1140"/>
      <c r="B189" s="1141"/>
      <c r="C189" s="1141"/>
      <c r="D189" s="1141"/>
      <c r="E189" s="1142"/>
    </row>
    <row r="190" spans="1:5" ht="15" thickBot="1" x14ac:dyDescent="0.35">
      <c r="A190" s="1143"/>
      <c r="B190" s="1144"/>
      <c r="C190" s="1144"/>
      <c r="D190" s="1144"/>
      <c r="E190" s="1145"/>
    </row>
    <row r="191" spans="1:5" ht="30" customHeight="1" thickBot="1" x14ac:dyDescent="0.35">
      <c r="A191" s="662" t="s">
        <v>1533</v>
      </c>
      <c r="B191" s="657" t="s">
        <v>142</v>
      </c>
      <c r="C191" s="654" t="s">
        <v>256</v>
      </c>
      <c r="D191" s="655" t="s">
        <v>236</v>
      </c>
      <c r="E191" s="656" t="s">
        <v>212</v>
      </c>
    </row>
    <row r="192" spans="1:5" x14ac:dyDescent="0.3">
      <c r="A192" s="274" t="s">
        <v>2292</v>
      </c>
      <c r="B192" s="226" t="s">
        <v>1528</v>
      </c>
      <c r="C192" s="226"/>
      <c r="D192" s="226">
        <v>2.3800000000000002E-2</v>
      </c>
      <c r="E192" s="393" t="s">
        <v>232</v>
      </c>
    </row>
    <row r="193" spans="1:5" x14ac:dyDescent="0.3">
      <c r="A193" s="76" t="s">
        <v>2293</v>
      </c>
      <c r="B193" s="4" t="s">
        <v>1528</v>
      </c>
      <c r="C193" s="4"/>
      <c r="D193" s="4">
        <f>1-D192</f>
        <v>0.97619999999999996</v>
      </c>
      <c r="E193" s="313" t="s">
        <v>232</v>
      </c>
    </row>
    <row r="194" spans="1:5" ht="15" thickBot="1" x14ac:dyDescent="0.35">
      <c r="A194" s="404" t="s">
        <v>1434</v>
      </c>
      <c r="B194" s="427" t="s">
        <v>1528</v>
      </c>
      <c r="C194" s="427" t="s">
        <v>1460</v>
      </c>
      <c r="D194" s="411">
        <f>SUM($D$170:$D$172)</f>
        <v>1</v>
      </c>
      <c r="E194" s="424" t="s">
        <v>232</v>
      </c>
    </row>
    <row r="195" spans="1:5" x14ac:dyDescent="0.3">
      <c r="A195" s="274" t="s">
        <v>2294</v>
      </c>
      <c r="B195" s="226" t="s">
        <v>129</v>
      </c>
      <c r="C195" s="226"/>
      <c r="D195" s="345">
        <f>'25. CHEM. &amp; MAT.'!$F$80</f>
        <v>1015</v>
      </c>
      <c r="E195" s="393" t="s">
        <v>1581</v>
      </c>
    </row>
    <row r="196" spans="1:5" x14ac:dyDescent="0.3">
      <c r="A196" s="76" t="s">
        <v>2295</v>
      </c>
      <c r="B196" s="4" t="s">
        <v>129</v>
      </c>
      <c r="C196" s="4"/>
      <c r="D196" s="264">
        <f>'25. CHEM. &amp; MAT.'!$F$62</f>
        <v>1000</v>
      </c>
      <c r="E196" s="313" t="s">
        <v>1581</v>
      </c>
    </row>
    <row r="197" spans="1:5" ht="15" thickBot="1" x14ac:dyDescent="0.35">
      <c r="A197" s="77" t="s">
        <v>2296</v>
      </c>
      <c r="B197" s="12" t="s">
        <v>129</v>
      </c>
      <c r="C197" s="12"/>
      <c r="D197" s="12">
        <f>($D$192*$D$195)+($D$193*$D$196)</f>
        <v>1000.357</v>
      </c>
      <c r="E197" s="397" t="s">
        <v>232</v>
      </c>
    </row>
    <row r="198" spans="1:5" x14ac:dyDescent="0.3">
      <c r="A198" s="274" t="s">
        <v>2297</v>
      </c>
      <c r="B198" s="19" t="s">
        <v>1529</v>
      </c>
      <c r="C198" s="226"/>
      <c r="D198" s="406">
        <f>($D$192*$D$195)/$D$197</f>
        <v>2.4148379028686759E-2</v>
      </c>
      <c r="E198" s="398" t="s">
        <v>232</v>
      </c>
    </row>
    <row r="199" spans="1:5" x14ac:dyDescent="0.3">
      <c r="A199" s="76" t="s">
        <v>2298</v>
      </c>
      <c r="B199" s="18" t="s">
        <v>1529</v>
      </c>
      <c r="C199" s="4"/>
      <c r="D199" s="270">
        <f>($D$193*$D$196)/$D$197</f>
        <v>0.97585162097131317</v>
      </c>
      <c r="E199" s="398" t="s">
        <v>232</v>
      </c>
    </row>
    <row r="200" spans="1:5" ht="15" thickBot="1" x14ac:dyDescent="0.35">
      <c r="A200" s="404" t="s">
        <v>1434</v>
      </c>
      <c r="B200" s="426" t="s">
        <v>1529</v>
      </c>
      <c r="C200" s="427" t="s">
        <v>1460</v>
      </c>
      <c r="D200" s="746">
        <f>SUM(D198:D199)</f>
        <v>0.99999999999999989</v>
      </c>
      <c r="E200" s="424" t="s">
        <v>232</v>
      </c>
    </row>
    <row r="201" spans="1:5" x14ac:dyDescent="0.3">
      <c r="A201" s="1193" t="s">
        <v>1590</v>
      </c>
      <c r="B201" s="1194"/>
      <c r="C201" s="1194"/>
      <c r="D201" s="1194"/>
      <c r="E201" s="1195"/>
    </row>
    <row r="202" spans="1:5" x14ac:dyDescent="0.3">
      <c r="A202" s="76" t="s">
        <v>1582</v>
      </c>
      <c r="B202" s="4" t="s">
        <v>224</v>
      </c>
      <c r="C202" s="399" t="s">
        <v>147</v>
      </c>
      <c r="D202" s="403" t="s">
        <v>330</v>
      </c>
      <c r="E202" s="313" t="s">
        <v>331</v>
      </c>
    </row>
    <row r="203" spans="1:5" x14ac:dyDescent="0.3">
      <c r="A203" s="293" t="s">
        <v>447</v>
      </c>
      <c r="B203" s="3" t="s">
        <v>153</v>
      </c>
      <c r="C203" s="38" t="s">
        <v>386</v>
      </c>
      <c r="D203" s="747">
        <f>$D$198</f>
        <v>2.4148379028686759E-2</v>
      </c>
      <c r="E203" s="314" t="s">
        <v>385</v>
      </c>
    </row>
    <row r="204" spans="1:5" x14ac:dyDescent="0.3">
      <c r="A204" s="285" t="s">
        <v>158</v>
      </c>
      <c r="B204" s="3" t="s">
        <v>153</v>
      </c>
      <c r="C204" s="58"/>
      <c r="D204" s="415">
        <f>$D$199</f>
        <v>0.97585162097131317</v>
      </c>
      <c r="E204" s="314" t="s">
        <v>385</v>
      </c>
    </row>
    <row r="205" spans="1:5" x14ac:dyDescent="0.3">
      <c r="A205" s="1128" t="s">
        <v>1587</v>
      </c>
      <c r="B205" s="1129"/>
      <c r="C205" s="1129"/>
      <c r="D205" s="1129"/>
      <c r="E205" s="1130"/>
    </row>
    <row r="206" spans="1:5" ht="15" thickBot="1" x14ac:dyDescent="0.35">
      <c r="A206" s="418" t="s">
        <v>2299</v>
      </c>
      <c r="B206" s="419" t="s">
        <v>153</v>
      </c>
      <c r="C206" s="12"/>
      <c r="D206" s="411">
        <f>SUM($D$184:$D$186)</f>
        <v>1</v>
      </c>
      <c r="E206" s="148"/>
    </row>
    <row r="207" spans="1:5" x14ac:dyDescent="0.3">
      <c r="A207" s="1140"/>
      <c r="B207" s="1141"/>
      <c r="C207" s="1141"/>
      <c r="D207" s="1141"/>
      <c r="E207" s="1142"/>
    </row>
    <row r="208" spans="1:5" ht="15" thickBot="1" x14ac:dyDescent="0.35">
      <c r="A208" s="1143"/>
      <c r="B208" s="1144"/>
      <c r="C208" s="1144"/>
      <c r="D208" s="1144"/>
      <c r="E208" s="1145"/>
    </row>
    <row r="209" spans="1:7" ht="30" customHeight="1" thickBot="1" x14ac:dyDescent="0.35">
      <c r="A209" s="662" t="s">
        <v>1535</v>
      </c>
      <c r="B209" s="749" t="s">
        <v>142</v>
      </c>
      <c r="C209" s="750" t="s">
        <v>256</v>
      </c>
      <c r="D209" s="751" t="s">
        <v>236</v>
      </c>
      <c r="E209" s="752" t="s">
        <v>212</v>
      </c>
    </row>
    <row r="210" spans="1:7" x14ac:dyDescent="0.3">
      <c r="A210" s="274" t="s">
        <v>1537</v>
      </c>
      <c r="B210" s="226" t="s">
        <v>1528</v>
      </c>
      <c r="C210" s="226"/>
      <c r="D210" s="422">
        <f>($D$220*$D$219)/$D$216</f>
        <v>1.683622641509434E-2</v>
      </c>
      <c r="E210" s="430" t="s">
        <v>1536</v>
      </c>
    </row>
    <row r="211" spans="1:7" x14ac:dyDescent="0.3">
      <c r="A211" s="76" t="s">
        <v>1469</v>
      </c>
      <c r="B211" s="4" t="s">
        <v>1528</v>
      </c>
      <c r="C211" s="4"/>
      <c r="D211" s="270">
        <f>($D$221*$D$219)/$D$217</f>
        <v>2.5175172413793103E-2</v>
      </c>
      <c r="E211" s="313" t="s">
        <v>1536</v>
      </c>
    </row>
    <row r="212" spans="1:7" x14ac:dyDescent="0.3">
      <c r="A212" s="76" t="s">
        <v>1584</v>
      </c>
      <c r="B212" s="4" t="s">
        <v>1528</v>
      </c>
      <c r="C212" s="243"/>
      <c r="D212" s="270">
        <f>0.3*$D$211</f>
        <v>7.5525517241379304E-3</v>
      </c>
      <c r="E212" s="313" t="s">
        <v>232</v>
      </c>
    </row>
    <row r="213" spans="1:7" x14ac:dyDescent="0.3">
      <c r="A213" s="76" t="s">
        <v>1456</v>
      </c>
      <c r="B213" s="4" t="s">
        <v>1528</v>
      </c>
      <c r="C213" s="243"/>
      <c r="D213" s="270">
        <f>$D$211-$D$212</f>
        <v>1.7622620689655172E-2</v>
      </c>
      <c r="E213" s="313" t="s">
        <v>232</v>
      </c>
    </row>
    <row r="214" spans="1:7" x14ac:dyDescent="0.3">
      <c r="A214" s="76" t="s">
        <v>1456</v>
      </c>
      <c r="B214" s="4" t="s">
        <v>1528</v>
      </c>
      <c r="C214" s="243"/>
      <c r="D214" s="270">
        <f>($D$224*$D$219)/$D$218</f>
        <v>0.93288000000000004</v>
      </c>
      <c r="E214" s="313" t="s">
        <v>1536</v>
      </c>
    </row>
    <row r="215" spans="1:7" ht="15" thickBot="1" x14ac:dyDescent="0.35">
      <c r="A215" s="425" t="s">
        <v>1434</v>
      </c>
      <c r="B215" s="427" t="s">
        <v>1528</v>
      </c>
      <c r="C215" s="427" t="s">
        <v>1460</v>
      </c>
      <c r="D215" s="411">
        <f>SUM(D210:D214)</f>
        <v>1.0000665712426806</v>
      </c>
      <c r="E215" s="424" t="s">
        <v>232</v>
      </c>
      <c r="G215" s="408"/>
    </row>
    <row r="216" spans="1:7" x14ac:dyDescent="0.3">
      <c r="A216" s="274" t="s">
        <v>1538</v>
      </c>
      <c r="B216" s="226" t="s">
        <v>129</v>
      </c>
      <c r="C216" s="226"/>
      <c r="D216" s="345">
        <f>'25. CHEM. &amp; MAT.'!$F$92</f>
        <v>2650</v>
      </c>
      <c r="E216" s="393" t="s">
        <v>1581</v>
      </c>
    </row>
    <row r="217" spans="1:7" x14ac:dyDescent="0.3">
      <c r="A217" s="76" t="s">
        <v>1471</v>
      </c>
      <c r="B217" s="4" t="s">
        <v>129</v>
      </c>
      <c r="C217" s="4"/>
      <c r="D217" s="264">
        <f>'25. CHEM. &amp; MAT.'!$F$63</f>
        <v>1450</v>
      </c>
      <c r="E217" s="313" t="s">
        <v>1581</v>
      </c>
    </row>
    <row r="218" spans="1:7" x14ac:dyDescent="0.3">
      <c r="A218" s="76" t="s">
        <v>1432</v>
      </c>
      <c r="B218" s="243" t="s">
        <v>129</v>
      </c>
      <c r="C218" s="4"/>
      <c r="D218" s="264">
        <f>'25. CHEM. &amp; MAT.'!$F$62</f>
        <v>1000</v>
      </c>
      <c r="E218" s="313" t="s">
        <v>1581</v>
      </c>
    </row>
    <row r="219" spans="1:7" ht="15" thickBot="1" x14ac:dyDescent="0.35">
      <c r="A219" s="77" t="s">
        <v>1539</v>
      </c>
      <c r="B219" s="12" t="s">
        <v>129</v>
      </c>
      <c r="C219" s="12"/>
      <c r="D219" s="346">
        <v>1014</v>
      </c>
      <c r="E219" s="397" t="s">
        <v>1536</v>
      </c>
    </row>
    <row r="220" spans="1:7" x14ac:dyDescent="0.3">
      <c r="A220" s="274" t="s">
        <v>1540</v>
      </c>
      <c r="B220" s="19" t="s">
        <v>1529</v>
      </c>
      <c r="C220" s="226"/>
      <c r="D220" s="406">
        <f>0.044</f>
        <v>4.3999999999999997E-2</v>
      </c>
      <c r="E220" s="393" t="s">
        <v>1536</v>
      </c>
    </row>
    <row r="221" spans="1:7" x14ac:dyDescent="0.3">
      <c r="A221" s="76" t="s">
        <v>1470</v>
      </c>
      <c r="B221" s="18" t="s">
        <v>1529</v>
      </c>
      <c r="C221" s="4"/>
      <c r="D221" s="270">
        <f>0.036</f>
        <v>3.5999999999999997E-2</v>
      </c>
      <c r="E221" s="313" t="s">
        <v>1536</v>
      </c>
    </row>
    <row r="222" spans="1:7" x14ac:dyDescent="0.3">
      <c r="A222" s="76" t="s">
        <v>1586</v>
      </c>
      <c r="B222" s="18" t="s">
        <v>1529</v>
      </c>
      <c r="C222" s="4"/>
      <c r="D222" s="270">
        <f>(D212*D217)/D219</f>
        <v>1.0799999999999999E-2</v>
      </c>
      <c r="E222" s="313" t="s">
        <v>232</v>
      </c>
    </row>
    <row r="223" spans="1:7" x14ac:dyDescent="0.3">
      <c r="A223" s="76" t="s">
        <v>1459</v>
      </c>
      <c r="B223" s="18" t="s">
        <v>1529</v>
      </c>
      <c r="C223" s="4"/>
      <c r="D223" s="270">
        <f>(D213*D217)/D219</f>
        <v>2.5199999999999997E-2</v>
      </c>
      <c r="E223" s="313" t="s">
        <v>232</v>
      </c>
    </row>
    <row r="224" spans="1:7" x14ac:dyDescent="0.3">
      <c r="A224" s="76" t="s">
        <v>1459</v>
      </c>
      <c r="B224" s="18" t="s">
        <v>1529</v>
      </c>
      <c r="C224" s="4"/>
      <c r="D224" s="270">
        <v>0.92</v>
      </c>
      <c r="E224" s="313" t="s">
        <v>1536</v>
      </c>
    </row>
    <row r="225" spans="1:5" ht="15" thickBot="1" x14ac:dyDescent="0.35">
      <c r="A225" s="425" t="s">
        <v>1434</v>
      </c>
      <c r="B225" s="426" t="s">
        <v>1529</v>
      </c>
      <c r="C225" s="427" t="s">
        <v>1460</v>
      </c>
      <c r="D225" s="411">
        <f>SUM(D220:D221,D224)</f>
        <v>1</v>
      </c>
      <c r="E225" s="424" t="s">
        <v>232</v>
      </c>
    </row>
    <row r="226" spans="1:5" x14ac:dyDescent="0.3">
      <c r="A226" s="1193" t="s">
        <v>1590</v>
      </c>
      <c r="B226" s="1194"/>
      <c r="C226" s="1194"/>
      <c r="D226" s="1194"/>
      <c r="E226" s="1195"/>
    </row>
    <row r="227" spans="1:5" x14ac:dyDescent="0.3">
      <c r="A227" s="76" t="s">
        <v>1582</v>
      </c>
      <c r="B227" s="4" t="s">
        <v>224</v>
      </c>
      <c r="C227" s="399" t="s">
        <v>147</v>
      </c>
      <c r="D227" s="4" t="s">
        <v>330</v>
      </c>
      <c r="E227" s="313" t="s">
        <v>331</v>
      </c>
    </row>
    <row r="228" spans="1:5" x14ac:dyDescent="0.3">
      <c r="A228" s="15" t="s">
        <v>704</v>
      </c>
      <c r="B228" s="3" t="s">
        <v>153</v>
      </c>
      <c r="C228" s="3" t="s">
        <v>407</v>
      </c>
      <c r="D228" s="415">
        <f>$D$220</f>
        <v>4.3999999999999997E-2</v>
      </c>
      <c r="E228" s="314" t="s">
        <v>385</v>
      </c>
    </row>
    <row r="229" spans="1:5" x14ac:dyDescent="0.3">
      <c r="A229" s="285" t="s">
        <v>430</v>
      </c>
      <c r="B229" s="3" t="s">
        <v>153</v>
      </c>
      <c r="C229" s="417" t="s">
        <v>161</v>
      </c>
      <c r="D229" s="415">
        <f>$D$222</f>
        <v>1.0799999999999999E-2</v>
      </c>
      <c r="E229" s="314" t="s">
        <v>385</v>
      </c>
    </row>
    <row r="230" spans="1:5" x14ac:dyDescent="0.3">
      <c r="A230" s="285" t="s">
        <v>158</v>
      </c>
      <c r="B230" s="3" t="s">
        <v>153</v>
      </c>
      <c r="C230" s="3" t="s">
        <v>159</v>
      </c>
      <c r="D230" s="415">
        <f>SUM($D$223:$D$224)</f>
        <v>0.94520000000000004</v>
      </c>
      <c r="E230" s="314" t="s">
        <v>385</v>
      </c>
    </row>
    <row r="231" spans="1:5" x14ac:dyDescent="0.3">
      <c r="A231" s="1128" t="s">
        <v>1587</v>
      </c>
      <c r="B231" s="1129"/>
      <c r="C231" s="1129"/>
      <c r="D231" s="1129"/>
      <c r="E231" s="1130"/>
    </row>
    <row r="232" spans="1:5" ht="15" thickBot="1" x14ac:dyDescent="0.35">
      <c r="A232" s="418" t="s">
        <v>1681</v>
      </c>
      <c r="B232" s="419" t="s">
        <v>153</v>
      </c>
      <c r="C232" s="12"/>
      <c r="D232" s="411">
        <f>SUM(D228:D230)</f>
        <v>1</v>
      </c>
      <c r="E232" s="148"/>
    </row>
    <row r="233" spans="1:5" x14ac:dyDescent="0.3">
      <c r="A233" s="1140"/>
      <c r="B233" s="1141"/>
      <c r="C233" s="1141"/>
      <c r="D233" s="1141"/>
      <c r="E233" s="1142"/>
    </row>
    <row r="234" spans="1:5" ht="15" thickBot="1" x14ac:dyDescent="0.35">
      <c r="A234" s="1143"/>
      <c r="B234" s="1144"/>
      <c r="C234" s="1144"/>
      <c r="D234" s="1144"/>
      <c r="E234" s="1145"/>
    </row>
    <row r="235" spans="1:5" ht="30" customHeight="1" thickBot="1" x14ac:dyDescent="0.35">
      <c r="A235" s="662" t="s">
        <v>1706</v>
      </c>
      <c r="B235" s="749" t="s">
        <v>142</v>
      </c>
      <c r="C235" s="750" t="s">
        <v>256</v>
      </c>
      <c r="D235" s="751" t="s">
        <v>236</v>
      </c>
      <c r="E235" s="752" t="s">
        <v>212</v>
      </c>
    </row>
    <row r="236" spans="1:5" x14ac:dyDescent="0.3">
      <c r="A236" s="438" t="s">
        <v>1513</v>
      </c>
      <c r="B236" s="226" t="s">
        <v>1528</v>
      </c>
      <c r="C236" s="79"/>
      <c r="D236" s="439">
        <f>2/22</f>
        <v>9.0909090909090912E-2</v>
      </c>
      <c r="E236" s="24" t="s">
        <v>232</v>
      </c>
    </row>
    <row r="237" spans="1:5" x14ac:dyDescent="0.3">
      <c r="A237" s="279" t="s">
        <v>1693</v>
      </c>
      <c r="B237" s="4" t="s">
        <v>1528</v>
      </c>
      <c r="C237" s="432"/>
      <c r="D237" s="429">
        <f>0.5*D236</f>
        <v>4.5454545454545456E-2</v>
      </c>
      <c r="E237" s="33" t="s">
        <v>232</v>
      </c>
    </row>
    <row r="238" spans="1:5" x14ac:dyDescent="0.3">
      <c r="A238" s="279" t="s">
        <v>1456</v>
      </c>
      <c r="B238" s="4" t="s">
        <v>1528</v>
      </c>
      <c r="C238" s="432"/>
      <c r="D238" s="429">
        <f>D236-D237</f>
        <v>4.5454545454545456E-2</v>
      </c>
      <c r="E238" s="33" t="s">
        <v>232</v>
      </c>
    </row>
    <row r="239" spans="1:5" x14ac:dyDescent="0.3">
      <c r="A239" s="315" t="s">
        <v>1700</v>
      </c>
      <c r="B239" s="4" t="s">
        <v>1528</v>
      </c>
      <c r="C239" s="78"/>
      <c r="D239" s="161">
        <f>15/22</f>
        <v>0.68181818181818177</v>
      </c>
      <c r="E239" s="33" t="s">
        <v>232</v>
      </c>
    </row>
    <row r="240" spans="1:5" x14ac:dyDescent="0.3">
      <c r="A240" s="315" t="s">
        <v>1691</v>
      </c>
      <c r="B240" s="4" t="s">
        <v>1528</v>
      </c>
      <c r="C240" s="78"/>
      <c r="D240" s="161">
        <f>0.7*D239</f>
        <v>0.47727272727272718</v>
      </c>
      <c r="E240" s="33" t="s">
        <v>232</v>
      </c>
    </row>
    <row r="241" spans="1:5" x14ac:dyDescent="0.3">
      <c r="A241" s="315" t="s">
        <v>1456</v>
      </c>
      <c r="B241" s="4" t="s">
        <v>1528</v>
      </c>
      <c r="C241" s="78"/>
      <c r="D241" s="161">
        <f>D239-D240</f>
        <v>0.20454545454545459</v>
      </c>
      <c r="E241" s="33" t="s">
        <v>232</v>
      </c>
    </row>
    <row r="242" spans="1:5" x14ac:dyDescent="0.3">
      <c r="A242" s="315" t="s">
        <v>1694</v>
      </c>
      <c r="B242" s="4" t="s">
        <v>1528</v>
      </c>
      <c r="C242" s="78"/>
      <c r="D242" s="161">
        <f>5/22</f>
        <v>0.22727272727272727</v>
      </c>
      <c r="E242" s="33" t="s">
        <v>232</v>
      </c>
    </row>
    <row r="243" spans="1:5" x14ac:dyDescent="0.3">
      <c r="A243" s="440" t="s">
        <v>1692</v>
      </c>
      <c r="B243" s="4" t="s">
        <v>1528</v>
      </c>
      <c r="C243" s="434"/>
      <c r="D243" s="435">
        <f>0.98*D242</f>
        <v>0.22272727272727272</v>
      </c>
      <c r="E243" s="33" t="s">
        <v>232</v>
      </c>
    </row>
    <row r="244" spans="1:5" x14ac:dyDescent="0.3">
      <c r="A244" s="315" t="s">
        <v>1456</v>
      </c>
      <c r="B244" s="4" t="s">
        <v>1528</v>
      </c>
      <c r="C244" s="434"/>
      <c r="D244" s="435">
        <f>D242-D243</f>
        <v>4.545454545454547E-3</v>
      </c>
      <c r="E244" s="33" t="s">
        <v>232</v>
      </c>
    </row>
    <row r="245" spans="1:5" ht="15" thickBot="1" x14ac:dyDescent="0.35">
      <c r="A245" s="425" t="s">
        <v>1434</v>
      </c>
      <c r="B245" s="427" t="s">
        <v>1528</v>
      </c>
      <c r="C245" s="427" t="s">
        <v>1460</v>
      </c>
      <c r="D245" s="433">
        <f>SUM(D237:D238,D240:D241,D243:D244)</f>
        <v>0.99999999999999989</v>
      </c>
      <c r="E245" s="424" t="s">
        <v>232</v>
      </c>
    </row>
    <row r="246" spans="1:5" x14ac:dyDescent="0.3">
      <c r="A246" s="274" t="s">
        <v>1514</v>
      </c>
      <c r="B246" s="19" t="s">
        <v>129</v>
      </c>
      <c r="C246" s="19"/>
      <c r="D246" s="390">
        <f>'25. CHEM. &amp; MAT.'!$F$46</f>
        <v>1150</v>
      </c>
      <c r="E246" s="393" t="s">
        <v>1581</v>
      </c>
    </row>
    <row r="247" spans="1:5" x14ac:dyDescent="0.3">
      <c r="A247" s="315" t="s">
        <v>1702</v>
      </c>
      <c r="B247" s="30" t="s">
        <v>129</v>
      </c>
      <c r="C247" s="78"/>
      <c r="D247" s="134">
        <f>'25. CHEM. &amp; MAT.'!$F$51</f>
        <v>1420</v>
      </c>
      <c r="E247" s="22" t="s">
        <v>1581</v>
      </c>
    </row>
    <row r="248" spans="1:5" x14ac:dyDescent="0.3">
      <c r="A248" s="440" t="s">
        <v>1695</v>
      </c>
      <c r="B248" s="260" t="s">
        <v>129</v>
      </c>
      <c r="C248" s="434"/>
      <c r="D248" s="394">
        <f>'25. CHEM. &amp; MAT.'!$F$48</f>
        <v>1060</v>
      </c>
      <c r="E248" s="34" t="s">
        <v>1581</v>
      </c>
    </row>
    <row r="249" spans="1:5" ht="15" thickBot="1" x14ac:dyDescent="0.35">
      <c r="A249" s="436" t="s">
        <v>1703</v>
      </c>
      <c r="B249" s="31" t="s">
        <v>1704</v>
      </c>
      <c r="C249" s="437"/>
      <c r="D249" s="364">
        <f>($D$236*$D$246)+($D$239*$D$247)+($D$242*$D$248)</f>
        <v>1313.6363636363637</v>
      </c>
      <c r="E249" s="28" t="s">
        <v>232</v>
      </c>
    </row>
    <row r="250" spans="1:5" x14ac:dyDescent="0.3">
      <c r="A250" s="279" t="s">
        <v>1516</v>
      </c>
      <c r="B250" s="391" t="s">
        <v>1643</v>
      </c>
      <c r="C250" s="432"/>
      <c r="D250" s="429">
        <f>(D236*$D$246)/$D$249</f>
        <v>7.9584775086505188E-2</v>
      </c>
      <c r="E250" s="24" t="s">
        <v>232</v>
      </c>
    </row>
    <row r="251" spans="1:5" x14ac:dyDescent="0.3">
      <c r="A251" s="279" t="s">
        <v>1696</v>
      </c>
      <c r="B251" s="4" t="s">
        <v>1643</v>
      </c>
      <c r="C251" s="432"/>
      <c r="D251" s="429">
        <f t="shared" ref="D251:D252" si="1">(D237*$D$246)/$D$249</f>
        <v>3.9792387543252594E-2</v>
      </c>
      <c r="E251" s="33" t="s">
        <v>232</v>
      </c>
    </row>
    <row r="252" spans="1:5" x14ac:dyDescent="0.3">
      <c r="A252" s="279" t="s">
        <v>1459</v>
      </c>
      <c r="B252" s="4" t="s">
        <v>1643</v>
      </c>
      <c r="C252" s="432"/>
      <c r="D252" s="429">
        <f t="shared" si="1"/>
        <v>3.9792387543252594E-2</v>
      </c>
      <c r="E252" s="33" t="s">
        <v>232</v>
      </c>
    </row>
    <row r="253" spans="1:5" x14ac:dyDescent="0.3">
      <c r="A253" s="315" t="s">
        <v>1701</v>
      </c>
      <c r="B253" s="4" t="s">
        <v>1643</v>
      </c>
      <c r="C253" s="78"/>
      <c r="D253" s="161">
        <f>(D239*$D$247)/$D$249</f>
        <v>0.73702422145328705</v>
      </c>
      <c r="E253" s="33" t="s">
        <v>232</v>
      </c>
    </row>
    <row r="254" spans="1:5" x14ac:dyDescent="0.3">
      <c r="A254" s="315" t="s">
        <v>1699</v>
      </c>
      <c r="B254" s="4" t="s">
        <v>1643</v>
      </c>
      <c r="C254" s="78"/>
      <c r="D254" s="161">
        <f t="shared" ref="D254:D255" si="2">(D240*$D$247)/$D$249</f>
        <v>0.51591695501730095</v>
      </c>
      <c r="E254" s="33" t="s">
        <v>232</v>
      </c>
    </row>
    <row r="255" spans="1:5" x14ac:dyDescent="0.3">
      <c r="A255" s="279" t="s">
        <v>1459</v>
      </c>
      <c r="B255" s="4" t="s">
        <v>1643</v>
      </c>
      <c r="C255" s="78"/>
      <c r="D255" s="161">
        <f t="shared" si="2"/>
        <v>0.22110726643598616</v>
      </c>
      <c r="E255" s="33" t="s">
        <v>232</v>
      </c>
    </row>
    <row r="256" spans="1:5" x14ac:dyDescent="0.3">
      <c r="A256" s="315" t="s">
        <v>1698</v>
      </c>
      <c r="B256" s="4" t="s">
        <v>1643</v>
      </c>
      <c r="C256" s="78"/>
      <c r="D256" s="161">
        <f>(D242*$D$248)/$D$249</f>
        <v>0.18339100346020759</v>
      </c>
      <c r="E256" s="33" t="s">
        <v>232</v>
      </c>
    </row>
    <row r="257" spans="1:5" x14ac:dyDescent="0.3">
      <c r="A257" s="315" t="s">
        <v>1697</v>
      </c>
      <c r="B257" s="4" t="s">
        <v>1643</v>
      </c>
      <c r="C257" s="434"/>
      <c r="D257" s="161">
        <f t="shared" ref="D257:D258" si="3">(D243*$D$248)/$D$249</f>
        <v>0.17972318339100346</v>
      </c>
      <c r="E257" s="33" t="s">
        <v>232</v>
      </c>
    </row>
    <row r="258" spans="1:5" x14ac:dyDescent="0.3">
      <c r="A258" s="315" t="s">
        <v>1459</v>
      </c>
      <c r="B258" s="4" t="s">
        <v>1643</v>
      </c>
      <c r="C258" s="434"/>
      <c r="D258" s="161">
        <f t="shared" si="3"/>
        <v>3.6678200692041533E-3</v>
      </c>
      <c r="E258" s="33" t="s">
        <v>232</v>
      </c>
    </row>
    <row r="259" spans="1:5" ht="15" thickBot="1" x14ac:dyDescent="0.35">
      <c r="A259" s="425" t="s">
        <v>1434</v>
      </c>
      <c r="B259" s="427" t="s">
        <v>1643</v>
      </c>
      <c r="C259" s="427" t="s">
        <v>1460</v>
      </c>
      <c r="D259" s="441">
        <f>SUM($D$251:$D$252,$D$254:$D$255,$D$257:$D$258)</f>
        <v>0.99999999999999989</v>
      </c>
      <c r="E259" s="442" t="s">
        <v>232</v>
      </c>
    </row>
    <row r="260" spans="1:5" x14ac:dyDescent="0.3">
      <c r="A260" s="1193" t="s">
        <v>1590</v>
      </c>
      <c r="B260" s="1194"/>
      <c r="C260" s="1194"/>
      <c r="D260" s="1194"/>
      <c r="E260" s="1195"/>
    </row>
    <row r="261" spans="1:5" x14ac:dyDescent="0.3">
      <c r="A261" s="76" t="s">
        <v>1582</v>
      </c>
      <c r="B261" s="4" t="s">
        <v>224</v>
      </c>
      <c r="C261" s="399" t="s">
        <v>147</v>
      </c>
      <c r="D261" s="4" t="s">
        <v>330</v>
      </c>
      <c r="E261" s="313" t="s">
        <v>331</v>
      </c>
    </row>
    <row r="262" spans="1:5" x14ac:dyDescent="0.3">
      <c r="A262" s="285" t="s">
        <v>695</v>
      </c>
      <c r="B262" s="3" t="s">
        <v>153</v>
      </c>
      <c r="C262" s="417" t="s">
        <v>157</v>
      </c>
      <c r="D262" s="415">
        <f>$D$251</f>
        <v>3.9792387543252594E-2</v>
      </c>
      <c r="E262" s="314" t="s">
        <v>385</v>
      </c>
    </row>
    <row r="263" spans="1:5" x14ac:dyDescent="0.3">
      <c r="A263" s="285" t="s">
        <v>696</v>
      </c>
      <c r="B263" s="3" t="s">
        <v>153</v>
      </c>
      <c r="C263" s="3" t="s">
        <v>160</v>
      </c>
      <c r="D263" s="414">
        <f>$D$254</f>
        <v>0.51591695501730095</v>
      </c>
      <c r="E263" s="443" t="s">
        <v>385</v>
      </c>
    </row>
    <row r="264" spans="1:5" x14ac:dyDescent="0.3">
      <c r="A264" s="285" t="s">
        <v>698</v>
      </c>
      <c r="B264" s="3" t="s">
        <v>153</v>
      </c>
      <c r="C264" s="3" t="s">
        <v>396</v>
      </c>
      <c r="D264" s="415">
        <f>$D$257</f>
        <v>0.17972318339100346</v>
      </c>
      <c r="E264" s="443" t="s">
        <v>385</v>
      </c>
    </row>
    <row r="265" spans="1:5" x14ac:dyDescent="0.3">
      <c r="A265" s="285" t="s">
        <v>158</v>
      </c>
      <c r="B265" s="3" t="s">
        <v>153</v>
      </c>
      <c r="C265" s="3" t="s">
        <v>159</v>
      </c>
      <c r="D265" s="415">
        <f>SUM($D$252,$D$255,$D$258)</f>
        <v>0.26456747404844289</v>
      </c>
      <c r="E265" s="314" t="s">
        <v>385</v>
      </c>
    </row>
    <row r="266" spans="1:5" x14ac:dyDescent="0.3">
      <c r="A266" s="1128" t="s">
        <v>1587</v>
      </c>
      <c r="B266" s="1129"/>
      <c r="C266" s="1129"/>
      <c r="D266" s="1129"/>
      <c r="E266" s="1130"/>
    </row>
    <row r="267" spans="1:5" ht="15" thickBot="1" x14ac:dyDescent="0.35">
      <c r="A267" s="418" t="s">
        <v>1705</v>
      </c>
      <c r="B267" s="419" t="s">
        <v>153</v>
      </c>
      <c r="C267" s="12"/>
      <c r="D267" s="411">
        <f>SUM($D$262:$D$265)</f>
        <v>0.99999999999999978</v>
      </c>
      <c r="E267" s="148"/>
    </row>
    <row r="268" spans="1:5" x14ac:dyDescent="0.3">
      <c r="A268" s="1140"/>
      <c r="B268" s="1141"/>
      <c r="C268" s="1141"/>
      <c r="D268" s="1141"/>
      <c r="E268" s="1142"/>
    </row>
    <row r="269" spans="1:5" ht="15" thickBot="1" x14ac:dyDescent="0.35">
      <c r="A269" s="1143"/>
      <c r="B269" s="1144"/>
      <c r="C269" s="1144"/>
      <c r="D269" s="1144"/>
      <c r="E269" s="1145"/>
    </row>
    <row r="270" spans="1:5" ht="30" customHeight="1" thickBot="1" x14ac:dyDescent="0.35">
      <c r="A270" s="662" t="s">
        <v>1724</v>
      </c>
      <c r="B270" s="749" t="s">
        <v>142</v>
      </c>
      <c r="C270" s="750" t="s">
        <v>256</v>
      </c>
      <c r="D270" s="751" t="s">
        <v>236</v>
      </c>
      <c r="E270" s="752" t="s">
        <v>212</v>
      </c>
    </row>
    <row r="271" spans="1:5" x14ac:dyDescent="0.3">
      <c r="A271" s="438" t="s">
        <v>1513</v>
      </c>
      <c r="B271" s="226" t="s">
        <v>1528</v>
      </c>
      <c r="C271" s="79"/>
      <c r="D271" s="439">
        <f>1/11</f>
        <v>9.0909090909090912E-2</v>
      </c>
      <c r="E271" s="24" t="s">
        <v>232</v>
      </c>
    </row>
    <row r="272" spans="1:5" x14ac:dyDescent="0.3">
      <c r="A272" s="279" t="s">
        <v>1693</v>
      </c>
      <c r="B272" s="4" t="s">
        <v>1528</v>
      </c>
      <c r="C272" s="432"/>
      <c r="D272" s="429">
        <f>0.5*D271</f>
        <v>4.5454545454545456E-2</v>
      </c>
      <c r="E272" s="33" t="s">
        <v>232</v>
      </c>
    </row>
    <row r="273" spans="1:5" x14ac:dyDescent="0.3">
      <c r="A273" s="279" t="s">
        <v>1456</v>
      </c>
      <c r="B273" s="4" t="s">
        <v>1528</v>
      </c>
      <c r="C273" s="432"/>
      <c r="D273" s="429">
        <f>D271-D272</f>
        <v>4.5454545454545456E-2</v>
      </c>
      <c r="E273" s="33" t="s">
        <v>232</v>
      </c>
    </row>
    <row r="274" spans="1:5" x14ac:dyDescent="0.3">
      <c r="A274" s="315" t="s">
        <v>1700</v>
      </c>
      <c r="B274" s="4" t="s">
        <v>1528</v>
      </c>
      <c r="C274" s="78"/>
      <c r="D274" s="161">
        <f>15/22</f>
        <v>0.68181818181818177</v>
      </c>
      <c r="E274" s="33" t="s">
        <v>232</v>
      </c>
    </row>
    <row r="275" spans="1:5" x14ac:dyDescent="0.3">
      <c r="A275" s="315" t="s">
        <v>1691</v>
      </c>
      <c r="B275" s="4" t="s">
        <v>1528</v>
      </c>
      <c r="C275" s="78"/>
      <c r="D275" s="161">
        <f>0.7*D274</f>
        <v>0.47727272727272718</v>
      </c>
      <c r="E275" s="33" t="s">
        <v>232</v>
      </c>
    </row>
    <row r="276" spans="1:5" x14ac:dyDescent="0.3">
      <c r="A276" s="315" t="s">
        <v>1456</v>
      </c>
      <c r="B276" s="4" t="s">
        <v>1528</v>
      </c>
      <c r="C276" s="78"/>
      <c r="D276" s="161">
        <f>D274-D275</f>
        <v>0.20454545454545459</v>
      </c>
      <c r="E276" s="33" t="s">
        <v>232</v>
      </c>
    </row>
    <row r="277" spans="1:5" x14ac:dyDescent="0.3">
      <c r="A277" s="315" t="s">
        <v>1456</v>
      </c>
      <c r="B277" s="4" t="s">
        <v>1528</v>
      </c>
      <c r="C277" s="78"/>
      <c r="D277" s="161">
        <f>5/22</f>
        <v>0.22727272727272727</v>
      </c>
      <c r="E277" s="33" t="s">
        <v>232</v>
      </c>
    </row>
    <row r="278" spans="1:5" ht="15" thickBot="1" x14ac:dyDescent="0.35">
      <c r="A278" s="425" t="s">
        <v>1434</v>
      </c>
      <c r="B278" s="427" t="s">
        <v>1528</v>
      </c>
      <c r="C278" s="427" t="s">
        <v>1460</v>
      </c>
      <c r="D278" s="433">
        <f>SUM($D$272:$D$273,$D$275:$D$276,$D$277)</f>
        <v>1</v>
      </c>
      <c r="E278" s="424" t="s">
        <v>232</v>
      </c>
    </row>
    <row r="279" spans="1:5" x14ac:dyDescent="0.3">
      <c r="A279" s="274" t="s">
        <v>1514</v>
      </c>
      <c r="B279" s="19" t="s">
        <v>129</v>
      </c>
      <c r="C279" s="19"/>
      <c r="D279" s="390">
        <f>'25. CHEM. &amp; MAT.'!$F$46</f>
        <v>1150</v>
      </c>
      <c r="E279" s="393" t="s">
        <v>1581</v>
      </c>
    </row>
    <row r="280" spans="1:5" x14ac:dyDescent="0.3">
      <c r="A280" s="315" t="s">
        <v>1702</v>
      </c>
      <c r="B280" s="30" t="s">
        <v>129</v>
      </c>
      <c r="C280" s="78"/>
      <c r="D280" s="134">
        <f>'25. CHEM. &amp; MAT.'!$F$51</f>
        <v>1420</v>
      </c>
      <c r="E280" s="22" t="s">
        <v>1581</v>
      </c>
    </row>
    <row r="281" spans="1:5" x14ac:dyDescent="0.3">
      <c r="A281" s="440" t="s">
        <v>1432</v>
      </c>
      <c r="B281" s="260" t="s">
        <v>129</v>
      </c>
      <c r="C281" s="434"/>
      <c r="D281" s="264">
        <f>'25. CHEM. &amp; MAT.'!$F$62</f>
        <v>1000</v>
      </c>
      <c r="E281" s="34" t="s">
        <v>1581</v>
      </c>
    </row>
    <row r="282" spans="1:5" ht="15" thickBot="1" x14ac:dyDescent="0.35">
      <c r="A282" s="436" t="s">
        <v>2304</v>
      </c>
      <c r="B282" s="31" t="s">
        <v>129</v>
      </c>
      <c r="C282" s="437"/>
      <c r="D282" s="364">
        <f>($D$271*$D$279)+($D$274*$D$280)+($D$277*$D$281)</f>
        <v>1300</v>
      </c>
      <c r="E282" s="28" t="s">
        <v>232</v>
      </c>
    </row>
    <row r="283" spans="1:5" x14ac:dyDescent="0.3">
      <c r="A283" s="279" t="s">
        <v>1516</v>
      </c>
      <c r="B283" s="391" t="s">
        <v>1643</v>
      </c>
      <c r="C283" s="432"/>
      <c r="D283" s="429">
        <f>(D271*$D$279)/$D$282</f>
        <v>8.0419580419580416E-2</v>
      </c>
      <c r="E283" s="24" t="s">
        <v>232</v>
      </c>
    </row>
    <row r="284" spans="1:5" x14ac:dyDescent="0.3">
      <c r="A284" s="279" t="s">
        <v>1696</v>
      </c>
      <c r="B284" s="4" t="s">
        <v>1643</v>
      </c>
      <c r="C284" s="432"/>
      <c r="D284" s="429">
        <f t="shared" ref="D284:D285" si="4">(D272*$D$279)/$D$282</f>
        <v>4.0209790209790208E-2</v>
      </c>
      <c r="E284" s="33" t="s">
        <v>232</v>
      </c>
    </row>
    <row r="285" spans="1:5" x14ac:dyDescent="0.3">
      <c r="A285" s="279" t="s">
        <v>1459</v>
      </c>
      <c r="B285" s="4" t="s">
        <v>1643</v>
      </c>
      <c r="C285" s="432"/>
      <c r="D285" s="429">
        <f t="shared" si="4"/>
        <v>4.0209790209790208E-2</v>
      </c>
      <c r="E285" s="33" t="s">
        <v>232</v>
      </c>
    </row>
    <row r="286" spans="1:5" x14ac:dyDescent="0.3">
      <c r="A286" s="315" t="s">
        <v>1701</v>
      </c>
      <c r="B286" s="4" t="s">
        <v>1643</v>
      </c>
      <c r="C286" s="78"/>
      <c r="D286" s="161">
        <f>(D274*$D$280)/$D$282</f>
        <v>0.74475524475524468</v>
      </c>
      <c r="E286" s="33" t="s">
        <v>232</v>
      </c>
    </row>
    <row r="287" spans="1:5" x14ac:dyDescent="0.3">
      <c r="A287" s="315" t="s">
        <v>1699</v>
      </c>
      <c r="B287" s="4" t="s">
        <v>1643</v>
      </c>
      <c r="C287" s="78"/>
      <c r="D287" s="161">
        <f t="shared" ref="D287:D288" si="5">(D275*$D$280)/$D$282</f>
        <v>0.52132867132867122</v>
      </c>
      <c r="E287" s="33" t="s">
        <v>232</v>
      </c>
    </row>
    <row r="288" spans="1:5" x14ac:dyDescent="0.3">
      <c r="A288" s="279" t="s">
        <v>1459</v>
      </c>
      <c r="B288" s="4" t="s">
        <v>1643</v>
      </c>
      <c r="C288" s="78"/>
      <c r="D288" s="161">
        <f t="shared" si="5"/>
        <v>0.22342657342657346</v>
      </c>
      <c r="E288" s="33" t="s">
        <v>232</v>
      </c>
    </row>
    <row r="289" spans="1:5" x14ac:dyDescent="0.3">
      <c r="A289" s="315" t="s">
        <v>1459</v>
      </c>
      <c r="B289" s="4" t="s">
        <v>1643</v>
      </c>
      <c r="C289" s="434"/>
      <c r="D289" s="161">
        <f>(D277*$D$281)/$D$282</f>
        <v>0.17482517482517482</v>
      </c>
      <c r="E289" s="33" t="s">
        <v>232</v>
      </c>
    </row>
    <row r="290" spans="1:5" ht="15" thickBot="1" x14ac:dyDescent="0.35">
      <c r="A290" s="425" t="s">
        <v>1434</v>
      </c>
      <c r="B290" s="427" t="s">
        <v>1643</v>
      </c>
      <c r="C290" s="427" t="s">
        <v>1460</v>
      </c>
      <c r="D290" s="441">
        <f>SUM(D284:D285,D287:D288,D289:D289)</f>
        <v>0.99999999999999989</v>
      </c>
      <c r="E290" s="442" t="s">
        <v>232</v>
      </c>
    </row>
    <row r="291" spans="1:5" x14ac:dyDescent="0.3">
      <c r="A291" s="1193" t="s">
        <v>1590</v>
      </c>
      <c r="B291" s="1194"/>
      <c r="C291" s="1194"/>
      <c r="D291" s="1194"/>
      <c r="E291" s="1195"/>
    </row>
    <row r="292" spans="1:5" x14ac:dyDescent="0.3">
      <c r="A292" s="76" t="s">
        <v>1582</v>
      </c>
      <c r="B292" s="4" t="s">
        <v>224</v>
      </c>
      <c r="C292" s="399" t="s">
        <v>147</v>
      </c>
      <c r="D292" s="4" t="s">
        <v>330</v>
      </c>
      <c r="E292" s="313" t="s">
        <v>331</v>
      </c>
    </row>
    <row r="293" spans="1:5" x14ac:dyDescent="0.3">
      <c r="A293" s="285" t="s">
        <v>695</v>
      </c>
      <c r="B293" s="3" t="s">
        <v>153</v>
      </c>
      <c r="C293" s="417" t="s">
        <v>157</v>
      </c>
      <c r="D293" s="415">
        <f>$D$284</f>
        <v>4.0209790209790208E-2</v>
      </c>
      <c r="E293" s="314" t="s">
        <v>385</v>
      </c>
    </row>
    <row r="294" spans="1:5" x14ac:dyDescent="0.3">
      <c r="A294" s="285" t="s">
        <v>696</v>
      </c>
      <c r="B294" s="3" t="s">
        <v>153</v>
      </c>
      <c r="C294" s="3" t="s">
        <v>160</v>
      </c>
      <c r="D294" s="414">
        <f>$D$287</f>
        <v>0.52132867132867122</v>
      </c>
      <c r="E294" s="443" t="s">
        <v>385</v>
      </c>
    </row>
    <row r="295" spans="1:5" x14ac:dyDescent="0.3">
      <c r="A295" s="285" t="s">
        <v>158</v>
      </c>
      <c r="B295" s="3" t="s">
        <v>153</v>
      </c>
      <c r="C295" s="3" t="s">
        <v>159</v>
      </c>
      <c r="D295" s="415">
        <f>SUM($D$285,$D$288,$D$289)</f>
        <v>0.43846153846153846</v>
      </c>
      <c r="E295" s="314" t="s">
        <v>385</v>
      </c>
    </row>
    <row r="296" spans="1:5" x14ac:dyDescent="0.3">
      <c r="A296" s="1128" t="s">
        <v>1587</v>
      </c>
      <c r="B296" s="1129"/>
      <c r="C296" s="1129"/>
      <c r="D296" s="1129"/>
      <c r="E296" s="1130"/>
    </row>
    <row r="297" spans="1:5" ht="15" thickBot="1" x14ac:dyDescent="0.35">
      <c r="A297" s="418" t="s">
        <v>1945</v>
      </c>
      <c r="B297" s="419" t="s">
        <v>153</v>
      </c>
      <c r="C297" s="12"/>
      <c r="D297" s="411">
        <f>SUM($D$293:$D$295)</f>
        <v>0.99999999999999989</v>
      </c>
      <c r="E297" s="148"/>
    </row>
    <row r="298" spans="1:5" x14ac:dyDescent="0.3">
      <c r="A298" s="1140"/>
      <c r="B298" s="1141"/>
      <c r="C298" s="1141"/>
      <c r="D298" s="1141"/>
      <c r="E298" s="1142"/>
    </row>
    <row r="299" spans="1:5" ht="15" thickBot="1" x14ac:dyDescent="0.35">
      <c r="A299" s="1143"/>
      <c r="B299" s="1144"/>
      <c r="C299" s="1144"/>
      <c r="D299" s="1144"/>
      <c r="E299" s="1145"/>
    </row>
    <row r="300" spans="1:5" ht="30" customHeight="1" thickBot="1" x14ac:dyDescent="0.35">
      <c r="A300" s="662" t="s">
        <v>2302</v>
      </c>
      <c r="B300" s="749" t="s">
        <v>142</v>
      </c>
      <c r="C300" s="750" t="s">
        <v>256</v>
      </c>
      <c r="D300" s="751" t="s">
        <v>236</v>
      </c>
      <c r="E300" s="752" t="s">
        <v>212</v>
      </c>
    </row>
    <row r="301" spans="1:5" x14ac:dyDescent="0.3">
      <c r="A301" s="438" t="s">
        <v>1513</v>
      </c>
      <c r="B301" s="226" t="s">
        <v>1528</v>
      </c>
      <c r="C301" s="79"/>
      <c r="D301" s="439">
        <f>1/2</f>
        <v>0.5</v>
      </c>
      <c r="E301" s="24" t="s">
        <v>232</v>
      </c>
    </row>
    <row r="302" spans="1:5" x14ac:dyDescent="0.3">
      <c r="A302" s="279" t="s">
        <v>1693</v>
      </c>
      <c r="B302" s="4" t="s">
        <v>1528</v>
      </c>
      <c r="C302" s="432"/>
      <c r="D302" s="429">
        <f>0.5*D301</f>
        <v>0.25</v>
      </c>
      <c r="E302" s="33" t="s">
        <v>232</v>
      </c>
    </row>
    <row r="303" spans="1:5" x14ac:dyDescent="0.3">
      <c r="A303" s="279" t="s">
        <v>1456</v>
      </c>
      <c r="B303" s="4" t="s">
        <v>1528</v>
      </c>
      <c r="C303" s="432"/>
      <c r="D303" s="429">
        <f>D301-D302</f>
        <v>0.25</v>
      </c>
      <c r="E303" s="33" t="s">
        <v>232</v>
      </c>
    </row>
    <row r="304" spans="1:5" x14ac:dyDescent="0.3">
      <c r="A304" s="315" t="s">
        <v>1700</v>
      </c>
      <c r="B304" s="4" t="s">
        <v>1528</v>
      </c>
      <c r="C304" s="78"/>
      <c r="D304" s="161">
        <f>1/2</f>
        <v>0.5</v>
      </c>
      <c r="E304" s="33" t="s">
        <v>232</v>
      </c>
    </row>
    <row r="305" spans="1:5" x14ac:dyDescent="0.3">
      <c r="A305" s="315" t="s">
        <v>1691</v>
      </c>
      <c r="B305" s="4" t="s">
        <v>1528</v>
      </c>
      <c r="C305" s="78"/>
      <c r="D305" s="161">
        <f>0.7*D304</f>
        <v>0.35</v>
      </c>
      <c r="E305" s="33" t="s">
        <v>232</v>
      </c>
    </row>
    <row r="306" spans="1:5" x14ac:dyDescent="0.3">
      <c r="A306" s="315" t="s">
        <v>1456</v>
      </c>
      <c r="B306" s="4" t="s">
        <v>1528</v>
      </c>
      <c r="C306" s="78"/>
      <c r="D306" s="161">
        <f>$D$304-$D$305</f>
        <v>0.15000000000000002</v>
      </c>
      <c r="E306" s="33" t="s">
        <v>232</v>
      </c>
    </row>
    <row r="307" spans="1:5" ht="15" thickBot="1" x14ac:dyDescent="0.35">
      <c r="A307" s="425" t="s">
        <v>1434</v>
      </c>
      <c r="B307" s="427" t="s">
        <v>1528</v>
      </c>
      <c r="C307" s="427" t="s">
        <v>1460</v>
      </c>
      <c r="D307" s="433">
        <f>SUM($D$302:$D$303,$D$305:$D$306)</f>
        <v>1</v>
      </c>
      <c r="E307" s="424" t="s">
        <v>232</v>
      </c>
    </row>
    <row r="308" spans="1:5" x14ac:dyDescent="0.3">
      <c r="A308" s="274" t="s">
        <v>1514</v>
      </c>
      <c r="B308" s="19" t="s">
        <v>129</v>
      </c>
      <c r="C308" s="19"/>
      <c r="D308" s="390">
        <f>'25. CHEM. &amp; MAT.'!$F$46</f>
        <v>1150</v>
      </c>
      <c r="E308" s="393" t="s">
        <v>1581</v>
      </c>
    </row>
    <row r="309" spans="1:5" x14ac:dyDescent="0.3">
      <c r="A309" s="315" t="s">
        <v>1702</v>
      </c>
      <c r="B309" s="30" t="s">
        <v>129</v>
      </c>
      <c r="C309" s="78"/>
      <c r="D309" s="134">
        <f>'25. CHEM. &amp; MAT.'!$F$51</f>
        <v>1420</v>
      </c>
      <c r="E309" s="22" t="s">
        <v>1581</v>
      </c>
    </row>
    <row r="310" spans="1:5" ht="15" thickBot="1" x14ac:dyDescent="0.35">
      <c r="A310" s="436" t="s">
        <v>2303</v>
      </c>
      <c r="B310" s="31" t="s">
        <v>129</v>
      </c>
      <c r="C310" s="437"/>
      <c r="D310" s="364">
        <f>($D$301*$D$308)+($D$304*$D$309)</f>
        <v>1285</v>
      </c>
      <c r="E310" s="28" t="s">
        <v>232</v>
      </c>
    </row>
    <row r="311" spans="1:5" x14ac:dyDescent="0.3">
      <c r="A311" s="279" t="s">
        <v>1516</v>
      </c>
      <c r="B311" s="391" t="s">
        <v>1643</v>
      </c>
      <c r="C311" s="748"/>
      <c r="D311" s="429">
        <f>(D301*$D$308)/$D$310</f>
        <v>0.44747081712062259</v>
      </c>
      <c r="E311" s="24" t="s">
        <v>232</v>
      </c>
    </row>
    <row r="312" spans="1:5" x14ac:dyDescent="0.3">
      <c r="A312" s="279" t="s">
        <v>1696</v>
      </c>
      <c r="B312" s="4" t="s">
        <v>1643</v>
      </c>
      <c r="C312" s="432"/>
      <c r="D312" s="429">
        <f>(D302*$D$308)/$D$310</f>
        <v>0.22373540856031129</v>
      </c>
      <c r="E312" s="33" t="s">
        <v>232</v>
      </c>
    </row>
    <row r="313" spans="1:5" x14ac:dyDescent="0.3">
      <c r="A313" s="279" t="s">
        <v>1459</v>
      </c>
      <c r="B313" s="4" t="s">
        <v>1643</v>
      </c>
      <c r="C313" s="748"/>
      <c r="D313" s="429">
        <f>(D303*$D$308)/$D$310</f>
        <v>0.22373540856031129</v>
      </c>
      <c r="E313" s="33" t="s">
        <v>232</v>
      </c>
    </row>
    <row r="314" spans="1:5" x14ac:dyDescent="0.3">
      <c r="A314" s="315" t="s">
        <v>1701</v>
      </c>
      <c r="B314" s="4" t="s">
        <v>1643</v>
      </c>
      <c r="C314" s="78"/>
      <c r="D314" s="161">
        <f>(D304*$D$309)/$D$310</f>
        <v>0.55252918287937747</v>
      </c>
      <c r="E314" s="33" t="s">
        <v>232</v>
      </c>
    </row>
    <row r="315" spans="1:5" x14ac:dyDescent="0.3">
      <c r="A315" s="315" t="s">
        <v>1699</v>
      </c>
      <c r="B315" s="4" t="s">
        <v>1643</v>
      </c>
      <c r="C315" s="78"/>
      <c r="D315" s="161">
        <f>(D305*$D$309)/$D$310</f>
        <v>0.38677042801556416</v>
      </c>
      <c r="E315" s="33" t="s">
        <v>232</v>
      </c>
    </row>
    <row r="316" spans="1:5" x14ac:dyDescent="0.3">
      <c r="A316" s="279" t="s">
        <v>1459</v>
      </c>
      <c r="B316" s="4" t="s">
        <v>1643</v>
      </c>
      <c r="C316" s="78"/>
      <c r="D316" s="161">
        <f>(D306*$D$309)/$D$310</f>
        <v>0.16575875486381325</v>
      </c>
      <c r="E316" s="33" t="s">
        <v>232</v>
      </c>
    </row>
    <row r="317" spans="1:5" ht="15" thickBot="1" x14ac:dyDescent="0.35">
      <c r="A317" s="425" t="s">
        <v>1434</v>
      </c>
      <c r="B317" s="427" t="s">
        <v>1643</v>
      </c>
      <c r="C317" s="427" t="s">
        <v>1460</v>
      </c>
      <c r="D317" s="441">
        <f>SUM(D312:D313,D315:D316)</f>
        <v>1</v>
      </c>
      <c r="E317" s="442" t="s">
        <v>232</v>
      </c>
    </row>
    <row r="318" spans="1:5" x14ac:dyDescent="0.3">
      <c r="A318" s="1193" t="s">
        <v>1590</v>
      </c>
      <c r="B318" s="1194"/>
      <c r="C318" s="1194"/>
      <c r="D318" s="1194"/>
      <c r="E318" s="1195"/>
    </row>
    <row r="319" spans="1:5" x14ac:dyDescent="0.3">
      <c r="A319" s="76" t="s">
        <v>1582</v>
      </c>
      <c r="B319" s="4" t="s">
        <v>224</v>
      </c>
      <c r="C319" s="399" t="s">
        <v>147</v>
      </c>
      <c r="D319" s="4" t="s">
        <v>330</v>
      </c>
      <c r="E319" s="313" t="s">
        <v>331</v>
      </c>
    </row>
    <row r="320" spans="1:5" x14ac:dyDescent="0.3">
      <c r="A320" s="285" t="s">
        <v>695</v>
      </c>
      <c r="B320" s="3" t="s">
        <v>153</v>
      </c>
      <c r="C320" s="417" t="s">
        <v>157</v>
      </c>
      <c r="D320" s="414">
        <f>D312</f>
        <v>0.22373540856031129</v>
      </c>
      <c r="E320" s="443" t="s">
        <v>385</v>
      </c>
    </row>
    <row r="321" spans="1:5" x14ac:dyDescent="0.3">
      <c r="A321" s="285" t="s">
        <v>696</v>
      </c>
      <c r="B321" s="3" t="s">
        <v>153</v>
      </c>
      <c r="C321" s="3" t="s">
        <v>160</v>
      </c>
      <c r="D321" s="414">
        <f>D315</f>
        <v>0.38677042801556416</v>
      </c>
      <c r="E321" s="443" t="s">
        <v>385</v>
      </c>
    </row>
    <row r="322" spans="1:5" x14ac:dyDescent="0.3">
      <c r="A322" s="285" t="s">
        <v>158</v>
      </c>
      <c r="B322" s="3" t="s">
        <v>153</v>
      </c>
      <c r="C322" s="3" t="s">
        <v>159</v>
      </c>
      <c r="D322" s="415">
        <f>SUM(D313,D316)</f>
        <v>0.38949416342412457</v>
      </c>
      <c r="E322" s="314" t="s">
        <v>385</v>
      </c>
    </row>
    <row r="323" spans="1:5" x14ac:dyDescent="0.3">
      <c r="A323" s="1128" t="s">
        <v>1587</v>
      </c>
      <c r="B323" s="1129"/>
      <c r="C323" s="1129"/>
      <c r="D323" s="1129"/>
      <c r="E323" s="1130"/>
    </row>
    <row r="324" spans="1:5" ht="15" thickBot="1" x14ac:dyDescent="0.35">
      <c r="A324" s="418" t="s">
        <v>2305</v>
      </c>
      <c r="B324" s="419" t="s">
        <v>153</v>
      </c>
      <c r="C324" s="12"/>
      <c r="D324" s="411">
        <f>SUM(D320:D322)</f>
        <v>1</v>
      </c>
      <c r="E324" s="148"/>
    </row>
    <row r="325" spans="1:5" x14ac:dyDescent="0.3">
      <c r="A325" s="1140"/>
      <c r="B325" s="1141"/>
      <c r="C325" s="1141"/>
      <c r="D325" s="1141"/>
      <c r="E325" s="1142"/>
    </row>
    <row r="326" spans="1:5" ht="15" thickBot="1" x14ac:dyDescent="0.35">
      <c r="A326" s="1143"/>
      <c r="B326" s="1144"/>
      <c r="C326" s="1144"/>
      <c r="D326" s="1144"/>
      <c r="E326" s="1145"/>
    </row>
    <row r="327" spans="1:5" ht="30" customHeight="1" thickBot="1" x14ac:dyDescent="0.35">
      <c r="A327" s="662" t="s">
        <v>2306</v>
      </c>
      <c r="B327" s="749" t="s">
        <v>142</v>
      </c>
      <c r="C327" s="750" t="s">
        <v>256</v>
      </c>
      <c r="D327" s="751" t="s">
        <v>236</v>
      </c>
      <c r="E327" s="752" t="s">
        <v>212</v>
      </c>
    </row>
    <row r="328" spans="1:5" x14ac:dyDescent="0.3">
      <c r="A328" s="438" t="s">
        <v>1513</v>
      </c>
      <c r="B328" s="226" t="s">
        <v>1528</v>
      </c>
      <c r="C328" s="79"/>
      <c r="D328" s="439">
        <f>1/3</f>
        <v>0.33333333333333331</v>
      </c>
      <c r="E328" s="24" t="s">
        <v>232</v>
      </c>
    </row>
    <row r="329" spans="1:5" x14ac:dyDescent="0.3">
      <c r="A329" s="279" t="s">
        <v>1693</v>
      </c>
      <c r="B329" s="4" t="s">
        <v>1528</v>
      </c>
      <c r="C329" s="432"/>
      <c r="D329" s="429">
        <f>0.5*$D$328</f>
        <v>0.16666666666666666</v>
      </c>
      <c r="E329" s="33" t="s">
        <v>232</v>
      </c>
    </row>
    <row r="330" spans="1:5" x14ac:dyDescent="0.3">
      <c r="A330" s="279" t="s">
        <v>1456</v>
      </c>
      <c r="B330" s="4" t="s">
        <v>1528</v>
      </c>
      <c r="C330" s="432"/>
      <c r="D330" s="429">
        <f>$D$328-$D$329</f>
        <v>0.16666666666666666</v>
      </c>
      <c r="E330" s="33" t="s">
        <v>232</v>
      </c>
    </row>
    <row r="331" spans="1:5" x14ac:dyDescent="0.3">
      <c r="A331" s="315" t="s">
        <v>1700</v>
      </c>
      <c r="B331" s="4" t="s">
        <v>1528</v>
      </c>
      <c r="C331" s="78"/>
      <c r="D331" s="161">
        <f>2/3</f>
        <v>0.66666666666666663</v>
      </c>
      <c r="E331" s="33" t="s">
        <v>232</v>
      </c>
    </row>
    <row r="332" spans="1:5" x14ac:dyDescent="0.3">
      <c r="A332" s="315" t="s">
        <v>1691</v>
      </c>
      <c r="B332" s="4" t="s">
        <v>1528</v>
      </c>
      <c r="C332" s="78"/>
      <c r="D332" s="161">
        <f>0.7*$D$331</f>
        <v>0.46666666666666662</v>
      </c>
      <c r="E332" s="33" t="s">
        <v>232</v>
      </c>
    </row>
    <row r="333" spans="1:5" x14ac:dyDescent="0.3">
      <c r="A333" s="315" t="s">
        <v>1456</v>
      </c>
      <c r="B333" s="4" t="s">
        <v>1528</v>
      </c>
      <c r="C333" s="78"/>
      <c r="D333" s="161">
        <f>$D$331-$D$332</f>
        <v>0.2</v>
      </c>
      <c r="E333" s="33" t="s">
        <v>232</v>
      </c>
    </row>
    <row r="334" spans="1:5" ht="15" thickBot="1" x14ac:dyDescent="0.35">
      <c r="A334" s="425" t="s">
        <v>1434</v>
      </c>
      <c r="B334" s="427" t="s">
        <v>1528</v>
      </c>
      <c r="C334" s="427" t="s">
        <v>1460</v>
      </c>
      <c r="D334" s="433">
        <f>SUM($D$329:$D$330,$D$332:$D$333)</f>
        <v>1</v>
      </c>
      <c r="E334" s="424" t="s">
        <v>232</v>
      </c>
    </row>
    <row r="335" spans="1:5" x14ac:dyDescent="0.3">
      <c r="A335" s="274" t="s">
        <v>1514</v>
      </c>
      <c r="B335" s="19" t="s">
        <v>129</v>
      </c>
      <c r="C335" s="19"/>
      <c r="D335" s="390">
        <f>'25. CHEM. &amp; MAT.'!$F$46</f>
        <v>1150</v>
      </c>
      <c r="E335" s="393" t="s">
        <v>1581</v>
      </c>
    </row>
    <row r="336" spans="1:5" x14ac:dyDescent="0.3">
      <c r="A336" s="315" t="s">
        <v>1702</v>
      </c>
      <c r="B336" s="30" t="s">
        <v>129</v>
      </c>
      <c r="C336" s="78"/>
      <c r="D336" s="134">
        <f>'25. CHEM. &amp; MAT.'!$F$51</f>
        <v>1420</v>
      </c>
      <c r="E336" s="22" t="s">
        <v>1581</v>
      </c>
    </row>
    <row r="337" spans="1:5" ht="15" thickBot="1" x14ac:dyDescent="0.35">
      <c r="A337" s="436" t="s">
        <v>2307</v>
      </c>
      <c r="B337" s="31" t="s">
        <v>129</v>
      </c>
      <c r="C337" s="437"/>
      <c r="D337" s="364">
        <f>($D$328*$D$335)+($D$331*$D$336)</f>
        <v>1330</v>
      </c>
      <c r="E337" s="28" t="s">
        <v>232</v>
      </c>
    </row>
    <row r="338" spans="1:5" x14ac:dyDescent="0.3">
      <c r="A338" s="279" t="s">
        <v>1516</v>
      </c>
      <c r="B338" s="391" t="s">
        <v>1643</v>
      </c>
      <c r="C338" s="748"/>
      <c r="D338" s="429">
        <f>(D328*$D$335)/$D$337</f>
        <v>0.2882205513784461</v>
      </c>
      <c r="E338" s="24" t="s">
        <v>232</v>
      </c>
    </row>
    <row r="339" spans="1:5" x14ac:dyDescent="0.3">
      <c r="A339" s="279" t="s">
        <v>1696</v>
      </c>
      <c r="B339" s="4" t="s">
        <v>1643</v>
      </c>
      <c r="C339" s="432"/>
      <c r="D339" s="429">
        <f>(D329*$D$335)/$D$337</f>
        <v>0.14411027568922305</v>
      </c>
      <c r="E339" s="33" t="s">
        <v>232</v>
      </c>
    </row>
    <row r="340" spans="1:5" x14ac:dyDescent="0.3">
      <c r="A340" s="279" t="s">
        <v>1459</v>
      </c>
      <c r="B340" s="4" t="s">
        <v>1643</v>
      </c>
      <c r="C340" s="748"/>
      <c r="D340" s="429">
        <f>(D330*$D$335)/$D$337</f>
        <v>0.14411027568922305</v>
      </c>
      <c r="E340" s="33" t="s">
        <v>232</v>
      </c>
    </row>
    <row r="341" spans="1:5" x14ac:dyDescent="0.3">
      <c r="A341" s="315" t="s">
        <v>1701</v>
      </c>
      <c r="B341" s="4" t="s">
        <v>1643</v>
      </c>
      <c r="C341" s="78"/>
      <c r="D341" s="161">
        <f>(D331*$D$336)/$D$337</f>
        <v>0.71177944862155385</v>
      </c>
      <c r="E341" s="33" t="s">
        <v>232</v>
      </c>
    </row>
    <row r="342" spans="1:5" x14ac:dyDescent="0.3">
      <c r="A342" s="315" t="s">
        <v>1699</v>
      </c>
      <c r="B342" s="4" t="s">
        <v>1643</v>
      </c>
      <c r="C342" s="78"/>
      <c r="D342" s="161">
        <f>(D332*$D$336)/$D$337</f>
        <v>0.49824561403508771</v>
      </c>
      <c r="E342" s="33" t="s">
        <v>232</v>
      </c>
    </row>
    <row r="343" spans="1:5" x14ac:dyDescent="0.3">
      <c r="A343" s="279" t="s">
        <v>1459</v>
      </c>
      <c r="B343" s="4" t="s">
        <v>1643</v>
      </c>
      <c r="C343" s="78"/>
      <c r="D343" s="161">
        <f>(D333*$D$336)/$D$337</f>
        <v>0.21353383458646616</v>
      </c>
      <c r="E343" s="33" t="s">
        <v>232</v>
      </c>
    </row>
    <row r="344" spans="1:5" ht="15" thickBot="1" x14ac:dyDescent="0.35">
      <c r="A344" s="425" t="s">
        <v>1434</v>
      </c>
      <c r="B344" s="427" t="s">
        <v>1643</v>
      </c>
      <c r="C344" s="427" t="s">
        <v>1460</v>
      </c>
      <c r="D344" s="441">
        <f>SUM(D339:D340,D342:D343)</f>
        <v>1</v>
      </c>
      <c r="E344" s="442" t="s">
        <v>232</v>
      </c>
    </row>
    <row r="345" spans="1:5" x14ac:dyDescent="0.3">
      <c r="A345" s="1193" t="s">
        <v>1590</v>
      </c>
      <c r="B345" s="1194"/>
      <c r="C345" s="1194"/>
      <c r="D345" s="1194"/>
      <c r="E345" s="1195"/>
    </row>
    <row r="346" spans="1:5" x14ac:dyDescent="0.3">
      <c r="A346" s="76" t="s">
        <v>1582</v>
      </c>
      <c r="B346" s="4" t="s">
        <v>224</v>
      </c>
      <c r="C346" s="399" t="s">
        <v>147</v>
      </c>
      <c r="D346" s="4" t="s">
        <v>330</v>
      </c>
      <c r="E346" s="313" t="s">
        <v>331</v>
      </c>
    </row>
    <row r="347" spans="1:5" x14ac:dyDescent="0.3">
      <c r="A347" s="285" t="s">
        <v>695</v>
      </c>
      <c r="B347" s="3" t="s">
        <v>153</v>
      </c>
      <c r="C347" s="417" t="s">
        <v>157</v>
      </c>
      <c r="D347" s="414">
        <f>$D$339</f>
        <v>0.14411027568922305</v>
      </c>
      <c r="E347" s="443" t="s">
        <v>385</v>
      </c>
    </row>
    <row r="348" spans="1:5" x14ac:dyDescent="0.3">
      <c r="A348" s="285" t="s">
        <v>696</v>
      </c>
      <c r="B348" s="3" t="s">
        <v>153</v>
      </c>
      <c r="C348" s="3" t="s">
        <v>160</v>
      </c>
      <c r="D348" s="414">
        <f>$D$342</f>
        <v>0.49824561403508771</v>
      </c>
      <c r="E348" s="443" t="s">
        <v>385</v>
      </c>
    </row>
    <row r="349" spans="1:5" x14ac:dyDescent="0.3">
      <c r="A349" s="285" t="s">
        <v>158</v>
      </c>
      <c r="B349" s="3" t="s">
        <v>153</v>
      </c>
      <c r="C349" s="3" t="s">
        <v>159</v>
      </c>
      <c r="D349" s="415">
        <f>SUM($D$340,$D$343)</f>
        <v>0.35764411027568921</v>
      </c>
      <c r="E349" s="314" t="s">
        <v>385</v>
      </c>
    </row>
    <row r="350" spans="1:5" x14ac:dyDescent="0.3">
      <c r="A350" s="1128" t="s">
        <v>1587</v>
      </c>
      <c r="B350" s="1129"/>
      <c r="C350" s="1129"/>
      <c r="D350" s="1129"/>
      <c r="E350" s="1130"/>
    </row>
    <row r="351" spans="1:5" ht="15" thickBot="1" x14ac:dyDescent="0.35">
      <c r="A351" s="418" t="s">
        <v>2308</v>
      </c>
      <c r="B351" s="419" t="s">
        <v>153</v>
      </c>
      <c r="C351" s="12"/>
      <c r="D351" s="411">
        <f>SUM($D$347:$D$349)</f>
        <v>1</v>
      </c>
      <c r="E351" s="148"/>
    </row>
    <row r="352" spans="1:5" x14ac:dyDescent="0.3">
      <c r="A352" s="1140"/>
      <c r="B352" s="1141"/>
      <c r="C352" s="1141"/>
      <c r="D352" s="1141"/>
      <c r="E352" s="1142"/>
    </row>
    <row r="353" spans="1:5" ht="15" thickBot="1" x14ac:dyDescent="0.35">
      <c r="A353" s="1143"/>
      <c r="B353" s="1144"/>
      <c r="C353" s="1144"/>
      <c r="D353" s="1144"/>
      <c r="E353" s="1145"/>
    </row>
    <row r="354" spans="1:5" ht="30" customHeight="1" thickBot="1" x14ac:dyDescent="0.35">
      <c r="A354" s="662" t="s">
        <v>2309</v>
      </c>
      <c r="B354" s="749" t="s">
        <v>142</v>
      </c>
      <c r="C354" s="750" t="s">
        <v>256</v>
      </c>
      <c r="D354" s="751" t="s">
        <v>236</v>
      </c>
      <c r="E354" s="752" t="s">
        <v>212</v>
      </c>
    </row>
    <row r="355" spans="1:5" x14ac:dyDescent="0.3">
      <c r="A355" s="438" t="s">
        <v>2416</v>
      </c>
      <c r="B355" s="226" t="s">
        <v>1528</v>
      </c>
      <c r="C355" s="79"/>
      <c r="D355" s="439">
        <f>19/23</f>
        <v>0.82608695652173914</v>
      </c>
      <c r="E355" s="24" t="s">
        <v>232</v>
      </c>
    </row>
    <row r="356" spans="1:5" x14ac:dyDescent="0.3">
      <c r="A356" s="279" t="s">
        <v>2417</v>
      </c>
      <c r="B356" s="4" t="s">
        <v>1528</v>
      </c>
      <c r="C356" s="432"/>
      <c r="D356" s="429">
        <f>0.85*$D$355</f>
        <v>0.7021739130434782</v>
      </c>
      <c r="E356" s="33" t="s">
        <v>232</v>
      </c>
    </row>
    <row r="357" spans="1:5" x14ac:dyDescent="0.3">
      <c r="A357" s="279" t="s">
        <v>1456</v>
      </c>
      <c r="B357" s="4" t="s">
        <v>1528</v>
      </c>
      <c r="C357" s="432"/>
      <c r="D357" s="429">
        <f>0.15*$D$355</f>
        <v>0.12391304347826086</v>
      </c>
      <c r="E357" s="33" t="s">
        <v>232</v>
      </c>
    </row>
    <row r="358" spans="1:5" x14ac:dyDescent="0.3">
      <c r="A358" s="315" t="s">
        <v>2418</v>
      </c>
      <c r="B358" s="4" t="s">
        <v>1528</v>
      </c>
      <c r="C358" s="78"/>
      <c r="D358" s="161">
        <f>1/23</f>
        <v>4.3478260869565216E-2</v>
      </c>
      <c r="E358" s="33" t="s">
        <v>232</v>
      </c>
    </row>
    <row r="359" spans="1:5" x14ac:dyDescent="0.3">
      <c r="A359" s="315" t="s">
        <v>2419</v>
      </c>
      <c r="B359" s="4" t="s">
        <v>1528</v>
      </c>
      <c r="C359" s="78"/>
      <c r="D359" s="161">
        <f>0.5*$D$358</f>
        <v>2.1739130434782608E-2</v>
      </c>
      <c r="E359" s="33" t="s">
        <v>232</v>
      </c>
    </row>
    <row r="360" spans="1:5" x14ac:dyDescent="0.3">
      <c r="A360" s="315" t="s">
        <v>1456</v>
      </c>
      <c r="B360" s="4" t="s">
        <v>1528</v>
      </c>
      <c r="C360" s="78"/>
      <c r="D360" s="161">
        <f>0.5*$D$358</f>
        <v>2.1739130434782608E-2</v>
      </c>
      <c r="E360" s="33" t="s">
        <v>232</v>
      </c>
    </row>
    <row r="361" spans="1:5" x14ac:dyDescent="0.3">
      <c r="A361" s="315" t="s">
        <v>1700</v>
      </c>
      <c r="B361" s="4" t="s">
        <v>1528</v>
      </c>
      <c r="C361" s="434"/>
      <c r="D361" s="161">
        <f>1/23</f>
        <v>4.3478260869565216E-2</v>
      </c>
      <c r="E361" s="33" t="s">
        <v>232</v>
      </c>
    </row>
    <row r="362" spans="1:5" x14ac:dyDescent="0.3">
      <c r="A362" s="315" t="s">
        <v>1691</v>
      </c>
      <c r="B362" s="4" t="s">
        <v>1528</v>
      </c>
      <c r="C362" s="434"/>
      <c r="D362" s="161">
        <f>0.7*$D$361</f>
        <v>3.043478260869565E-2</v>
      </c>
      <c r="E362" s="33" t="s">
        <v>232</v>
      </c>
    </row>
    <row r="363" spans="1:5" x14ac:dyDescent="0.3">
      <c r="A363" s="315" t="s">
        <v>1456</v>
      </c>
      <c r="B363" s="4" t="s">
        <v>1528</v>
      </c>
      <c r="C363" s="434"/>
      <c r="D363" s="161">
        <f>0.3*$D$361</f>
        <v>1.3043478260869565E-2</v>
      </c>
      <c r="E363" s="33" t="s">
        <v>232</v>
      </c>
    </row>
    <row r="364" spans="1:5" x14ac:dyDescent="0.3">
      <c r="A364" s="315" t="s">
        <v>1456</v>
      </c>
      <c r="B364" s="4" t="s">
        <v>1528</v>
      </c>
      <c r="C364" s="434"/>
      <c r="D364" s="435">
        <f>2/23</f>
        <v>8.6956521739130432E-2</v>
      </c>
      <c r="E364" s="33" t="s">
        <v>232</v>
      </c>
    </row>
    <row r="365" spans="1:5" ht="15" thickBot="1" x14ac:dyDescent="0.35">
      <c r="A365" s="425" t="s">
        <v>1434</v>
      </c>
      <c r="B365" s="427" t="s">
        <v>1528</v>
      </c>
      <c r="C365" s="427" t="s">
        <v>1460</v>
      </c>
      <c r="D365" s="433">
        <f>SUM($D$356:$D$357,$D$359:$D$360,$D$362:$D$363,$D$364)</f>
        <v>1</v>
      </c>
      <c r="E365" s="424" t="s">
        <v>232</v>
      </c>
    </row>
    <row r="366" spans="1:5" x14ac:dyDescent="0.3">
      <c r="A366" s="274" t="s">
        <v>2420</v>
      </c>
      <c r="B366" s="19" t="s">
        <v>129</v>
      </c>
      <c r="C366" s="19"/>
      <c r="D366" s="134">
        <f>'25. CHEM. &amp; MAT.'!$F$47</f>
        <v>1710</v>
      </c>
      <c r="E366" s="393" t="s">
        <v>1581</v>
      </c>
    </row>
    <row r="367" spans="1:5" x14ac:dyDescent="0.3">
      <c r="A367" s="341" t="s">
        <v>2421</v>
      </c>
      <c r="B367" s="30" t="s">
        <v>129</v>
      </c>
      <c r="C367" s="103"/>
      <c r="D367" s="134">
        <f>'25. CHEM. &amp; MAT.'!$F$48</f>
        <v>1060</v>
      </c>
      <c r="E367" s="22" t="s">
        <v>1581</v>
      </c>
    </row>
    <row r="368" spans="1:5" x14ac:dyDescent="0.3">
      <c r="A368" s="315" t="s">
        <v>1702</v>
      </c>
      <c r="B368" s="30" t="s">
        <v>129</v>
      </c>
      <c r="C368" s="78"/>
      <c r="D368" s="134">
        <f>'25. CHEM. &amp; MAT.'!$F$51</f>
        <v>1420</v>
      </c>
      <c r="E368" s="22" t="s">
        <v>1581</v>
      </c>
    </row>
    <row r="369" spans="1:5" x14ac:dyDescent="0.3">
      <c r="A369" s="440" t="s">
        <v>1432</v>
      </c>
      <c r="B369" s="30" t="s">
        <v>129</v>
      </c>
      <c r="C369" s="434"/>
      <c r="D369" s="264">
        <f>'25. CHEM. &amp; MAT.'!$F$62</f>
        <v>1000</v>
      </c>
      <c r="E369" s="22" t="s">
        <v>1581</v>
      </c>
    </row>
    <row r="370" spans="1:5" ht="15" thickBot="1" x14ac:dyDescent="0.35">
      <c r="A370" s="436" t="s">
        <v>2310</v>
      </c>
      <c r="B370" s="31" t="s">
        <v>129</v>
      </c>
      <c r="C370" s="437"/>
      <c r="D370" s="364">
        <f>($D$355*$D$366)+($D$358*$D$367)+($D$361*$D$368)+($D$364*$D$369)</f>
        <v>1607.3913043478262</v>
      </c>
      <c r="E370" s="28" t="s">
        <v>232</v>
      </c>
    </row>
    <row r="371" spans="1:5" x14ac:dyDescent="0.3">
      <c r="A371" s="438" t="s">
        <v>2422</v>
      </c>
      <c r="B371" s="391" t="s">
        <v>1643</v>
      </c>
      <c r="C371" s="748"/>
      <c r="D371" s="429">
        <f>(D355*$D$366)/$D$370</f>
        <v>0.87882066540438186</v>
      </c>
      <c r="E371" s="24" t="s">
        <v>232</v>
      </c>
    </row>
    <row r="372" spans="1:5" x14ac:dyDescent="0.3">
      <c r="A372" s="279" t="s">
        <v>2423</v>
      </c>
      <c r="B372" s="4" t="s">
        <v>1643</v>
      </c>
      <c r="C372" s="432"/>
      <c r="D372" s="429">
        <f t="shared" ref="D372:D373" si="6">(D356*$D$366)/$D$370</f>
        <v>0.74699756559372454</v>
      </c>
      <c r="E372" s="33" t="s">
        <v>232</v>
      </c>
    </row>
    <row r="373" spans="1:5" x14ac:dyDescent="0.3">
      <c r="A373" s="279" t="s">
        <v>1459</v>
      </c>
      <c r="B373" s="4" t="s">
        <v>1643</v>
      </c>
      <c r="C373" s="748"/>
      <c r="D373" s="429">
        <f t="shared" si="6"/>
        <v>0.13182309981065726</v>
      </c>
      <c r="E373" s="33" t="s">
        <v>232</v>
      </c>
    </row>
    <row r="374" spans="1:5" x14ac:dyDescent="0.3">
      <c r="A374" s="315" t="s">
        <v>2424</v>
      </c>
      <c r="B374" s="4" t="s">
        <v>1643</v>
      </c>
      <c r="C374" s="78"/>
      <c r="D374" s="161">
        <f>(D358*$D$367)/$D$370</f>
        <v>2.8671896131998918E-2</v>
      </c>
      <c r="E374" s="33" t="s">
        <v>232</v>
      </c>
    </row>
    <row r="375" spans="1:5" x14ac:dyDescent="0.3">
      <c r="A375" s="315" t="s">
        <v>2425</v>
      </c>
      <c r="B375" s="4" t="s">
        <v>1643</v>
      </c>
      <c r="C375" s="78"/>
      <c r="D375" s="161">
        <f t="shared" ref="D375:D376" si="7">(D359*$D$367)/$D$370</f>
        <v>1.4335948065999459E-2</v>
      </c>
      <c r="E375" s="33" t="s">
        <v>232</v>
      </c>
    </row>
    <row r="376" spans="1:5" x14ac:dyDescent="0.3">
      <c r="A376" s="315" t="s">
        <v>1459</v>
      </c>
      <c r="B376" s="4" t="s">
        <v>1643</v>
      </c>
      <c r="C376" s="78"/>
      <c r="D376" s="161">
        <f t="shared" si="7"/>
        <v>1.4335948065999459E-2</v>
      </c>
      <c r="E376" s="33" t="s">
        <v>232</v>
      </c>
    </row>
    <row r="377" spans="1:5" x14ac:dyDescent="0.3">
      <c r="A377" s="315" t="s">
        <v>1701</v>
      </c>
      <c r="B377" s="4" t="s">
        <v>1643</v>
      </c>
      <c r="C377" s="434"/>
      <c r="D377" s="435">
        <f>(D361*$D$368)/$D$370</f>
        <v>3.8409521233432511E-2</v>
      </c>
      <c r="E377" s="33" t="s">
        <v>232</v>
      </c>
    </row>
    <row r="378" spans="1:5" x14ac:dyDescent="0.3">
      <c r="A378" s="315" t="s">
        <v>1699</v>
      </c>
      <c r="B378" s="4" t="s">
        <v>1643</v>
      </c>
      <c r="C378" s="434"/>
      <c r="D378" s="435">
        <f t="shared" ref="D378:D379" si="8">(D362*$D$368)/$D$370</f>
        <v>2.6886664863402753E-2</v>
      </c>
      <c r="E378" s="33" t="s">
        <v>232</v>
      </c>
    </row>
    <row r="379" spans="1:5" x14ac:dyDescent="0.3">
      <c r="A379" s="315" t="s">
        <v>1459</v>
      </c>
      <c r="B379" s="4" t="s">
        <v>1643</v>
      </c>
      <c r="C379" s="434"/>
      <c r="D379" s="435">
        <f t="shared" si="8"/>
        <v>1.1522856370029751E-2</v>
      </c>
      <c r="E379" s="33" t="s">
        <v>232</v>
      </c>
    </row>
    <row r="380" spans="1:5" x14ac:dyDescent="0.3">
      <c r="A380" s="315" t="s">
        <v>1459</v>
      </c>
      <c r="B380" s="4" t="s">
        <v>1643</v>
      </c>
      <c r="C380" s="434"/>
      <c r="D380" s="435">
        <f>(D364*$D$369)/$D$370</f>
        <v>5.4097917230186636E-2</v>
      </c>
      <c r="E380" s="33" t="s">
        <v>232</v>
      </c>
    </row>
    <row r="381" spans="1:5" ht="15" thickBot="1" x14ac:dyDescent="0.35">
      <c r="A381" s="425" t="s">
        <v>1434</v>
      </c>
      <c r="B381" s="427" t="s">
        <v>1643</v>
      </c>
      <c r="C381" s="427" t="s">
        <v>1460</v>
      </c>
      <c r="D381" s="441">
        <f>SUM(D372:D373,D375:D376,D378:D380)</f>
        <v>0.99999999999999978</v>
      </c>
      <c r="E381" s="442" t="s">
        <v>232</v>
      </c>
    </row>
    <row r="382" spans="1:5" x14ac:dyDescent="0.3">
      <c r="A382" s="1193" t="s">
        <v>1590</v>
      </c>
      <c r="B382" s="1194"/>
      <c r="C382" s="1194"/>
      <c r="D382" s="1194"/>
      <c r="E382" s="1195"/>
    </row>
    <row r="383" spans="1:5" x14ac:dyDescent="0.3">
      <c r="A383" s="76" t="s">
        <v>1582</v>
      </c>
      <c r="B383" s="4" t="s">
        <v>224</v>
      </c>
      <c r="C383" s="399" t="s">
        <v>147</v>
      </c>
      <c r="D383" s="4" t="s">
        <v>330</v>
      </c>
      <c r="E383" s="313" t="s">
        <v>331</v>
      </c>
    </row>
    <row r="384" spans="1:5" x14ac:dyDescent="0.3">
      <c r="A384" s="540" t="s">
        <v>697</v>
      </c>
      <c r="B384" s="3" t="s">
        <v>153</v>
      </c>
      <c r="C384" s="58" t="s">
        <v>2426</v>
      </c>
      <c r="D384" s="414">
        <f>$D$372</f>
        <v>0.74699756559372454</v>
      </c>
      <c r="E384" s="443" t="s">
        <v>385</v>
      </c>
    </row>
    <row r="385" spans="1:5" x14ac:dyDescent="0.3">
      <c r="A385" s="285" t="s">
        <v>698</v>
      </c>
      <c r="B385" s="3" t="s">
        <v>153</v>
      </c>
      <c r="C385" s="3" t="s">
        <v>396</v>
      </c>
      <c r="D385" s="414">
        <f>$D$375</f>
        <v>1.4335948065999459E-2</v>
      </c>
      <c r="E385" s="443" t="s">
        <v>385</v>
      </c>
    </row>
    <row r="386" spans="1:5" x14ac:dyDescent="0.3">
      <c r="A386" s="285" t="s">
        <v>696</v>
      </c>
      <c r="B386" s="3" t="s">
        <v>153</v>
      </c>
      <c r="C386" s="3" t="s">
        <v>160</v>
      </c>
      <c r="D386" s="414">
        <f>$D$378</f>
        <v>2.6886664863402753E-2</v>
      </c>
      <c r="E386" s="443" t="s">
        <v>385</v>
      </c>
    </row>
    <row r="387" spans="1:5" x14ac:dyDescent="0.3">
      <c r="A387" s="285" t="s">
        <v>158</v>
      </c>
      <c r="B387" s="3" t="s">
        <v>153</v>
      </c>
      <c r="C387" s="3" t="s">
        <v>159</v>
      </c>
      <c r="D387" s="415">
        <f>SUM($D$373,$D$376,$D$379:$D$380)</f>
        <v>0.21177982147687313</v>
      </c>
      <c r="E387" s="314" t="s">
        <v>385</v>
      </c>
    </row>
    <row r="388" spans="1:5" x14ac:dyDescent="0.3">
      <c r="A388" s="1128" t="s">
        <v>1587</v>
      </c>
      <c r="B388" s="1129"/>
      <c r="C388" s="1129"/>
      <c r="D388" s="1129"/>
      <c r="E388" s="1130"/>
    </row>
    <row r="389" spans="1:5" ht="15" thickBot="1" x14ac:dyDescent="0.35">
      <c r="A389" s="418" t="s">
        <v>2308</v>
      </c>
      <c r="B389" s="419" t="s">
        <v>153</v>
      </c>
      <c r="C389" s="12"/>
      <c r="D389" s="411">
        <f>SUM($D$384:$D$387)</f>
        <v>0.99999999999999989</v>
      </c>
      <c r="E389" s="148"/>
    </row>
    <row r="390" spans="1:5" x14ac:dyDescent="0.3">
      <c r="A390" s="1140"/>
      <c r="B390" s="1141"/>
      <c r="C390" s="1141"/>
      <c r="D390" s="1141"/>
      <c r="E390" s="1142"/>
    </row>
    <row r="391" spans="1:5" ht="15" thickBot="1" x14ac:dyDescent="0.35">
      <c r="A391" s="1143"/>
      <c r="B391" s="1144"/>
      <c r="C391" s="1144"/>
      <c r="D391" s="1144"/>
      <c r="E391" s="1145"/>
    </row>
  </sheetData>
  <sheetProtection algorithmName="SHA-512" hashValue="Hyr8LpHPG11Oh5Ddo11wdJ/R5p3fJeP+72mT0d5TJCTtrpl9cm6Bs6E3Vyt8vptufMI7lACptTbGYTyLiruXLA==" saltValue="FZKZ6cfNTI+5HrNkwXxYlA==" spinCount="100000" sheet="1" objects="1" scenarios="1"/>
  <mergeCells count="42">
    <mergeCell ref="A352:E353"/>
    <mergeCell ref="A382:E382"/>
    <mergeCell ref="A388:E388"/>
    <mergeCell ref="A390:E391"/>
    <mergeCell ref="A266:E266"/>
    <mergeCell ref="A268:E269"/>
    <mergeCell ref="A291:E291"/>
    <mergeCell ref="A296:E296"/>
    <mergeCell ref="A350:E350"/>
    <mergeCell ref="A318:E318"/>
    <mergeCell ref="A323:E323"/>
    <mergeCell ref="A325:E326"/>
    <mergeCell ref="A345:E345"/>
    <mergeCell ref="A298:E299"/>
    <mergeCell ref="A115:E115"/>
    <mergeCell ref="A120:E120"/>
    <mergeCell ref="A138:E138"/>
    <mergeCell ref="A233:E234"/>
    <mergeCell ref="A260:E260"/>
    <mergeCell ref="A231:E231"/>
    <mergeCell ref="A182:E182"/>
    <mergeCell ref="A187:E187"/>
    <mergeCell ref="A160:E160"/>
    <mergeCell ref="A165:E165"/>
    <mergeCell ref="A167:E168"/>
    <mergeCell ref="A205:E205"/>
    <mergeCell ref="A88:E88"/>
    <mergeCell ref="A226:E226"/>
    <mergeCell ref="A28:E28"/>
    <mergeCell ref="A23:E23"/>
    <mergeCell ref="A207:E208"/>
    <mergeCell ref="A30:E31"/>
    <mergeCell ref="A90:E91"/>
    <mergeCell ref="A122:E123"/>
    <mergeCell ref="A189:E190"/>
    <mergeCell ref="A144:E145"/>
    <mergeCell ref="A53:E53"/>
    <mergeCell ref="A58:E58"/>
    <mergeCell ref="A60:E61"/>
    <mergeCell ref="A83:E83"/>
    <mergeCell ref="A142:E142"/>
    <mergeCell ref="A201:E201"/>
  </mergeCells>
  <phoneticPr fontId="15" type="noConversion"/>
  <pageMargins left="0.7" right="0.7" top="0.75" bottom="0.75" header="0.3" footer="0.3"/>
  <pageSetup paperSize="9"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6568F-6233-4799-B25E-9E88D92F052C}">
  <dimension ref="A1:H88"/>
  <sheetViews>
    <sheetView zoomScale="85" zoomScaleNormal="85" workbookViewId="0"/>
  </sheetViews>
  <sheetFormatPr baseColWidth="10" defaultRowHeight="14.4" x14ac:dyDescent="0.3"/>
  <cols>
    <col min="1" max="1" width="31.6640625" bestFit="1" customWidth="1"/>
    <col min="2" max="2" width="11.6640625" bestFit="1" customWidth="1"/>
    <col min="3" max="3" width="39.88671875" customWidth="1"/>
    <col min="4" max="4" width="21.5546875" bestFit="1" customWidth="1"/>
    <col min="5" max="5" width="14.5546875" bestFit="1" customWidth="1"/>
    <col min="6" max="6" width="11.44140625" bestFit="1" customWidth="1"/>
    <col min="7" max="7" width="119.6640625" customWidth="1"/>
    <col min="8" max="8" width="51.88671875" bestFit="1" customWidth="1"/>
  </cols>
  <sheetData>
    <row r="1" spans="1:8" ht="15" thickBot="1" x14ac:dyDescent="0.35">
      <c r="A1" t="s">
        <v>135</v>
      </c>
    </row>
    <row r="2" spans="1:8" x14ac:dyDescent="0.3">
      <c r="A2" s="1207" t="s">
        <v>976</v>
      </c>
      <c r="B2" s="1209" t="s">
        <v>939</v>
      </c>
      <c r="C2" s="1209" t="s">
        <v>355</v>
      </c>
      <c r="D2" s="1211" t="s">
        <v>211</v>
      </c>
      <c r="E2" s="1212"/>
      <c r="F2" s="189" t="s">
        <v>942</v>
      </c>
      <c r="G2" s="1209" t="s">
        <v>943</v>
      </c>
      <c r="H2" s="1209" t="s">
        <v>947</v>
      </c>
    </row>
    <row r="3" spans="1:8" ht="16.8" thickBot="1" x14ac:dyDescent="0.35">
      <c r="A3" s="1208"/>
      <c r="B3" s="1210"/>
      <c r="C3" s="1210"/>
      <c r="D3" s="188" t="s">
        <v>451</v>
      </c>
      <c r="E3" s="187" t="s">
        <v>448</v>
      </c>
      <c r="F3" s="190" t="s">
        <v>941</v>
      </c>
      <c r="G3" s="1210"/>
      <c r="H3" s="1210"/>
    </row>
    <row r="4" spans="1:8" ht="15" thickBot="1" x14ac:dyDescent="0.35"/>
    <row r="5" spans="1:8" x14ac:dyDescent="0.3">
      <c r="A5" s="1198" t="s">
        <v>940</v>
      </c>
      <c r="B5" s="1199"/>
      <c r="C5" s="194"/>
      <c r="D5" s="1204">
        <f>'1. USER INPUTS'!$E$17</f>
        <v>0.1</v>
      </c>
      <c r="E5" s="66">
        <v>0.1</v>
      </c>
      <c r="F5" s="196">
        <f t="shared" ref="F5:F25" si="0">((1-EXP(-E5*$D$5))/(E5*$D$5))^2</f>
        <v>0.99005808419193975</v>
      </c>
      <c r="G5" s="199"/>
      <c r="H5" s="10" t="s">
        <v>443</v>
      </c>
    </row>
    <row r="6" spans="1:8" x14ac:dyDescent="0.3">
      <c r="A6" s="1200"/>
      <c r="B6" s="1201"/>
      <c r="C6" s="195"/>
      <c r="D6" s="1205"/>
      <c r="E6" s="67">
        <v>0.5</v>
      </c>
      <c r="F6" s="197">
        <f t="shared" si="0"/>
        <v>0.95142761381262175</v>
      </c>
      <c r="G6" s="200"/>
      <c r="H6" s="11" t="s">
        <v>442</v>
      </c>
    </row>
    <row r="7" spans="1:8" x14ac:dyDescent="0.3">
      <c r="A7" s="1200"/>
      <c r="B7" s="1201"/>
      <c r="C7" s="195"/>
      <c r="D7" s="1205"/>
      <c r="E7" s="67">
        <v>1</v>
      </c>
      <c r="F7" s="197">
        <f t="shared" si="0"/>
        <v>0.90559170060627225</v>
      </c>
      <c r="G7" s="200"/>
      <c r="H7" s="11" t="s">
        <v>938</v>
      </c>
    </row>
    <row r="8" spans="1:8" x14ac:dyDescent="0.3">
      <c r="A8" s="1200"/>
      <c r="B8" s="1201"/>
      <c r="C8" s="195"/>
      <c r="D8" s="1205"/>
      <c r="E8" s="67">
        <v>1.5</v>
      </c>
      <c r="F8" s="197">
        <f t="shared" si="0"/>
        <v>0.86232301473787765</v>
      </c>
      <c r="G8" s="200"/>
      <c r="H8" s="11" t="s">
        <v>444</v>
      </c>
    </row>
    <row r="9" spans="1:8" x14ac:dyDescent="0.3">
      <c r="A9" s="1200"/>
      <c r="B9" s="1201"/>
      <c r="C9" s="195"/>
      <c r="D9" s="1205"/>
      <c r="E9" s="67">
        <v>2</v>
      </c>
      <c r="F9" s="197">
        <f t="shared" si="0"/>
        <v>0.82146349699188992</v>
      </c>
      <c r="G9" s="200"/>
      <c r="H9" s="11" t="s">
        <v>445</v>
      </c>
    </row>
    <row r="10" spans="1:8" x14ac:dyDescent="0.3">
      <c r="A10" s="1200"/>
      <c r="B10" s="1201"/>
      <c r="C10" s="195"/>
      <c r="D10" s="1205"/>
      <c r="E10" s="67">
        <v>2.5</v>
      </c>
      <c r="F10" s="197">
        <f t="shared" si="0"/>
        <v>0.7828654971171789</v>
      </c>
      <c r="G10" s="200"/>
      <c r="H10" s="146"/>
    </row>
    <row r="11" spans="1:8" x14ac:dyDescent="0.3">
      <c r="A11" s="1200"/>
      <c r="B11" s="1201"/>
      <c r="C11" s="195"/>
      <c r="D11" s="1205"/>
      <c r="E11" s="67">
        <v>3</v>
      </c>
      <c r="F11" s="197">
        <f t="shared" si="0"/>
        <v>0.74639105256211857</v>
      </c>
      <c r="G11" s="200"/>
      <c r="H11" s="146"/>
    </row>
    <row r="12" spans="1:8" x14ac:dyDescent="0.3">
      <c r="A12" s="1200"/>
      <c r="B12" s="1201"/>
      <c r="C12" s="195"/>
      <c r="D12" s="1205"/>
      <c r="E12" s="67">
        <v>3.5</v>
      </c>
      <c r="F12" s="197">
        <f t="shared" si="0"/>
        <v>0.71191121921618472</v>
      </c>
      <c r="G12" s="200"/>
      <c r="H12" s="146"/>
    </row>
    <row r="13" spans="1:8" x14ac:dyDescent="0.3">
      <c r="A13" s="1200"/>
      <c r="B13" s="1201"/>
      <c r="C13" s="195"/>
      <c r="D13" s="1205"/>
      <c r="E13" s="67">
        <v>4</v>
      </c>
      <c r="F13" s="197">
        <f t="shared" si="0"/>
        <v>0.67930545028714362</v>
      </c>
      <c r="G13" s="200"/>
      <c r="H13" s="146"/>
    </row>
    <row r="14" spans="1:8" x14ac:dyDescent="0.3">
      <c r="A14" s="1200"/>
      <c r="B14" s="1201"/>
      <c r="C14" s="195"/>
      <c r="D14" s="1205"/>
      <c r="E14" s="67">
        <v>4.5</v>
      </c>
      <c r="F14" s="197">
        <f t="shared" si="0"/>
        <v>0.64846101973853076</v>
      </c>
      <c r="G14" s="200"/>
      <c r="H14" s="146"/>
    </row>
    <row r="15" spans="1:8" x14ac:dyDescent="0.3">
      <c r="A15" s="1200"/>
      <c r="B15" s="1201"/>
      <c r="C15" s="195"/>
      <c r="D15" s="1205"/>
      <c r="E15" s="67">
        <v>5</v>
      </c>
      <c r="F15" s="197">
        <f t="shared" si="0"/>
        <v>0.61927248698470194</v>
      </c>
      <c r="G15" s="200"/>
      <c r="H15" s="146"/>
    </row>
    <row r="16" spans="1:8" x14ac:dyDescent="0.3">
      <c r="A16" s="1200"/>
      <c r="B16" s="1201"/>
      <c r="C16" s="195"/>
      <c r="D16" s="1205"/>
      <c r="E16" s="67">
        <v>5.5</v>
      </c>
      <c r="F16" s="197">
        <f t="shared" si="0"/>
        <v>0.59164119979208651</v>
      </c>
      <c r="G16" s="200"/>
      <c r="H16" s="146"/>
    </row>
    <row r="17" spans="1:8" x14ac:dyDescent="0.3">
      <c r="A17" s="1200"/>
      <c r="B17" s="1201"/>
      <c r="C17" s="195"/>
      <c r="D17" s="1205"/>
      <c r="E17" s="67">
        <v>6</v>
      </c>
      <c r="F17" s="197">
        <f t="shared" si="0"/>
        <v>0.56547483256708109</v>
      </c>
      <c r="G17" s="200"/>
      <c r="H17" s="146"/>
    </row>
    <row r="18" spans="1:8" x14ac:dyDescent="0.3">
      <c r="A18" s="1200"/>
      <c r="B18" s="1201"/>
      <c r="C18" s="195"/>
      <c r="D18" s="1205"/>
      <c r="E18" s="67">
        <v>6.5</v>
      </c>
      <c r="F18" s="197">
        <f t="shared" si="0"/>
        <v>0.54068695742480599</v>
      </c>
      <c r="G18" s="200"/>
      <c r="H18" s="146"/>
    </row>
    <row r="19" spans="1:8" x14ac:dyDescent="0.3">
      <c r="A19" s="1200"/>
      <c r="B19" s="1201"/>
      <c r="C19" s="195"/>
      <c r="D19" s="1205"/>
      <c r="E19" s="67">
        <v>7</v>
      </c>
      <c r="F19" s="197">
        <f t="shared" si="0"/>
        <v>0.51719664563017864</v>
      </c>
      <c r="G19" s="200"/>
      <c r="H19" s="146"/>
    </row>
    <row r="20" spans="1:8" x14ac:dyDescent="0.3">
      <c r="A20" s="1200"/>
      <c r="B20" s="1201"/>
      <c r="C20" s="195"/>
      <c r="D20" s="1205"/>
      <c r="E20" s="67">
        <v>7.5</v>
      </c>
      <c r="F20" s="197">
        <f t="shared" si="0"/>
        <v>0.49492809718471187</v>
      </c>
      <c r="G20" s="200"/>
      <c r="H20" s="146"/>
    </row>
    <row r="21" spans="1:8" x14ac:dyDescent="0.3">
      <c r="A21" s="1200"/>
      <c r="B21" s="1201"/>
      <c r="C21" s="195"/>
      <c r="D21" s="1205"/>
      <c r="E21" s="67">
        <v>8</v>
      </c>
      <c r="F21" s="197">
        <f t="shared" si="0"/>
        <v>0.47381029650033163</v>
      </c>
      <c r="G21" s="200"/>
      <c r="H21" s="146"/>
    </row>
    <row r="22" spans="1:8" x14ac:dyDescent="0.3">
      <c r="A22" s="1200"/>
      <c r="B22" s="1201"/>
      <c r="C22" s="195"/>
      <c r="D22" s="1205"/>
      <c r="E22" s="67">
        <v>8.5</v>
      </c>
      <c r="F22" s="197">
        <f t="shared" si="0"/>
        <v>0.45377669225644479</v>
      </c>
      <c r="G22" s="200"/>
      <c r="H22" s="146"/>
    </row>
    <row r="23" spans="1:8" x14ac:dyDescent="0.3">
      <c r="A23" s="1200"/>
      <c r="B23" s="1201"/>
      <c r="C23" s="198" t="s">
        <v>944</v>
      </c>
      <c r="D23" s="1205"/>
      <c r="E23" s="67">
        <v>9</v>
      </c>
      <c r="F23" s="197">
        <f t="shared" si="0"/>
        <v>0.43476489967949167</v>
      </c>
      <c r="G23" s="200"/>
      <c r="H23" s="146"/>
    </row>
    <row r="24" spans="1:8" x14ac:dyDescent="0.3">
      <c r="A24" s="1200"/>
      <c r="B24" s="1201"/>
      <c r="C24" s="195"/>
      <c r="D24" s="1205"/>
      <c r="E24" s="67">
        <v>9.5</v>
      </c>
      <c r="F24" s="197">
        <f t="shared" si="0"/>
        <v>0.41671642361621336</v>
      </c>
      <c r="G24" s="200"/>
      <c r="H24" s="146"/>
    </row>
    <row r="25" spans="1:8" ht="15" thickBot="1" x14ac:dyDescent="0.35">
      <c r="A25" s="1202"/>
      <c r="B25" s="1203"/>
      <c r="C25" s="204"/>
      <c r="D25" s="1206"/>
      <c r="E25" s="68">
        <v>10</v>
      </c>
      <c r="F25" s="203">
        <f t="shared" si="0"/>
        <v>0.39957640089372803</v>
      </c>
      <c r="G25" s="205"/>
      <c r="H25" s="146"/>
    </row>
    <row r="26" spans="1:8" x14ac:dyDescent="0.3">
      <c r="A26" s="1198" t="s">
        <v>945</v>
      </c>
      <c r="B26" s="1199"/>
      <c r="C26" s="199"/>
      <c r="D26" s="1204">
        <f>'1. USER INPUTS'!$E$17</f>
        <v>0.1</v>
      </c>
      <c r="E26" s="186">
        <v>0.1</v>
      </c>
      <c r="F26" s="227">
        <f t="shared" ref="F26:F46" si="1">(1-EXP(-2*E26*$D$26))/(2*E26*$D$26)</f>
        <v>0.99006633466223715</v>
      </c>
      <c r="G26" s="76"/>
      <c r="H26" s="146"/>
    </row>
    <row r="27" spans="1:8" x14ac:dyDescent="0.3">
      <c r="A27" s="1200"/>
      <c r="B27" s="1201"/>
      <c r="C27" s="200"/>
      <c r="D27" s="1205"/>
      <c r="E27" s="201">
        <v>0.5</v>
      </c>
      <c r="F27" s="233">
        <f t="shared" si="1"/>
        <v>0.95162581964040482</v>
      </c>
      <c r="G27" s="200"/>
      <c r="H27" s="146"/>
    </row>
    <row r="28" spans="1:8" x14ac:dyDescent="0.3">
      <c r="A28" s="1200"/>
      <c r="B28" s="1201"/>
      <c r="C28" s="200"/>
      <c r="D28" s="1205"/>
      <c r="E28" s="201">
        <v>1</v>
      </c>
      <c r="F28" s="233">
        <f t="shared" si="1"/>
        <v>0.9063462346100909</v>
      </c>
      <c r="G28" s="200"/>
      <c r="H28" s="146"/>
    </row>
    <row r="29" spans="1:8" x14ac:dyDescent="0.3">
      <c r="A29" s="1200"/>
      <c r="B29" s="1201"/>
      <c r="C29" s="200"/>
      <c r="D29" s="1205"/>
      <c r="E29" s="201">
        <v>1.5</v>
      </c>
      <c r="F29" s="233">
        <f t="shared" si="1"/>
        <v>0.8639392643942736</v>
      </c>
      <c r="G29" s="200"/>
      <c r="H29" s="146"/>
    </row>
    <row r="30" spans="1:8" x14ac:dyDescent="0.3">
      <c r="A30" s="1200"/>
      <c r="B30" s="1201"/>
      <c r="C30" s="200"/>
      <c r="D30" s="1205"/>
      <c r="E30" s="201">
        <v>2</v>
      </c>
      <c r="F30" s="233">
        <f t="shared" si="1"/>
        <v>0.82419988491090168</v>
      </c>
      <c r="G30" s="200"/>
      <c r="H30" s="146"/>
    </row>
    <row r="31" spans="1:8" x14ac:dyDescent="0.3">
      <c r="A31" s="1200"/>
      <c r="B31" s="1201"/>
      <c r="C31" s="200"/>
      <c r="D31" s="1205"/>
      <c r="E31" s="201">
        <v>2.5</v>
      </c>
      <c r="F31" s="233">
        <f t="shared" si="1"/>
        <v>0.78693868057473315</v>
      </c>
      <c r="G31" s="200"/>
      <c r="H31" s="146"/>
    </row>
    <row r="32" spans="1:8" x14ac:dyDescent="0.3">
      <c r="A32" s="1200"/>
      <c r="B32" s="1201"/>
      <c r="C32" s="200"/>
      <c r="D32" s="1205"/>
      <c r="E32" s="201">
        <v>3</v>
      </c>
      <c r="F32" s="233">
        <f t="shared" si="1"/>
        <v>0.75198060650995591</v>
      </c>
      <c r="G32" s="200"/>
      <c r="H32" s="146"/>
    </row>
    <row r="33" spans="1:8" x14ac:dyDescent="0.3">
      <c r="A33" s="1200"/>
      <c r="B33" s="1201"/>
      <c r="C33" s="200"/>
      <c r="D33" s="1205"/>
      <c r="E33" s="201">
        <v>3.5</v>
      </c>
      <c r="F33" s="233">
        <f t="shared" si="1"/>
        <v>0.71916385172655795</v>
      </c>
      <c r="G33" s="200"/>
      <c r="H33" s="146"/>
    </row>
    <row r="34" spans="1:8" x14ac:dyDescent="0.3">
      <c r="A34" s="1200"/>
      <c r="B34" s="1201"/>
      <c r="C34" s="200"/>
      <c r="D34" s="1205"/>
      <c r="E34" s="201">
        <v>4</v>
      </c>
      <c r="F34" s="233">
        <f t="shared" si="1"/>
        <v>0.68833879485347305</v>
      </c>
      <c r="G34" s="200"/>
      <c r="H34" s="146"/>
    </row>
    <row r="35" spans="1:8" x14ac:dyDescent="0.3">
      <c r="A35" s="1200"/>
      <c r="B35" s="1201"/>
      <c r="C35" s="200"/>
      <c r="D35" s="1205"/>
      <c r="E35" s="201">
        <v>4.5</v>
      </c>
      <c r="F35" s="233">
        <f t="shared" si="1"/>
        <v>0.65936704473266761</v>
      </c>
      <c r="G35" s="200"/>
      <c r="H35" s="146"/>
    </row>
    <row r="36" spans="1:8" x14ac:dyDescent="0.3">
      <c r="A36" s="1200"/>
      <c r="B36" s="1201"/>
      <c r="C36" s="200"/>
      <c r="D36" s="1205"/>
      <c r="E36" s="201">
        <v>5</v>
      </c>
      <c r="F36" s="233">
        <f t="shared" si="1"/>
        <v>0.63212055882855767</v>
      </c>
      <c r="G36" s="200"/>
      <c r="H36" s="146"/>
    </row>
    <row r="37" spans="1:8" x14ac:dyDescent="0.3">
      <c r="A37" s="1200"/>
      <c r="B37" s="1201"/>
      <c r="C37" s="200"/>
      <c r="D37" s="1205"/>
      <c r="E37" s="201">
        <v>5.5</v>
      </c>
      <c r="F37" s="233">
        <f t="shared" si="1"/>
        <v>0.60648083300174582</v>
      </c>
      <c r="G37" s="200"/>
      <c r="H37" s="146"/>
    </row>
    <row r="38" spans="1:8" x14ac:dyDescent="0.3">
      <c r="A38" s="1200"/>
      <c r="B38" s="1201"/>
      <c r="C38" s="200"/>
      <c r="D38" s="1205"/>
      <c r="E38" s="201">
        <v>6</v>
      </c>
      <c r="F38" s="233">
        <f t="shared" si="1"/>
        <v>0.58233815673983158</v>
      </c>
      <c r="G38" s="200"/>
      <c r="H38" s="146"/>
    </row>
    <row r="39" spans="1:8" x14ac:dyDescent="0.3">
      <c r="A39" s="1200"/>
      <c r="B39" s="1201"/>
      <c r="C39" s="200"/>
      <c r="D39" s="1205"/>
      <c r="E39" s="201">
        <v>6.5</v>
      </c>
      <c r="F39" s="233">
        <f t="shared" si="1"/>
        <v>0.55959092843537495</v>
      </c>
      <c r="G39" s="200"/>
      <c r="H39" s="146"/>
    </row>
    <row r="40" spans="1:8" x14ac:dyDescent="0.3">
      <c r="A40" s="1200"/>
      <c r="B40" s="1201"/>
      <c r="C40" s="200"/>
      <c r="D40" s="1205"/>
      <c r="E40" s="201">
        <v>7</v>
      </c>
      <c r="F40" s="233">
        <f t="shared" si="1"/>
        <v>0.53814502575599532</v>
      </c>
      <c r="G40" s="200"/>
      <c r="H40" s="146"/>
    </row>
    <row r="41" spans="1:8" x14ac:dyDescent="0.3">
      <c r="A41" s="1200"/>
      <c r="B41" s="1201"/>
      <c r="C41" s="200"/>
      <c r="D41" s="1205"/>
      <c r="E41" s="201">
        <v>7.5</v>
      </c>
      <c r="F41" s="233">
        <f t="shared" si="1"/>
        <v>0.51791322656771344</v>
      </c>
      <c r="G41" s="200"/>
      <c r="H41" s="146"/>
    </row>
    <row r="42" spans="1:8" x14ac:dyDescent="0.3">
      <c r="A42" s="1200"/>
      <c r="B42" s="1201"/>
      <c r="C42" s="200"/>
      <c r="D42" s="1205"/>
      <c r="E42" s="201">
        <v>8</v>
      </c>
      <c r="F42" s="233">
        <f t="shared" si="1"/>
        <v>0.49881467625334036</v>
      </c>
      <c r="G42" s="200"/>
      <c r="H42" s="146"/>
    </row>
    <row r="43" spans="1:8" x14ac:dyDescent="0.3">
      <c r="A43" s="1200"/>
      <c r="B43" s="1201"/>
      <c r="C43" s="200"/>
      <c r="D43" s="1205"/>
      <c r="E43" s="201">
        <v>8.5</v>
      </c>
      <c r="F43" s="233">
        <f t="shared" si="1"/>
        <v>0.48077439761603841</v>
      </c>
      <c r="G43" s="200"/>
      <c r="H43" s="146"/>
    </row>
    <row r="44" spans="1:8" x14ac:dyDescent="0.3">
      <c r="A44" s="1200"/>
      <c r="B44" s="1201"/>
      <c r="C44" s="201" t="s">
        <v>946</v>
      </c>
      <c r="D44" s="1205"/>
      <c r="E44" s="201">
        <v>9</v>
      </c>
      <c r="F44" s="233">
        <f t="shared" si="1"/>
        <v>0.46372283987689633</v>
      </c>
      <c r="G44" s="200"/>
      <c r="H44" s="146"/>
    </row>
    <row r="45" spans="1:8" x14ac:dyDescent="0.3">
      <c r="A45" s="1200"/>
      <c r="B45" s="1201"/>
      <c r="C45" s="200"/>
      <c r="D45" s="1205"/>
      <c r="E45" s="201">
        <v>9.5</v>
      </c>
      <c r="F45" s="233">
        <f t="shared" si="1"/>
        <v>0.44759546356703411</v>
      </c>
      <c r="G45" s="200"/>
      <c r="H45" s="146"/>
    </row>
    <row r="46" spans="1:8" ht="15" thickBot="1" x14ac:dyDescent="0.35">
      <c r="A46" s="1202"/>
      <c r="B46" s="1203"/>
      <c r="C46" s="205"/>
      <c r="D46" s="1206"/>
      <c r="E46" s="202">
        <v>10</v>
      </c>
      <c r="F46" s="234">
        <f t="shared" si="1"/>
        <v>0.43233235838169365</v>
      </c>
      <c r="G46" s="76"/>
      <c r="H46" s="146"/>
    </row>
    <row r="47" spans="1:8" x14ac:dyDescent="0.3">
      <c r="A47" s="1198" t="s">
        <v>948</v>
      </c>
      <c r="B47" s="1199"/>
      <c r="C47" s="191"/>
      <c r="D47" s="1204">
        <f>'1. USER INPUTS'!$E$17</f>
        <v>0.1</v>
      </c>
      <c r="E47" s="186">
        <v>0.1</v>
      </c>
      <c r="F47" s="228">
        <f t="shared" ref="F47:F67" si="2">(1/(1+E47*$D$47))</f>
        <v>0.99009900990099009</v>
      </c>
      <c r="G47" s="76"/>
      <c r="H47" s="146"/>
    </row>
    <row r="48" spans="1:8" x14ac:dyDescent="0.3">
      <c r="A48" s="1200"/>
      <c r="B48" s="1201"/>
      <c r="C48" s="192"/>
      <c r="D48" s="1205"/>
      <c r="E48" s="201">
        <v>0.5</v>
      </c>
      <c r="F48" s="233">
        <f t="shared" si="2"/>
        <v>0.95238095238095233</v>
      </c>
      <c r="G48" s="76"/>
      <c r="H48" s="146"/>
    </row>
    <row r="49" spans="1:8" x14ac:dyDescent="0.3">
      <c r="A49" s="1200"/>
      <c r="B49" s="1201"/>
      <c r="C49" s="192"/>
      <c r="D49" s="1205"/>
      <c r="E49" s="201">
        <v>1</v>
      </c>
      <c r="F49" s="233">
        <f t="shared" si="2"/>
        <v>0.90909090909090906</v>
      </c>
      <c r="G49" s="76"/>
      <c r="H49" s="146"/>
    </row>
    <row r="50" spans="1:8" x14ac:dyDescent="0.3">
      <c r="A50" s="1200"/>
      <c r="B50" s="1201"/>
      <c r="C50" s="192"/>
      <c r="D50" s="1205"/>
      <c r="E50" s="201">
        <v>1.5</v>
      </c>
      <c r="F50" s="233">
        <f t="shared" si="2"/>
        <v>0.86956521739130443</v>
      </c>
      <c r="G50" s="76"/>
      <c r="H50" s="146"/>
    </row>
    <row r="51" spans="1:8" x14ac:dyDescent="0.3">
      <c r="A51" s="1200"/>
      <c r="B51" s="1201"/>
      <c r="C51" s="192"/>
      <c r="D51" s="1205"/>
      <c r="E51" s="201">
        <v>2</v>
      </c>
      <c r="F51" s="233">
        <f t="shared" si="2"/>
        <v>0.83333333333333337</v>
      </c>
      <c r="G51" s="76"/>
      <c r="H51" s="146"/>
    </row>
    <row r="52" spans="1:8" x14ac:dyDescent="0.3">
      <c r="A52" s="1200"/>
      <c r="B52" s="1201"/>
      <c r="C52" s="192"/>
      <c r="D52" s="1205"/>
      <c r="E52" s="201">
        <v>2.5</v>
      </c>
      <c r="F52" s="233">
        <f t="shared" si="2"/>
        <v>0.8</v>
      </c>
      <c r="G52" s="76"/>
      <c r="H52" s="146"/>
    </row>
    <row r="53" spans="1:8" x14ac:dyDescent="0.3">
      <c r="A53" s="1200"/>
      <c r="B53" s="1201"/>
      <c r="C53" s="192"/>
      <c r="D53" s="1205"/>
      <c r="E53" s="201">
        <v>3</v>
      </c>
      <c r="F53" s="233">
        <f t="shared" si="2"/>
        <v>0.76923076923076916</v>
      </c>
      <c r="G53" s="76"/>
      <c r="H53" s="146"/>
    </row>
    <row r="54" spans="1:8" x14ac:dyDescent="0.3">
      <c r="A54" s="1200"/>
      <c r="B54" s="1201"/>
      <c r="C54" s="192"/>
      <c r="D54" s="1205"/>
      <c r="E54" s="201">
        <v>3.5</v>
      </c>
      <c r="F54" s="233">
        <f t="shared" si="2"/>
        <v>0.7407407407407407</v>
      </c>
      <c r="G54" s="76"/>
      <c r="H54" s="146"/>
    </row>
    <row r="55" spans="1:8" x14ac:dyDescent="0.3">
      <c r="A55" s="1200"/>
      <c r="B55" s="1201"/>
      <c r="C55" s="192"/>
      <c r="D55" s="1205"/>
      <c r="E55" s="201">
        <v>4</v>
      </c>
      <c r="F55" s="233">
        <f t="shared" si="2"/>
        <v>0.7142857142857143</v>
      </c>
      <c r="G55" s="76"/>
      <c r="H55" s="146"/>
    </row>
    <row r="56" spans="1:8" x14ac:dyDescent="0.3">
      <c r="A56" s="1200"/>
      <c r="B56" s="1201"/>
      <c r="C56" s="192"/>
      <c r="D56" s="1205"/>
      <c r="E56" s="201">
        <v>4.5</v>
      </c>
      <c r="F56" s="233">
        <f t="shared" si="2"/>
        <v>0.68965517241379315</v>
      </c>
      <c r="G56" s="76"/>
      <c r="H56" s="146"/>
    </row>
    <row r="57" spans="1:8" x14ac:dyDescent="0.3">
      <c r="A57" s="1200"/>
      <c r="B57" s="1201"/>
      <c r="C57" s="192"/>
      <c r="D57" s="1205"/>
      <c r="E57" s="201">
        <v>5</v>
      </c>
      <c r="F57" s="233">
        <f t="shared" si="2"/>
        <v>0.66666666666666663</v>
      </c>
      <c r="G57" s="76"/>
      <c r="H57" s="146"/>
    </row>
    <row r="58" spans="1:8" x14ac:dyDescent="0.3">
      <c r="A58" s="1200"/>
      <c r="B58" s="1201"/>
      <c r="C58" s="192"/>
      <c r="D58" s="1205"/>
      <c r="E58" s="201">
        <v>5.5</v>
      </c>
      <c r="F58" s="233">
        <f t="shared" si="2"/>
        <v>0.64516129032258063</v>
      </c>
      <c r="G58" s="76"/>
      <c r="H58" s="146"/>
    </row>
    <row r="59" spans="1:8" x14ac:dyDescent="0.3">
      <c r="A59" s="1200"/>
      <c r="B59" s="1201"/>
      <c r="C59" s="192"/>
      <c r="D59" s="1205"/>
      <c r="E59" s="201">
        <v>6</v>
      </c>
      <c r="F59" s="233">
        <f t="shared" si="2"/>
        <v>0.625</v>
      </c>
      <c r="G59" s="76"/>
      <c r="H59" s="146"/>
    </row>
    <row r="60" spans="1:8" x14ac:dyDescent="0.3">
      <c r="A60" s="1200"/>
      <c r="B60" s="1201"/>
      <c r="C60" s="192"/>
      <c r="D60" s="1205"/>
      <c r="E60" s="201">
        <v>6.5</v>
      </c>
      <c r="F60" s="233">
        <f t="shared" si="2"/>
        <v>0.60606060606060608</v>
      </c>
      <c r="G60" s="76"/>
      <c r="H60" s="146"/>
    </row>
    <row r="61" spans="1:8" x14ac:dyDescent="0.3">
      <c r="A61" s="1200"/>
      <c r="B61" s="1201"/>
      <c r="C61" s="192"/>
      <c r="D61" s="1205"/>
      <c r="E61" s="201">
        <v>7</v>
      </c>
      <c r="F61" s="233">
        <f t="shared" si="2"/>
        <v>0.58823529411764697</v>
      </c>
      <c r="G61" s="76"/>
      <c r="H61" s="146"/>
    </row>
    <row r="62" spans="1:8" x14ac:dyDescent="0.3">
      <c r="A62" s="1200"/>
      <c r="B62" s="1201"/>
      <c r="C62" s="192"/>
      <c r="D62" s="1205"/>
      <c r="E62" s="201">
        <v>7.5</v>
      </c>
      <c r="F62" s="233">
        <f t="shared" si="2"/>
        <v>0.5714285714285714</v>
      </c>
      <c r="G62" s="76"/>
      <c r="H62" s="146"/>
    </row>
    <row r="63" spans="1:8" x14ac:dyDescent="0.3">
      <c r="A63" s="1200"/>
      <c r="B63" s="1201"/>
      <c r="C63" s="192"/>
      <c r="D63" s="1205"/>
      <c r="E63" s="201">
        <v>8</v>
      </c>
      <c r="F63" s="233">
        <f t="shared" si="2"/>
        <v>0.55555555555555558</v>
      </c>
      <c r="G63" s="76"/>
      <c r="H63" s="146"/>
    </row>
    <row r="64" spans="1:8" x14ac:dyDescent="0.3">
      <c r="A64" s="1200"/>
      <c r="B64" s="1201"/>
      <c r="C64" s="192"/>
      <c r="D64" s="1205"/>
      <c r="E64" s="201">
        <v>8.5</v>
      </c>
      <c r="F64" s="233">
        <f t="shared" si="2"/>
        <v>0.54054054054054046</v>
      </c>
      <c r="G64" s="76"/>
      <c r="H64" s="146"/>
    </row>
    <row r="65" spans="1:8" x14ac:dyDescent="0.3">
      <c r="A65" s="1200"/>
      <c r="B65" s="1201"/>
      <c r="C65" s="192"/>
      <c r="D65" s="1205"/>
      <c r="E65" s="201">
        <v>9</v>
      </c>
      <c r="F65" s="233">
        <f t="shared" si="2"/>
        <v>0.52631578947368418</v>
      </c>
      <c r="G65" s="76"/>
      <c r="H65" s="146"/>
    </row>
    <row r="66" spans="1:8" x14ac:dyDescent="0.3">
      <c r="A66" s="1200"/>
      <c r="B66" s="1201"/>
      <c r="C66" s="192"/>
      <c r="D66" s="1205"/>
      <c r="E66" s="201">
        <v>9.5</v>
      </c>
      <c r="F66" s="233">
        <f t="shared" si="2"/>
        <v>0.51282051282051277</v>
      </c>
      <c r="G66" s="76"/>
      <c r="H66" s="146"/>
    </row>
    <row r="67" spans="1:8" ht="15" thickBot="1" x14ac:dyDescent="0.35">
      <c r="A67" s="1202"/>
      <c r="B67" s="1203"/>
      <c r="C67" s="193"/>
      <c r="D67" s="1206"/>
      <c r="E67" s="202">
        <v>10</v>
      </c>
      <c r="F67" s="234">
        <f t="shared" si="2"/>
        <v>0.5</v>
      </c>
      <c r="G67" s="230"/>
      <c r="H67" s="231"/>
    </row>
    <row r="68" spans="1:8" x14ac:dyDescent="0.3">
      <c r="A68" s="1198" t="s">
        <v>970</v>
      </c>
      <c r="B68" s="1199"/>
      <c r="C68" s="191"/>
      <c r="D68" s="1204">
        <f>'1. USER INPUTS'!$E$17</f>
        <v>0.1</v>
      </c>
      <c r="E68" s="186">
        <v>0.1</v>
      </c>
      <c r="F68" s="227">
        <f>EXP(-$D$68*E68)</f>
        <v>0.99004983374916811</v>
      </c>
      <c r="G68" s="76"/>
      <c r="H68" s="146"/>
    </row>
    <row r="69" spans="1:8" x14ac:dyDescent="0.3">
      <c r="A69" s="1200"/>
      <c r="B69" s="1201"/>
      <c r="C69" s="192"/>
      <c r="D69" s="1205"/>
      <c r="E69" s="201">
        <v>0.5</v>
      </c>
      <c r="F69" s="228">
        <f t="shared" ref="F69:F88" si="3">EXP(-$D$68*E69)</f>
        <v>0.95122942450071402</v>
      </c>
      <c r="G69" s="76"/>
      <c r="H69" s="146"/>
    </row>
    <row r="70" spans="1:8" x14ac:dyDescent="0.3">
      <c r="A70" s="1200"/>
      <c r="B70" s="1201"/>
      <c r="C70" s="192"/>
      <c r="D70" s="1205"/>
      <c r="E70" s="201">
        <v>1</v>
      </c>
      <c r="F70" s="228">
        <f t="shared" si="3"/>
        <v>0.90483741803595952</v>
      </c>
      <c r="G70" s="126"/>
      <c r="H70" s="232"/>
    </row>
    <row r="71" spans="1:8" x14ac:dyDescent="0.3">
      <c r="A71" s="1200"/>
      <c r="B71" s="1201"/>
      <c r="C71" s="192"/>
      <c r="D71" s="1205"/>
      <c r="E71" s="201">
        <v>1.5</v>
      </c>
      <c r="F71" s="228">
        <f t="shared" si="3"/>
        <v>0.86070797642505781</v>
      </c>
      <c r="G71" s="126"/>
      <c r="H71" s="232"/>
    </row>
    <row r="72" spans="1:8" x14ac:dyDescent="0.3">
      <c r="A72" s="1200"/>
      <c r="B72" s="1201"/>
      <c r="C72" s="192"/>
      <c r="D72" s="1205"/>
      <c r="E72" s="201">
        <v>2</v>
      </c>
      <c r="F72" s="228">
        <f t="shared" si="3"/>
        <v>0.81873075307798182</v>
      </c>
      <c r="G72" s="76"/>
      <c r="H72" s="146"/>
    </row>
    <row r="73" spans="1:8" x14ac:dyDescent="0.3">
      <c r="A73" s="1200"/>
      <c r="B73" s="1201"/>
      <c r="C73" s="192"/>
      <c r="D73" s="1205"/>
      <c r="E73" s="201">
        <v>2.5</v>
      </c>
      <c r="F73" s="228">
        <f t="shared" si="3"/>
        <v>0.77880078307140488</v>
      </c>
      <c r="G73" s="76"/>
      <c r="H73" s="146"/>
    </row>
    <row r="74" spans="1:8" x14ac:dyDescent="0.3">
      <c r="A74" s="1200"/>
      <c r="B74" s="1201"/>
      <c r="C74" s="192"/>
      <c r="D74" s="1205"/>
      <c r="E74" s="201">
        <v>3</v>
      </c>
      <c r="F74" s="228">
        <f t="shared" si="3"/>
        <v>0.74081822068171788</v>
      </c>
      <c r="G74" s="76"/>
      <c r="H74" s="146"/>
    </row>
    <row r="75" spans="1:8" x14ac:dyDescent="0.3">
      <c r="A75" s="1200"/>
      <c r="B75" s="1201"/>
      <c r="C75" s="192"/>
      <c r="D75" s="1205"/>
      <c r="E75" s="201">
        <v>3.5</v>
      </c>
      <c r="F75" s="228">
        <f t="shared" si="3"/>
        <v>0.70468808971871344</v>
      </c>
      <c r="G75" s="76"/>
      <c r="H75" s="146"/>
    </row>
    <row r="76" spans="1:8" x14ac:dyDescent="0.3">
      <c r="A76" s="1200"/>
      <c r="B76" s="1201"/>
      <c r="C76" s="192"/>
      <c r="D76" s="1205"/>
      <c r="E76" s="201">
        <v>4</v>
      </c>
      <c r="F76" s="228">
        <f t="shared" si="3"/>
        <v>0.67032004603563933</v>
      </c>
      <c r="G76" s="76"/>
      <c r="H76" s="146"/>
    </row>
    <row r="77" spans="1:8" x14ac:dyDescent="0.3">
      <c r="A77" s="1200"/>
      <c r="B77" s="1201"/>
      <c r="C77" s="192"/>
      <c r="D77" s="1205"/>
      <c r="E77" s="201">
        <v>4.5</v>
      </c>
      <c r="F77" s="228">
        <f t="shared" si="3"/>
        <v>0.63762815162177333</v>
      </c>
      <c r="G77" s="76"/>
      <c r="H77" s="146"/>
    </row>
    <row r="78" spans="1:8" x14ac:dyDescent="0.3">
      <c r="A78" s="1200"/>
      <c r="B78" s="1201"/>
      <c r="C78" s="192"/>
      <c r="D78" s="1205"/>
      <c r="E78" s="201">
        <v>5</v>
      </c>
      <c r="F78" s="228">
        <f t="shared" si="3"/>
        <v>0.60653065971263342</v>
      </c>
      <c r="G78" s="76"/>
      <c r="H78" s="146"/>
    </row>
    <row r="79" spans="1:8" x14ac:dyDescent="0.3">
      <c r="A79" s="1200"/>
      <c r="B79" s="1201"/>
      <c r="C79" s="192"/>
      <c r="D79" s="1205"/>
      <c r="E79" s="201">
        <v>5.5</v>
      </c>
      <c r="F79" s="228">
        <f t="shared" si="3"/>
        <v>0.57694981038048665</v>
      </c>
      <c r="G79" s="76"/>
      <c r="H79" s="146"/>
    </row>
    <row r="80" spans="1:8" x14ac:dyDescent="0.3">
      <c r="A80" s="1200"/>
      <c r="B80" s="1201"/>
      <c r="C80" s="192"/>
      <c r="D80" s="1205"/>
      <c r="E80" s="201">
        <v>6</v>
      </c>
      <c r="F80" s="228">
        <f t="shared" si="3"/>
        <v>0.54881163609402639</v>
      </c>
      <c r="G80" s="76"/>
      <c r="H80" s="146"/>
    </row>
    <row r="81" spans="1:8" x14ac:dyDescent="0.3">
      <c r="A81" s="1200"/>
      <c r="B81" s="1201"/>
      <c r="C81" s="192"/>
      <c r="D81" s="1205"/>
      <c r="E81" s="201">
        <v>6.5</v>
      </c>
      <c r="F81" s="228">
        <f t="shared" si="3"/>
        <v>0.52204577676101604</v>
      </c>
      <c r="G81" s="76"/>
      <c r="H81" s="146"/>
    </row>
    <row r="82" spans="1:8" x14ac:dyDescent="0.3">
      <c r="A82" s="1200"/>
      <c r="B82" s="1201"/>
      <c r="C82" s="192"/>
      <c r="D82" s="1205"/>
      <c r="E82" s="201">
        <v>7</v>
      </c>
      <c r="F82" s="228">
        <f t="shared" si="3"/>
        <v>0.49658530379140947</v>
      </c>
      <c r="G82" s="76"/>
      <c r="H82" s="146"/>
    </row>
    <row r="83" spans="1:8" x14ac:dyDescent="0.3">
      <c r="A83" s="1200"/>
      <c r="B83" s="1201"/>
      <c r="C83" s="192"/>
      <c r="D83" s="1205"/>
      <c r="E83" s="201">
        <v>7.5</v>
      </c>
      <c r="F83" s="228">
        <f t="shared" si="3"/>
        <v>0.47236655274101469</v>
      </c>
      <c r="G83" s="76"/>
      <c r="H83" s="146"/>
    </row>
    <row r="84" spans="1:8" x14ac:dyDescent="0.3">
      <c r="A84" s="1200"/>
      <c r="B84" s="1201"/>
      <c r="C84" s="192"/>
      <c r="D84" s="1205"/>
      <c r="E84" s="201">
        <v>8</v>
      </c>
      <c r="F84" s="228">
        <f t="shared" si="3"/>
        <v>0.44932896411722156</v>
      </c>
      <c r="G84" s="76"/>
      <c r="H84" s="146"/>
    </row>
    <row r="85" spans="1:8" x14ac:dyDescent="0.3">
      <c r="A85" s="1200"/>
      <c r="B85" s="1201"/>
      <c r="C85" s="192"/>
      <c r="D85" s="1205"/>
      <c r="E85" s="201">
        <v>8.5</v>
      </c>
      <c r="F85" s="228">
        <f t="shared" si="3"/>
        <v>0.42741493194872665</v>
      </c>
      <c r="G85" s="76"/>
      <c r="H85" s="146"/>
    </row>
    <row r="86" spans="1:8" x14ac:dyDescent="0.3">
      <c r="A86" s="1200"/>
      <c r="B86" s="1201"/>
      <c r="C86" s="192"/>
      <c r="D86" s="1205"/>
      <c r="E86" s="201">
        <v>9</v>
      </c>
      <c r="F86" s="228">
        <f t="shared" si="3"/>
        <v>0.40656965974059911</v>
      </c>
      <c r="G86" s="76"/>
      <c r="H86" s="146"/>
    </row>
    <row r="87" spans="1:8" x14ac:dyDescent="0.3">
      <c r="A87" s="1200"/>
      <c r="B87" s="1201"/>
      <c r="C87" s="192"/>
      <c r="D87" s="1205"/>
      <c r="E87" s="201">
        <v>9.5</v>
      </c>
      <c r="F87" s="228">
        <f t="shared" si="3"/>
        <v>0.38674102345450118</v>
      </c>
      <c r="G87" s="76"/>
      <c r="H87" s="146"/>
    </row>
    <row r="88" spans="1:8" ht="15" thickBot="1" x14ac:dyDescent="0.35">
      <c r="A88" s="1202"/>
      <c r="B88" s="1203"/>
      <c r="C88" s="193"/>
      <c r="D88" s="1206"/>
      <c r="E88" s="202">
        <v>10</v>
      </c>
      <c r="F88" s="229">
        <f t="shared" si="3"/>
        <v>0.36787944117144233</v>
      </c>
      <c r="G88" s="77"/>
      <c r="H88" s="148"/>
    </row>
  </sheetData>
  <sheetProtection algorithmName="SHA-512" hashValue="WYlsZVb4bixbdhViWdKPvkq7vlFcT5Hz/nj/tgmA8YiAqK7oX2j9jF69YeUAq4QCGr5qqWBulY2dhGIXWyG/OQ==" saltValue="XO+wxstUEcjXvWuOqS4p8A==" spinCount="100000" sheet="1" objects="1" scenarios="1"/>
  <mergeCells count="14">
    <mergeCell ref="H2:H3"/>
    <mergeCell ref="D47:D67"/>
    <mergeCell ref="D5:D25"/>
    <mergeCell ref="G2:G3"/>
    <mergeCell ref="D26:D46"/>
    <mergeCell ref="D2:E2"/>
    <mergeCell ref="A68:B88"/>
    <mergeCell ref="D68:D88"/>
    <mergeCell ref="A2:A3"/>
    <mergeCell ref="B2:B3"/>
    <mergeCell ref="C2:C3"/>
    <mergeCell ref="A5:B25"/>
    <mergeCell ref="A26:B46"/>
    <mergeCell ref="A47:B6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5932F-3FE1-4937-8650-FBFFA7100D17}">
  <dimension ref="A1:N101"/>
  <sheetViews>
    <sheetView zoomScale="85" zoomScaleNormal="85" workbookViewId="0"/>
  </sheetViews>
  <sheetFormatPr baseColWidth="10" defaultRowHeight="14.4" x14ac:dyDescent="0.3"/>
  <cols>
    <col min="1" max="1" width="22.33203125" bestFit="1" customWidth="1"/>
    <col min="2" max="2" width="28.77734375" customWidth="1"/>
    <col min="3" max="3" width="45.77734375" customWidth="1"/>
    <col min="4" max="4" width="19.33203125" bestFit="1" customWidth="1"/>
    <col min="5" max="5" width="19.77734375" bestFit="1" customWidth="1"/>
    <col min="6" max="6" width="30.33203125" bestFit="1" customWidth="1"/>
    <col min="7" max="7" width="14.109375" bestFit="1" customWidth="1"/>
    <col min="8" max="8" width="14.6640625" bestFit="1" customWidth="1"/>
    <col min="9" max="10" width="14.5546875" bestFit="1" customWidth="1"/>
    <col min="11" max="11" width="16.88671875" bestFit="1" customWidth="1"/>
    <col min="12" max="12" width="17.33203125" bestFit="1" customWidth="1"/>
    <col min="13" max="13" width="20.6640625" customWidth="1"/>
    <col min="14" max="14" width="24.109375" bestFit="1" customWidth="1"/>
  </cols>
  <sheetData>
    <row r="1" spans="1:14" ht="15" thickBot="1" x14ac:dyDescent="0.35">
      <c r="A1" t="s">
        <v>135</v>
      </c>
    </row>
    <row r="2" spans="1:14" x14ac:dyDescent="0.3">
      <c r="A2" s="1207" t="s">
        <v>949</v>
      </c>
      <c r="B2" s="1209" t="s">
        <v>939</v>
      </c>
      <c r="C2" s="1209" t="s">
        <v>355</v>
      </c>
      <c r="D2" s="1221" t="s">
        <v>211</v>
      </c>
      <c r="E2" s="1211"/>
      <c r="F2" s="1211"/>
      <c r="G2" s="1211"/>
      <c r="H2" s="1211"/>
      <c r="I2" s="1211"/>
      <c r="J2" s="1211"/>
      <c r="K2" s="1212"/>
      <c r="L2" s="1221" t="s">
        <v>213</v>
      </c>
      <c r="M2" s="1211"/>
      <c r="N2" s="1212"/>
    </row>
    <row r="3" spans="1:14" ht="15" thickBot="1" x14ac:dyDescent="0.35">
      <c r="A3" s="1208"/>
      <c r="B3" s="1210"/>
      <c r="C3" s="1210"/>
      <c r="D3" s="209" t="s">
        <v>950</v>
      </c>
      <c r="E3" s="208" t="s">
        <v>958</v>
      </c>
      <c r="F3" s="206" t="s">
        <v>957</v>
      </c>
      <c r="G3" s="206" t="s">
        <v>951</v>
      </c>
      <c r="H3" s="206" t="s">
        <v>959</v>
      </c>
      <c r="I3" s="206" t="s">
        <v>952</v>
      </c>
      <c r="J3" s="206" t="s">
        <v>960</v>
      </c>
      <c r="K3" s="210" t="s">
        <v>956</v>
      </c>
      <c r="L3" s="207" t="s">
        <v>954</v>
      </c>
      <c r="M3" s="206" t="s">
        <v>955</v>
      </c>
      <c r="N3" s="187" t="s">
        <v>953</v>
      </c>
    </row>
    <row r="4" spans="1:14" ht="15" thickBot="1" x14ac:dyDescent="0.35">
      <c r="B4" s="1"/>
    </row>
    <row r="5" spans="1:14" x14ac:dyDescent="0.3">
      <c r="A5" s="1222" t="s">
        <v>758</v>
      </c>
      <c r="B5" s="1223"/>
      <c r="C5" s="1224"/>
      <c r="D5" s="1213">
        <v>150</v>
      </c>
      <c r="E5" s="1213">
        <v>6</v>
      </c>
      <c r="F5" s="1216">
        <f>($D$5/2)-$E$5</f>
        <v>69</v>
      </c>
      <c r="G5" s="66">
        <v>1</v>
      </c>
      <c r="H5" s="1213">
        <v>0.06</v>
      </c>
      <c r="I5" s="66">
        <v>1</v>
      </c>
      <c r="J5" s="1213">
        <v>0.06</v>
      </c>
      <c r="K5" s="1219">
        <v>0.51</v>
      </c>
      <c r="L5" s="66">
        <f>(G5+H5)*(I5+J5)</f>
        <v>1.1236000000000002</v>
      </c>
      <c r="M5" s="66">
        <f>((G5+I5)+(H5+J5))/2</f>
        <v>1.06</v>
      </c>
      <c r="N5" s="211">
        <f>(PI()*($F$5^2)/L5)-(($K$5*2*PI()*($F$5)*M5)/L5)</f>
        <v>13103.195990854194</v>
      </c>
    </row>
    <row r="6" spans="1:14" x14ac:dyDescent="0.3">
      <c r="A6" s="1225"/>
      <c r="B6" s="1226"/>
      <c r="C6" s="1227"/>
      <c r="D6" s="1214"/>
      <c r="E6" s="1214"/>
      <c r="F6" s="1217"/>
      <c r="G6" s="67">
        <v>1.5</v>
      </c>
      <c r="H6" s="1214"/>
      <c r="I6" s="67">
        <v>1.5</v>
      </c>
      <c r="J6" s="1214"/>
      <c r="K6" s="1171"/>
      <c r="L6" s="67">
        <f t="shared" ref="L6:L27" si="0">(G6+H6)*(I6+J6)</f>
        <v>2.25</v>
      </c>
      <c r="M6" s="67">
        <f t="shared" ref="M6:M27" si="1">((G6+I6)+(H6+J6))/2</f>
        <v>1.5</v>
      </c>
      <c r="N6" s="212">
        <f t="shared" ref="N6:N27" si="2">(PI()*($F$5^2)/L6)-(($K$5*2*PI()*($F$5)*M6)/L6)</f>
        <v>6500.2065276895692</v>
      </c>
    </row>
    <row r="7" spans="1:14" x14ac:dyDescent="0.3">
      <c r="A7" s="1225"/>
      <c r="B7" s="1226"/>
      <c r="C7" s="1227"/>
      <c r="D7" s="1214"/>
      <c r="E7" s="1214"/>
      <c r="F7" s="1217"/>
      <c r="G7" s="67">
        <v>2</v>
      </c>
      <c r="H7" s="1214"/>
      <c r="I7" s="67">
        <v>2</v>
      </c>
      <c r="J7" s="1214"/>
      <c r="K7" s="1171"/>
      <c r="L7" s="67">
        <f t="shared" si="0"/>
        <v>4</v>
      </c>
      <c r="M7" s="67">
        <f t="shared" si="1"/>
        <v>2</v>
      </c>
      <c r="N7" s="212">
        <f t="shared" si="2"/>
        <v>3628.7280104554266</v>
      </c>
    </row>
    <row r="8" spans="1:14" x14ac:dyDescent="0.3">
      <c r="A8" s="1225"/>
      <c r="B8" s="1226"/>
      <c r="C8" s="1227"/>
      <c r="D8" s="1214"/>
      <c r="E8" s="1214"/>
      <c r="F8" s="1217"/>
      <c r="G8" s="67">
        <v>2.5</v>
      </c>
      <c r="H8" s="1214"/>
      <c r="I8" s="67">
        <v>2.5</v>
      </c>
      <c r="J8" s="1214"/>
      <c r="K8" s="1171"/>
      <c r="L8" s="67">
        <f t="shared" si="0"/>
        <v>6.25</v>
      </c>
      <c r="M8" s="67">
        <f t="shared" si="1"/>
        <v>2.5</v>
      </c>
      <c r="N8" s="212">
        <f t="shared" si="2"/>
        <v>2304.6975034147013</v>
      </c>
    </row>
    <row r="9" spans="1:14" x14ac:dyDescent="0.3">
      <c r="A9" s="1225"/>
      <c r="B9" s="1226"/>
      <c r="C9" s="1227"/>
      <c r="D9" s="1214"/>
      <c r="E9" s="1214"/>
      <c r="F9" s="1217"/>
      <c r="G9" s="67">
        <v>3</v>
      </c>
      <c r="H9" s="1214"/>
      <c r="I9" s="67">
        <v>3</v>
      </c>
      <c r="J9" s="1214"/>
      <c r="K9" s="1171"/>
      <c r="L9" s="67">
        <f t="shared" si="0"/>
        <v>9</v>
      </c>
      <c r="M9" s="67">
        <f t="shared" si="1"/>
        <v>3</v>
      </c>
      <c r="N9" s="212">
        <f t="shared" si="2"/>
        <v>1588.2007500957839</v>
      </c>
    </row>
    <row r="10" spans="1:14" ht="15" thickBot="1" x14ac:dyDescent="0.35">
      <c r="A10" s="1228"/>
      <c r="B10" s="1229"/>
      <c r="C10" s="1230"/>
      <c r="D10" s="1214"/>
      <c r="E10" s="1214"/>
      <c r="F10" s="1217"/>
      <c r="G10" s="67">
        <v>3.5</v>
      </c>
      <c r="H10" s="1214"/>
      <c r="I10" s="67">
        <v>3.5</v>
      </c>
      <c r="J10" s="1214"/>
      <c r="K10" s="1171"/>
      <c r="L10" s="67">
        <f t="shared" si="0"/>
        <v>12.25</v>
      </c>
      <c r="M10" s="67">
        <f t="shared" si="1"/>
        <v>3.5</v>
      </c>
      <c r="N10" s="212">
        <f t="shared" si="2"/>
        <v>1157.8166616638557</v>
      </c>
    </row>
    <row r="11" spans="1:14" x14ac:dyDescent="0.3">
      <c r="A11" s="215"/>
      <c r="B11" s="216"/>
      <c r="C11" s="217"/>
      <c r="D11" s="1214"/>
      <c r="E11" s="1214"/>
      <c r="F11" s="1217"/>
      <c r="G11" s="67">
        <v>4</v>
      </c>
      <c r="H11" s="1214"/>
      <c r="I11" s="67">
        <v>4</v>
      </c>
      <c r="J11" s="1214"/>
      <c r="K11" s="1171"/>
      <c r="L11" s="67">
        <f t="shared" si="0"/>
        <v>16</v>
      </c>
      <c r="M11" s="67">
        <f t="shared" si="1"/>
        <v>4</v>
      </c>
      <c r="N11" s="212">
        <f t="shared" si="2"/>
        <v>879.54384124390037</v>
      </c>
    </row>
    <row r="12" spans="1:14" x14ac:dyDescent="0.3">
      <c r="A12" s="75"/>
      <c r="C12" s="218"/>
      <c r="D12" s="1214"/>
      <c r="E12" s="1214"/>
      <c r="F12" s="1217"/>
      <c r="G12" s="67">
        <v>4.5</v>
      </c>
      <c r="H12" s="1214"/>
      <c r="I12" s="67">
        <v>4.5</v>
      </c>
      <c r="J12" s="1214"/>
      <c r="K12" s="1171"/>
      <c r="L12" s="67">
        <f t="shared" si="0"/>
        <v>20.25</v>
      </c>
      <c r="M12" s="67">
        <f t="shared" si="1"/>
        <v>4.5</v>
      </c>
      <c r="N12" s="212">
        <f t="shared" si="2"/>
        <v>689.48883034185587</v>
      </c>
    </row>
    <row r="13" spans="1:14" x14ac:dyDescent="0.3">
      <c r="A13" s="75"/>
      <c r="C13" s="218"/>
      <c r="D13" s="1214"/>
      <c r="E13" s="1214"/>
      <c r="F13" s="1217"/>
      <c r="G13" s="67">
        <v>5</v>
      </c>
      <c r="H13" s="1214"/>
      <c r="I13" s="67">
        <v>5</v>
      </c>
      <c r="J13" s="1214"/>
      <c r="K13" s="1171"/>
      <c r="L13" s="67">
        <f t="shared" si="0"/>
        <v>25</v>
      </c>
      <c r="M13" s="67">
        <f t="shared" si="1"/>
        <v>5</v>
      </c>
      <c r="N13" s="212">
        <f t="shared" si="2"/>
        <v>554.06384675771028</v>
      </c>
    </row>
    <row r="14" spans="1:14" x14ac:dyDescent="0.3">
      <c r="A14" s="75"/>
      <c r="C14" s="218"/>
      <c r="D14" s="1214"/>
      <c r="E14" s="1214"/>
      <c r="F14" s="1217"/>
      <c r="G14" s="67">
        <v>5.5</v>
      </c>
      <c r="H14" s="1214"/>
      <c r="I14" s="67">
        <v>5.5</v>
      </c>
      <c r="J14" s="1214"/>
      <c r="K14" s="1171"/>
      <c r="L14" s="67">
        <f t="shared" si="0"/>
        <v>30.25</v>
      </c>
      <c r="M14" s="67">
        <f t="shared" si="1"/>
        <v>5.5</v>
      </c>
      <c r="N14" s="212">
        <f t="shared" si="2"/>
        <v>454.24937267646055</v>
      </c>
    </row>
    <row r="15" spans="1:14" x14ac:dyDescent="0.3">
      <c r="A15" s="75"/>
      <c r="C15" s="218"/>
      <c r="D15" s="1214"/>
      <c r="E15" s="1214"/>
      <c r="F15" s="1217"/>
      <c r="G15" s="67">
        <v>6</v>
      </c>
      <c r="H15" s="1214"/>
      <c r="I15" s="67">
        <v>6</v>
      </c>
      <c r="J15" s="1214"/>
      <c r="K15" s="1171"/>
      <c r="L15" s="67">
        <f t="shared" si="0"/>
        <v>36</v>
      </c>
      <c r="M15" s="67">
        <f t="shared" si="1"/>
        <v>6</v>
      </c>
      <c r="N15" s="212">
        <f t="shared" si="2"/>
        <v>378.62474661064186</v>
      </c>
    </row>
    <row r="16" spans="1:14" x14ac:dyDescent="0.3">
      <c r="A16" s="75"/>
      <c r="C16" s="218"/>
      <c r="D16" s="1214"/>
      <c r="E16" s="1214"/>
      <c r="F16" s="1217"/>
      <c r="G16" s="67">
        <v>6.5</v>
      </c>
      <c r="H16" s="1214"/>
      <c r="I16" s="67">
        <v>6.5</v>
      </c>
      <c r="J16" s="1214"/>
      <c r="K16" s="1171"/>
      <c r="L16" s="67">
        <f t="shared" si="0"/>
        <v>42.25</v>
      </c>
      <c r="M16" s="67">
        <f t="shared" si="1"/>
        <v>6.5</v>
      </c>
      <c r="N16" s="212">
        <f t="shared" si="2"/>
        <v>319.99853804741497</v>
      </c>
    </row>
    <row r="17" spans="1:14" x14ac:dyDescent="0.3">
      <c r="A17" s="75"/>
      <c r="C17" s="218"/>
      <c r="D17" s="1214"/>
      <c r="E17" s="1214"/>
      <c r="F17" s="1217"/>
      <c r="G17" s="67">
        <v>7</v>
      </c>
      <c r="H17" s="1214"/>
      <c r="I17" s="67">
        <v>7</v>
      </c>
      <c r="J17" s="1214"/>
      <c r="K17" s="1171"/>
      <c r="L17" s="67">
        <f t="shared" si="0"/>
        <v>49</v>
      </c>
      <c r="M17" s="67">
        <f t="shared" si="1"/>
        <v>7</v>
      </c>
      <c r="N17" s="212">
        <f t="shared" si="2"/>
        <v>273.66093034741749</v>
      </c>
    </row>
    <row r="18" spans="1:14" x14ac:dyDescent="0.3">
      <c r="A18" s="75"/>
      <c r="C18" s="218"/>
      <c r="D18" s="1214"/>
      <c r="E18" s="1214"/>
      <c r="F18" s="1217"/>
      <c r="G18" s="67">
        <v>7.5</v>
      </c>
      <c r="H18" s="1214"/>
      <c r="I18" s="67">
        <v>7.5</v>
      </c>
      <c r="J18" s="1214"/>
      <c r="K18" s="1171"/>
      <c r="L18" s="67">
        <f t="shared" si="0"/>
        <v>56.25</v>
      </c>
      <c r="M18" s="67">
        <f t="shared" si="1"/>
        <v>7.5</v>
      </c>
      <c r="N18" s="212">
        <f t="shared" si="2"/>
        <v>236.42369673855347</v>
      </c>
    </row>
    <row r="19" spans="1:14" x14ac:dyDescent="0.3">
      <c r="A19" s="75"/>
      <c r="C19" s="218"/>
      <c r="D19" s="1214"/>
      <c r="E19" s="1214"/>
      <c r="F19" s="1217"/>
      <c r="G19" s="67">
        <v>8</v>
      </c>
      <c r="H19" s="1214"/>
      <c r="I19" s="67">
        <v>8</v>
      </c>
      <c r="J19" s="1214"/>
      <c r="K19" s="1171"/>
      <c r="L19" s="67">
        <f t="shared" si="0"/>
        <v>64</v>
      </c>
      <c r="M19" s="67">
        <f t="shared" si="1"/>
        <v>8</v>
      </c>
      <c r="N19" s="212">
        <f t="shared" si="2"/>
        <v>206.06687962599699</v>
      </c>
    </row>
    <row r="20" spans="1:14" x14ac:dyDescent="0.3">
      <c r="A20" s="75"/>
      <c r="C20" s="218"/>
      <c r="D20" s="1214"/>
      <c r="E20" s="1214"/>
      <c r="F20" s="1217"/>
      <c r="G20" s="67">
        <v>8.5</v>
      </c>
      <c r="H20" s="1214"/>
      <c r="I20" s="67">
        <v>8.5</v>
      </c>
      <c r="J20" s="1214"/>
      <c r="K20" s="1171"/>
      <c r="L20" s="67">
        <f t="shared" si="0"/>
        <v>72.25</v>
      </c>
      <c r="M20" s="67">
        <f t="shared" si="1"/>
        <v>8.5</v>
      </c>
      <c r="N20" s="212">
        <f t="shared" si="2"/>
        <v>181.00661108074718</v>
      </c>
    </row>
    <row r="21" spans="1:14" x14ac:dyDescent="0.3">
      <c r="A21" s="75"/>
      <c r="C21" s="218"/>
      <c r="D21" s="1214"/>
      <c r="E21" s="1214"/>
      <c r="F21" s="1217"/>
      <c r="G21" s="67">
        <v>9</v>
      </c>
      <c r="H21" s="1214"/>
      <c r="I21" s="67">
        <v>9</v>
      </c>
      <c r="J21" s="1214"/>
      <c r="K21" s="1171"/>
      <c r="L21" s="67">
        <f t="shared" si="0"/>
        <v>81</v>
      </c>
      <c r="M21" s="67">
        <f t="shared" si="1"/>
        <v>9</v>
      </c>
      <c r="N21" s="212">
        <f t="shared" si="2"/>
        <v>160.08858030992786</v>
      </c>
    </row>
    <row r="22" spans="1:14" x14ac:dyDescent="0.3">
      <c r="A22" s="75"/>
      <c r="C22" s="218"/>
      <c r="D22" s="1214"/>
      <c r="E22" s="1214"/>
      <c r="F22" s="1217"/>
      <c r="G22" s="67">
        <v>9.5</v>
      </c>
      <c r="H22" s="1214"/>
      <c r="I22" s="67">
        <v>9.5</v>
      </c>
      <c r="J22" s="1214"/>
      <c r="K22" s="1171"/>
      <c r="L22" s="67">
        <f t="shared" si="0"/>
        <v>90.25</v>
      </c>
      <c r="M22" s="67">
        <f t="shared" si="1"/>
        <v>9.5</v>
      </c>
      <c r="N22" s="212">
        <f t="shared" si="2"/>
        <v>142.45564941412005</v>
      </c>
    </row>
    <row r="23" spans="1:14" x14ac:dyDescent="0.3">
      <c r="A23" s="75"/>
      <c r="C23" s="218"/>
      <c r="D23" s="1214"/>
      <c r="E23" s="1214"/>
      <c r="F23" s="1217"/>
      <c r="G23" s="67">
        <v>10</v>
      </c>
      <c r="H23" s="1214"/>
      <c r="I23" s="67">
        <v>10</v>
      </c>
      <c r="J23" s="1214"/>
      <c r="K23" s="1171"/>
      <c r="L23" s="67">
        <f t="shared" si="0"/>
        <v>100</v>
      </c>
      <c r="M23" s="67">
        <f t="shared" si="1"/>
        <v>10</v>
      </c>
      <c r="N23" s="212">
        <f t="shared" si="2"/>
        <v>127.4606971414451</v>
      </c>
    </row>
    <row r="24" spans="1:14" x14ac:dyDescent="0.3">
      <c r="A24" s="75"/>
      <c r="C24" s="218"/>
      <c r="D24" s="1214"/>
      <c r="E24" s="1214"/>
      <c r="F24" s="1217"/>
      <c r="G24" s="67">
        <v>10.5</v>
      </c>
      <c r="H24" s="1214"/>
      <c r="I24" s="67">
        <v>10.5</v>
      </c>
      <c r="J24" s="1214"/>
      <c r="K24" s="1171"/>
      <c r="L24" s="67">
        <f t="shared" si="0"/>
        <v>110.25</v>
      </c>
      <c r="M24" s="67">
        <f t="shared" si="1"/>
        <v>10.5</v>
      </c>
      <c r="N24" s="212">
        <f t="shared" si="2"/>
        <v>114.60786456838716</v>
      </c>
    </row>
    <row r="25" spans="1:14" x14ac:dyDescent="0.3">
      <c r="A25" s="75"/>
      <c r="C25" s="218"/>
      <c r="D25" s="1214"/>
      <c r="E25" s="1214"/>
      <c r="F25" s="1217"/>
      <c r="G25" s="67">
        <v>11</v>
      </c>
      <c r="H25" s="1214"/>
      <c r="I25" s="67">
        <v>11</v>
      </c>
      <c r="J25" s="1214"/>
      <c r="K25" s="1171"/>
      <c r="L25" s="67">
        <f t="shared" si="0"/>
        <v>121</v>
      </c>
      <c r="M25" s="67">
        <f t="shared" si="1"/>
        <v>11</v>
      </c>
      <c r="N25" s="212">
        <f t="shared" si="2"/>
        <v>103.51210267094925</v>
      </c>
    </row>
    <row r="26" spans="1:14" x14ac:dyDescent="0.3">
      <c r="A26" s="75"/>
      <c r="C26" s="218"/>
      <c r="D26" s="1214"/>
      <c r="E26" s="1214"/>
      <c r="F26" s="1217"/>
      <c r="G26" s="67">
        <v>11.5</v>
      </c>
      <c r="H26" s="1214"/>
      <c r="I26" s="67">
        <v>11.5</v>
      </c>
      <c r="J26" s="1214"/>
      <c r="K26" s="1171"/>
      <c r="L26" s="67">
        <f t="shared" si="0"/>
        <v>132.25</v>
      </c>
      <c r="M26" s="67">
        <f t="shared" si="1"/>
        <v>11.5</v>
      </c>
      <c r="N26" s="212">
        <f t="shared" si="2"/>
        <v>93.87078848926302</v>
      </c>
    </row>
    <row r="27" spans="1:14" ht="15" thickBot="1" x14ac:dyDescent="0.35">
      <c r="A27" s="75"/>
      <c r="C27" s="218"/>
      <c r="D27" s="1215"/>
      <c r="E27" s="1215"/>
      <c r="F27" s="1218"/>
      <c r="G27" s="69">
        <v>12</v>
      </c>
      <c r="H27" s="1215"/>
      <c r="I27" s="69">
        <v>12</v>
      </c>
      <c r="J27" s="1215"/>
      <c r="K27" s="1220"/>
      <c r="L27" s="69">
        <f t="shared" si="0"/>
        <v>144</v>
      </c>
      <c r="M27" s="69">
        <f t="shared" si="1"/>
        <v>12</v>
      </c>
      <c r="N27" s="214">
        <f t="shared" si="2"/>
        <v>85.443466196008387</v>
      </c>
    </row>
    <row r="28" spans="1:14" x14ac:dyDescent="0.3">
      <c r="A28" s="75"/>
      <c r="C28" s="218"/>
      <c r="D28" s="1213">
        <v>200</v>
      </c>
      <c r="E28" s="1213">
        <v>6</v>
      </c>
      <c r="F28" s="1216">
        <f>($D$28/2)-$E$28</f>
        <v>94</v>
      </c>
      <c r="G28" s="66">
        <v>1</v>
      </c>
      <c r="H28" s="1213">
        <v>0.06</v>
      </c>
      <c r="I28" s="66">
        <v>1</v>
      </c>
      <c r="J28" s="1213">
        <v>0.06</v>
      </c>
      <c r="K28" s="1219">
        <v>0.51</v>
      </c>
      <c r="L28" s="66">
        <f>(G28+H28)*(I28+J28)</f>
        <v>1.1236000000000002</v>
      </c>
      <c r="M28" s="186">
        <f>((G28+I28)+(H28+J28))/2</f>
        <v>1.06</v>
      </c>
      <c r="N28" s="211">
        <f>(PI()*($F$28^2)/L28)-(($K$28*2*PI()*($F$28)*M28)/L28)</f>
        <v>24421.345522673237</v>
      </c>
    </row>
    <row r="29" spans="1:14" x14ac:dyDescent="0.3">
      <c r="A29" s="75"/>
      <c r="C29" s="218"/>
      <c r="D29" s="1214"/>
      <c r="E29" s="1214"/>
      <c r="F29" s="1217"/>
      <c r="G29" s="67">
        <v>1.5</v>
      </c>
      <c r="H29" s="1214"/>
      <c r="I29" s="67">
        <v>1.5</v>
      </c>
      <c r="J29" s="1214"/>
      <c r="K29" s="1171"/>
      <c r="L29" s="67">
        <f t="shared" ref="L29:L50" si="3">(G29+H29)*(I29+J29)</f>
        <v>2.25</v>
      </c>
      <c r="M29" s="201">
        <f t="shared" ref="M29:M50" si="4">((G29+I29)+(H29+J29))/2</f>
        <v>1.5</v>
      </c>
      <c r="N29" s="212">
        <f t="shared" ref="N29:N50" si="5">(PI()*($F$28^2)/L29)-(($K$28*2*PI()*($F$28)*M29)/L29)</f>
        <v>12136.572814080058</v>
      </c>
    </row>
    <row r="30" spans="1:14" x14ac:dyDescent="0.3">
      <c r="A30" s="75"/>
      <c r="C30" s="218"/>
      <c r="D30" s="1214"/>
      <c r="E30" s="1214"/>
      <c r="F30" s="1217"/>
      <c r="G30" s="67">
        <v>2</v>
      </c>
      <c r="H30" s="1214"/>
      <c r="I30" s="67">
        <v>2</v>
      </c>
      <c r="J30" s="1214"/>
      <c r="K30" s="1171"/>
      <c r="L30" s="67">
        <f t="shared" si="3"/>
        <v>4</v>
      </c>
      <c r="M30" s="201">
        <f t="shared" si="4"/>
        <v>2</v>
      </c>
      <c r="N30" s="212">
        <f t="shared" si="5"/>
        <v>6789.1702199667589</v>
      </c>
    </row>
    <row r="31" spans="1:14" x14ac:dyDescent="0.3">
      <c r="A31" s="75"/>
      <c r="C31" s="218"/>
      <c r="D31" s="1214"/>
      <c r="E31" s="1214"/>
      <c r="F31" s="1217"/>
      <c r="G31" s="67">
        <v>2.5</v>
      </c>
      <c r="H31" s="1214"/>
      <c r="I31" s="67">
        <v>2.5</v>
      </c>
      <c r="J31" s="1214"/>
      <c r="K31" s="1171"/>
      <c r="L31" s="67">
        <f t="shared" si="3"/>
        <v>6.25</v>
      </c>
      <c r="M31" s="201">
        <f t="shared" si="4"/>
        <v>2.5</v>
      </c>
      <c r="N31" s="212">
        <f t="shared" si="5"/>
        <v>4320.9716684886307</v>
      </c>
    </row>
    <row r="32" spans="1:14" x14ac:dyDescent="0.3">
      <c r="A32" s="75"/>
      <c r="C32" s="218"/>
      <c r="D32" s="1214"/>
      <c r="E32" s="1214"/>
      <c r="F32" s="1217"/>
      <c r="G32" s="67">
        <v>3</v>
      </c>
      <c r="H32" s="1214"/>
      <c r="I32" s="67">
        <v>3</v>
      </c>
      <c r="J32" s="1214"/>
      <c r="K32" s="1171"/>
      <c r="L32" s="67">
        <f t="shared" si="3"/>
        <v>9</v>
      </c>
      <c r="M32" s="201">
        <f t="shared" si="4"/>
        <v>3</v>
      </c>
      <c r="N32" s="212">
        <f t="shared" si="5"/>
        <v>2983.9405529156497</v>
      </c>
    </row>
    <row r="33" spans="1:14" x14ac:dyDescent="0.3">
      <c r="A33" s="75"/>
      <c r="C33" s="218"/>
      <c r="D33" s="1214"/>
      <c r="E33" s="1214"/>
      <c r="F33" s="1217"/>
      <c r="G33" s="67">
        <v>3.5</v>
      </c>
      <c r="H33" s="1214"/>
      <c r="I33" s="67">
        <v>3.5</v>
      </c>
      <c r="J33" s="1214"/>
      <c r="K33" s="1171"/>
      <c r="L33" s="67">
        <f t="shared" si="3"/>
        <v>12.25</v>
      </c>
      <c r="M33" s="201">
        <f t="shared" si="4"/>
        <v>3.5</v>
      </c>
      <c r="N33" s="212">
        <f t="shared" si="5"/>
        <v>2179.9883285247142</v>
      </c>
    </row>
    <row r="34" spans="1:14" x14ac:dyDescent="0.3">
      <c r="A34" s="75"/>
      <c r="C34" s="218"/>
      <c r="D34" s="1214"/>
      <c r="E34" s="1214"/>
      <c r="F34" s="1217"/>
      <c r="G34" s="67">
        <v>4</v>
      </c>
      <c r="H34" s="1214"/>
      <c r="I34" s="67">
        <v>4</v>
      </c>
      <c r="J34" s="1214"/>
      <c r="K34" s="1171"/>
      <c r="L34" s="67">
        <f t="shared" si="3"/>
        <v>16</v>
      </c>
      <c r="M34" s="201">
        <f t="shared" si="4"/>
        <v>4</v>
      </c>
      <c r="N34" s="212">
        <f t="shared" si="5"/>
        <v>1659.6405670384161</v>
      </c>
    </row>
    <row r="35" spans="1:14" x14ac:dyDescent="0.3">
      <c r="A35" s="75"/>
      <c r="C35" s="218"/>
      <c r="D35" s="1214"/>
      <c r="E35" s="1214"/>
      <c r="F35" s="1217"/>
      <c r="G35" s="67">
        <v>4.5</v>
      </c>
      <c r="H35" s="1214"/>
      <c r="I35" s="67">
        <v>4.5</v>
      </c>
      <c r="J35" s="1214"/>
      <c r="K35" s="1171"/>
      <c r="L35" s="67">
        <f t="shared" si="3"/>
        <v>20.25</v>
      </c>
      <c r="M35" s="201">
        <f t="shared" si="4"/>
        <v>4.5</v>
      </c>
      <c r="N35" s="212">
        <f t="shared" si="5"/>
        <v>1303.8835121383488</v>
      </c>
    </row>
    <row r="36" spans="1:14" x14ac:dyDescent="0.3">
      <c r="A36" s="75"/>
      <c r="C36" s="218"/>
      <c r="D36" s="1214"/>
      <c r="E36" s="1214"/>
      <c r="F36" s="1217"/>
      <c r="G36" s="67">
        <v>5</v>
      </c>
      <c r="H36" s="1214"/>
      <c r="I36" s="67">
        <v>5</v>
      </c>
      <c r="J36" s="1214"/>
      <c r="K36" s="1171"/>
      <c r="L36" s="67">
        <f t="shared" si="3"/>
        <v>25</v>
      </c>
      <c r="M36" s="201">
        <f t="shared" si="4"/>
        <v>5</v>
      </c>
      <c r="N36" s="212">
        <f t="shared" si="5"/>
        <v>1050.1213267595388</v>
      </c>
    </row>
    <row r="37" spans="1:14" x14ac:dyDescent="0.3">
      <c r="A37" s="75"/>
      <c r="C37" s="218"/>
      <c r="D37" s="1214"/>
      <c r="E37" s="1214"/>
      <c r="F37" s="1217"/>
      <c r="G37" s="67">
        <v>5.5</v>
      </c>
      <c r="H37" s="1214"/>
      <c r="I37" s="67">
        <v>5.5</v>
      </c>
      <c r="J37" s="1214"/>
      <c r="K37" s="1171"/>
      <c r="L37" s="67">
        <f t="shared" si="3"/>
        <v>30.25</v>
      </c>
      <c r="M37" s="201">
        <f t="shared" si="4"/>
        <v>5.5</v>
      </c>
      <c r="N37" s="212">
        <f t="shared" si="5"/>
        <v>862.89008982397922</v>
      </c>
    </row>
    <row r="38" spans="1:14" x14ac:dyDescent="0.3">
      <c r="A38" s="75"/>
      <c r="C38" s="218"/>
      <c r="D38" s="1214"/>
      <c r="E38" s="1214"/>
      <c r="F38" s="1217"/>
      <c r="G38" s="67">
        <v>6</v>
      </c>
      <c r="H38" s="1214"/>
      <c r="I38" s="67">
        <v>6</v>
      </c>
      <c r="J38" s="1214"/>
      <c r="K38" s="1171"/>
      <c r="L38" s="67">
        <f t="shared" si="3"/>
        <v>36</v>
      </c>
      <c r="M38" s="201">
        <f t="shared" si="4"/>
        <v>6</v>
      </c>
      <c r="N38" s="212">
        <f t="shared" si="5"/>
        <v>720.88381292673</v>
      </c>
    </row>
    <row r="39" spans="1:14" x14ac:dyDescent="0.3">
      <c r="A39" s="75"/>
      <c r="C39" s="218"/>
      <c r="D39" s="1214"/>
      <c r="E39" s="1214"/>
      <c r="F39" s="1217"/>
      <c r="G39" s="67">
        <v>6.5</v>
      </c>
      <c r="H39" s="1214"/>
      <c r="I39" s="67">
        <v>6.5</v>
      </c>
      <c r="J39" s="1214"/>
      <c r="K39" s="1171"/>
      <c r="L39" s="67">
        <f t="shared" si="3"/>
        <v>42.25</v>
      </c>
      <c r="M39" s="201">
        <f t="shared" si="4"/>
        <v>6.5</v>
      </c>
      <c r="N39" s="212">
        <f t="shared" si="5"/>
        <v>610.67951037986222</v>
      </c>
    </row>
    <row r="40" spans="1:14" x14ac:dyDescent="0.3">
      <c r="A40" s="75"/>
      <c r="C40" s="218"/>
      <c r="D40" s="1214"/>
      <c r="E40" s="1214"/>
      <c r="F40" s="1217"/>
      <c r="G40" s="67">
        <v>7</v>
      </c>
      <c r="H40" s="1214"/>
      <c r="I40" s="67">
        <v>7</v>
      </c>
      <c r="J40" s="1214"/>
      <c r="K40" s="1171"/>
      <c r="L40" s="67">
        <f t="shared" si="3"/>
        <v>49</v>
      </c>
      <c r="M40" s="201">
        <f t="shared" si="4"/>
        <v>7</v>
      </c>
      <c r="N40" s="212">
        <f t="shared" si="5"/>
        <v>523.48166044359368</v>
      </c>
    </row>
    <row r="41" spans="1:14" x14ac:dyDescent="0.3">
      <c r="A41" s="75"/>
      <c r="C41" s="218"/>
      <c r="D41" s="1214"/>
      <c r="E41" s="1214"/>
      <c r="F41" s="1217"/>
      <c r="G41" s="67">
        <v>7.5</v>
      </c>
      <c r="H41" s="1214"/>
      <c r="I41" s="67">
        <v>7.5</v>
      </c>
      <c r="J41" s="1214"/>
      <c r="K41" s="1171"/>
      <c r="L41" s="67">
        <f t="shared" si="3"/>
        <v>56.25</v>
      </c>
      <c r="M41" s="201">
        <f t="shared" si="4"/>
        <v>7.5</v>
      </c>
      <c r="N41" s="212">
        <f t="shared" si="5"/>
        <v>453.33321617640883</v>
      </c>
    </row>
    <row r="42" spans="1:14" x14ac:dyDescent="0.3">
      <c r="A42" s="75"/>
      <c r="C42" s="218"/>
      <c r="D42" s="1214"/>
      <c r="E42" s="1214"/>
      <c r="F42" s="1217"/>
      <c r="G42" s="67">
        <v>8</v>
      </c>
      <c r="H42" s="1214"/>
      <c r="I42" s="67">
        <v>8</v>
      </c>
      <c r="J42" s="1214"/>
      <c r="K42" s="1171"/>
      <c r="L42" s="67">
        <f t="shared" si="3"/>
        <v>64</v>
      </c>
      <c r="M42" s="201">
        <f t="shared" si="4"/>
        <v>8</v>
      </c>
      <c r="N42" s="212">
        <f t="shared" si="5"/>
        <v>396.08414778296719</v>
      </c>
    </row>
    <row r="43" spans="1:14" x14ac:dyDescent="0.3">
      <c r="A43" s="75"/>
      <c r="C43" s="218"/>
      <c r="D43" s="1214"/>
      <c r="E43" s="1214"/>
      <c r="F43" s="1217"/>
      <c r="G43" s="67">
        <v>8.5</v>
      </c>
      <c r="H43" s="1214"/>
      <c r="I43" s="67">
        <v>8.5</v>
      </c>
      <c r="J43" s="1214"/>
      <c r="K43" s="1171"/>
      <c r="L43" s="67">
        <f t="shared" si="3"/>
        <v>72.25</v>
      </c>
      <c r="M43" s="201">
        <f t="shared" si="4"/>
        <v>8.5</v>
      </c>
      <c r="N43" s="212">
        <f t="shared" si="5"/>
        <v>348.77200700756822</v>
      </c>
    </row>
    <row r="44" spans="1:14" x14ac:dyDescent="0.3">
      <c r="A44" s="75"/>
      <c r="C44" s="218"/>
      <c r="D44" s="1214"/>
      <c r="E44" s="1214"/>
      <c r="F44" s="1217"/>
      <c r="G44" s="67">
        <v>9</v>
      </c>
      <c r="H44" s="1214"/>
      <c r="I44" s="67">
        <v>9</v>
      </c>
      <c r="J44" s="1214"/>
      <c r="K44" s="1171"/>
      <c r="L44" s="67">
        <f t="shared" si="3"/>
        <v>81</v>
      </c>
      <c r="M44" s="201">
        <f t="shared" si="4"/>
        <v>9</v>
      </c>
      <c r="N44" s="212">
        <f t="shared" si="5"/>
        <v>309.23666116646558</v>
      </c>
    </row>
    <row r="45" spans="1:14" x14ac:dyDescent="0.3">
      <c r="A45" s="75"/>
      <c r="C45" s="218"/>
      <c r="D45" s="1214"/>
      <c r="E45" s="1214"/>
      <c r="F45" s="1217"/>
      <c r="G45" s="67">
        <v>9.5</v>
      </c>
      <c r="H45" s="1214"/>
      <c r="I45" s="67">
        <v>9.5</v>
      </c>
      <c r="J45" s="1214"/>
      <c r="K45" s="1171"/>
      <c r="L45" s="67">
        <f t="shared" si="3"/>
        <v>90.25</v>
      </c>
      <c r="M45" s="201">
        <f t="shared" si="4"/>
        <v>9.5</v>
      </c>
      <c r="N45" s="212">
        <f t="shared" si="5"/>
        <v>275.87325875535305</v>
      </c>
    </row>
    <row r="46" spans="1:14" x14ac:dyDescent="0.3">
      <c r="A46" s="75"/>
      <c r="C46" s="218"/>
      <c r="D46" s="1214"/>
      <c r="E46" s="1214"/>
      <c r="F46" s="1217"/>
      <c r="G46" s="67">
        <v>10</v>
      </c>
      <c r="H46" s="1214"/>
      <c r="I46" s="67">
        <v>10</v>
      </c>
      <c r="J46" s="1214"/>
      <c r="K46" s="1171"/>
      <c r="L46" s="67">
        <f t="shared" si="3"/>
        <v>100</v>
      </c>
      <c r="M46" s="201">
        <f t="shared" si="4"/>
        <v>10</v>
      </c>
      <c r="N46" s="212">
        <f t="shared" si="5"/>
        <v>247.4695365085752</v>
      </c>
    </row>
    <row r="47" spans="1:14" x14ac:dyDescent="0.3">
      <c r="A47" s="75"/>
      <c r="C47" s="218"/>
      <c r="D47" s="1214"/>
      <c r="E47" s="1214"/>
      <c r="F47" s="1217"/>
      <c r="G47" s="67">
        <v>10.5</v>
      </c>
      <c r="H47" s="1214"/>
      <c r="I47" s="67">
        <v>10.5</v>
      </c>
      <c r="J47" s="1214"/>
      <c r="K47" s="1171"/>
      <c r="L47" s="67">
        <f t="shared" si="3"/>
        <v>110.25</v>
      </c>
      <c r="M47" s="201">
        <f t="shared" si="4"/>
        <v>10.5</v>
      </c>
      <c r="N47" s="212">
        <f t="shared" si="5"/>
        <v>223.09610611378164</v>
      </c>
    </row>
    <row r="48" spans="1:14" x14ac:dyDescent="0.3">
      <c r="A48" s="75"/>
      <c r="C48" s="218"/>
      <c r="D48" s="1214"/>
      <c r="E48" s="1214"/>
      <c r="F48" s="1217"/>
      <c r="G48" s="67">
        <v>11</v>
      </c>
      <c r="H48" s="1214"/>
      <c r="I48" s="67">
        <v>11</v>
      </c>
      <c r="J48" s="1214"/>
      <c r="K48" s="1171"/>
      <c r="L48" s="67">
        <f t="shared" si="3"/>
        <v>121</v>
      </c>
      <c r="M48" s="201">
        <f t="shared" si="4"/>
        <v>11</v>
      </c>
      <c r="N48" s="212">
        <f t="shared" si="5"/>
        <v>202.03089047298621</v>
      </c>
    </row>
    <row r="49" spans="1:14" x14ac:dyDescent="0.3">
      <c r="A49" s="75"/>
      <c r="C49" s="218"/>
      <c r="D49" s="1214"/>
      <c r="E49" s="1214"/>
      <c r="F49" s="1217"/>
      <c r="G49" s="67">
        <v>11.5</v>
      </c>
      <c r="H49" s="1214"/>
      <c r="I49" s="67">
        <v>11.5</v>
      </c>
      <c r="J49" s="1214"/>
      <c r="K49" s="1171"/>
      <c r="L49" s="67">
        <f t="shared" si="3"/>
        <v>132.25</v>
      </c>
      <c r="M49" s="201">
        <f t="shared" si="4"/>
        <v>11.5</v>
      </c>
      <c r="N49" s="212">
        <f t="shared" si="5"/>
        <v>183.70608540958969</v>
      </c>
    </row>
    <row r="50" spans="1:14" ht="15" thickBot="1" x14ac:dyDescent="0.35">
      <c r="A50" s="75"/>
      <c r="C50" s="218"/>
      <c r="D50" s="1215"/>
      <c r="E50" s="1215"/>
      <c r="F50" s="1218"/>
      <c r="G50" s="69">
        <v>12</v>
      </c>
      <c r="H50" s="1215"/>
      <c r="I50" s="69">
        <v>12</v>
      </c>
      <c r="J50" s="1215"/>
      <c r="K50" s="1220"/>
      <c r="L50" s="69">
        <f t="shared" si="3"/>
        <v>144</v>
      </c>
      <c r="M50" s="202">
        <f t="shared" si="4"/>
        <v>12</v>
      </c>
      <c r="N50" s="214">
        <f t="shared" si="5"/>
        <v>167.67029058059126</v>
      </c>
    </row>
    <row r="51" spans="1:14" x14ac:dyDescent="0.3">
      <c r="A51" s="75"/>
      <c r="C51" s="218"/>
      <c r="D51" s="1213">
        <v>300</v>
      </c>
      <c r="E51" s="1213">
        <v>3</v>
      </c>
      <c r="F51" s="1216">
        <f>($D$51/2)-$E$51</f>
        <v>147</v>
      </c>
      <c r="G51" s="66">
        <v>1</v>
      </c>
      <c r="H51" s="1213">
        <v>0.06</v>
      </c>
      <c r="I51" s="66">
        <v>1</v>
      </c>
      <c r="J51" s="1213">
        <v>0.06</v>
      </c>
      <c r="K51" s="1219">
        <v>0.51</v>
      </c>
      <c r="L51" s="66">
        <f>(G51+H51)*(I51+J51)</f>
        <v>1.1236000000000002</v>
      </c>
      <c r="M51" s="186">
        <f>((G51+I51)+(H51+J51))/2</f>
        <v>1.06</v>
      </c>
      <c r="N51" s="211">
        <f>(PI()*($F$51^2)/L51)-(($K$51*2*PI()*($F$51)*M51)/L51)</f>
        <v>59974.51248201658</v>
      </c>
    </row>
    <row r="52" spans="1:14" x14ac:dyDescent="0.3">
      <c r="A52" s="75"/>
      <c r="C52" s="218"/>
      <c r="D52" s="1214"/>
      <c r="E52" s="1214"/>
      <c r="F52" s="1217"/>
      <c r="G52" s="67">
        <v>1.5</v>
      </c>
      <c r="H52" s="1214"/>
      <c r="I52" s="67">
        <v>1.5</v>
      </c>
      <c r="J52" s="1214"/>
      <c r="K52" s="1171"/>
      <c r="L52" s="67">
        <f t="shared" ref="L52:L73" si="6">(G52+H52)*(I52+J52)</f>
        <v>2.25</v>
      </c>
      <c r="M52" s="201">
        <f t="shared" ref="M52:M73" si="7">((G52+I52)+(H52+J52))/2</f>
        <v>1.5</v>
      </c>
      <c r="N52" s="212">
        <f t="shared" ref="N52:N73" si="8">(PI()*($F$51^2)/L52)-(($K$51*2*PI()*($F$51)*M52)/L52)</f>
        <v>29857.822243423539</v>
      </c>
    </row>
    <row r="53" spans="1:14" x14ac:dyDescent="0.3">
      <c r="A53" s="75"/>
      <c r="C53" s="218"/>
      <c r="D53" s="1214"/>
      <c r="E53" s="1214"/>
      <c r="F53" s="1217"/>
      <c r="G53" s="67">
        <v>2</v>
      </c>
      <c r="H53" s="1214"/>
      <c r="I53" s="67">
        <v>2</v>
      </c>
      <c r="J53" s="1214"/>
      <c r="K53" s="1171"/>
      <c r="L53" s="67">
        <f t="shared" si="6"/>
        <v>4</v>
      </c>
      <c r="M53" s="201">
        <f t="shared" si="7"/>
        <v>2</v>
      </c>
      <c r="N53" s="212">
        <f t="shared" si="8"/>
        <v>16736.143711615834</v>
      </c>
    </row>
    <row r="54" spans="1:14" x14ac:dyDescent="0.3">
      <c r="A54" s="75"/>
      <c r="C54" s="218"/>
      <c r="D54" s="1214"/>
      <c r="E54" s="1214"/>
      <c r="F54" s="1217"/>
      <c r="G54" s="67">
        <v>2.5</v>
      </c>
      <c r="H54" s="1214"/>
      <c r="I54" s="67">
        <v>2.5</v>
      </c>
      <c r="J54" s="1214"/>
      <c r="K54" s="1171"/>
      <c r="L54" s="67">
        <f t="shared" si="6"/>
        <v>6.25</v>
      </c>
      <c r="M54" s="201">
        <f t="shared" si="7"/>
        <v>2.5</v>
      </c>
      <c r="N54" s="212">
        <f t="shared" si="8"/>
        <v>10673.447943235793</v>
      </c>
    </row>
    <row r="55" spans="1:14" x14ac:dyDescent="0.3">
      <c r="A55" s="75"/>
      <c r="C55" s="218"/>
      <c r="D55" s="1214"/>
      <c r="E55" s="1214"/>
      <c r="F55" s="1217"/>
      <c r="G55" s="67">
        <v>3</v>
      </c>
      <c r="H55" s="1214"/>
      <c r="I55" s="67">
        <v>3</v>
      </c>
      <c r="J55" s="1214"/>
      <c r="K55" s="1171"/>
      <c r="L55" s="67">
        <f t="shared" si="6"/>
        <v>9</v>
      </c>
      <c r="M55" s="201">
        <f t="shared" si="7"/>
        <v>3</v>
      </c>
      <c r="N55" s="212">
        <f t="shared" si="8"/>
        <v>7385.9471604426753</v>
      </c>
    </row>
    <row r="56" spans="1:14" x14ac:dyDescent="0.3">
      <c r="A56" s="75"/>
      <c r="C56" s="218"/>
      <c r="D56" s="1214"/>
      <c r="E56" s="1214"/>
      <c r="F56" s="1217"/>
      <c r="G56" s="67">
        <v>3.5</v>
      </c>
      <c r="H56" s="1214"/>
      <c r="I56" s="67">
        <v>3.5</v>
      </c>
      <c r="J56" s="1214"/>
      <c r="K56" s="1171"/>
      <c r="L56" s="67">
        <f t="shared" si="6"/>
        <v>12.25</v>
      </c>
      <c r="M56" s="201">
        <f t="shared" si="7"/>
        <v>3.5</v>
      </c>
      <c r="N56" s="212">
        <f t="shared" si="8"/>
        <v>5407.1836116526092</v>
      </c>
    </row>
    <row r="57" spans="1:14" x14ac:dyDescent="0.3">
      <c r="A57" s="75"/>
      <c r="C57" s="218"/>
      <c r="D57" s="1214"/>
      <c r="E57" s="1214"/>
      <c r="F57" s="1217"/>
      <c r="G57" s="67">
        <v>4</v>
      </c>
      <c r="H57" s="1214"/>
      <c r="I57" s="67">
        <v>4</v>
      </c>
      <c r="J57" s="1214"/>
      <c r="K57" s="1171"/>
      <c r="L57" s="67">
        <f t="shared" si="6"/>
        <v>16</v>
      </c>
      <c r="M57" s="201">
        <f t="shared" si="7"/>
        <v>4</v>
      </c>
      <c r="N57" s="212">
        <f t="shared" si="8"/>
        <v>4125.1546275940518</v>
      </c>
    </row>
    <row r="58" spans="1:14" x14ac:dyDescent="0.3">
      <c r="A58" s="75"/>
      <c r="C58" s="218"/>
      <c r="D58" s="1214"/>
      <c r="E58" s="1214"/>
      <c r="F58" s="1217"/>
      <c r="G58" s="67">
        <v>4.5</v>
      </c>
      <c r="H58" s="1214"/>
      <c r="I58" s="67">
        <v>4.5</v>
      </c>
      <c r="J58" s="1214"/>
      <c r="K58" s="1171"/>
      <c r="L58" s="67">
        <f t="shared" si="6"/>
        <v>20.25</v>
      </c>
      <c r="M58" s="201">
        <f t="shared" si="7"/>
        <v>4.5</v>
      </c>
      <c r="N58" s="212">
        <f t="shared" si="8"/>
        <v>3247.7505600130962</v>
      </c>
    </row>
    <row r="59" spans="1:14" x14ac:dyDescent="0.3">
      <c r="A59" s="75"/>
      <c r="C59" s="218"/>
      <c r="D59" s="1214"/>
      <c r="E59" s="1214"/>
      <c r="F59" s="1217"/>
      <c r="G59" s="67">
        <v>5</v>
      </c>
      <c r="H59" s="1214"/>
      <c r="I59" s="67">
        <v>5</v>
      </c>
      <c r="J59" s="1214"/>
      <c r="K59" s="1171"/>
      <c r="L59" s="67">
        <f t="shared" si="6"/>
        <v>25</v>
      </c>
      <c r="M59" s="201">
        <f t="shared" si="7"/>
        <v>5</v>
      </c>
      <c r="N59" s="212">
        <f t="shared" si="8"/>
        <v>2621.2569455610228</v>
      </c>
    </row>
    <row r="60" spans="1:14" x14ac:dyDescent="0.3">
      <c r="A60" s="75"/>
      <c r="C60" s="218"/>
      <c r="D60" s="1214"/>
      <c r="E60" s="1214"/>
      <c r="F60" s="1217"/>
      <c r="G60" s="67">
        <v>5.5</v>
      </c>
      <c r="H60" s="1214"/>
      <c r="I60" s="67">
        <v>5.5</v>
      </c>
      <c r="J60" s="1214"/>
      <c r="K60" s="1171"/>
      <c r="L60" s="67">
        <f t="shared" si="6"/>
        <v>30.25</v>
      </c>
      <c r="M60" s="201">
        <f t="shared" si="7"/>
        <v>5.5</v>
      </c>
      <c r="N60" s="212">
        <f t="shared" si="8"/>
        <v>2158.5420971168905</v>
      </c>
    </row>
    <row r="61" spans="1:14" x14ac:dyDescent="0.3">
      <c r="A61" s="75"/>
      <c r="C61" s="218"/>
      <c r="D61" s="1214"/>
      <c r="E61" s="1214"/>
      <c r="F61" s="1217"/>
      <c r="G61" s="67">
        <v>6</v>
      </c>
      <c r="H61" s="1214"/>
      <c r="I61" s="67">
        <v>6</v>
      </c>
      <c r="J61" s="1214"/>
      <c r="K61" s="1171"/>
      <c r="L61" s="67">
        <f t="shared" si="6"/>
        <v>36</v>
      </c>
      <c r="M61" s="201">
        <f t="shared" si="7"/>
        <v>6</v>
      </c>
      <c r="N61" s="212">
        <f t="shared" si="8"/>
        <v>1807.2325899040645</v>
      </c>
    </row>
    <row r="62" spans="1:14" x14ac:dyDescent="0.3">
      <c r="A62" s="75"/>
      <c r="C62" s="218"/>
      <c r="D62" s="1214"/>
      <c r="E62" s="1214"/>
      <c r="F62" s="1217"/>
      <c r="G62" s="67">
        <v>6.5</v>
      </c>
      <c r="H62" s="1214"/>
      <c r="I62" s="67">
        <v>6.5</v>
      </c>
      <c r="J62" s="1214"/>
      <c r="K62" s="1171"/>
      <c r="L62" s="67">
        <f t="shared" si="6"/>
        <v>42.25</v>
      </c>
      <c r="M62" s="201">
        <f t="shared" si="7"/>
        <v>6.5</v>
      </c>
      <c r="N62" s="212">
        <f t="shared" si="8"/>
        <v>1534.3159298297442</v>
      </c>
    </row>
    <row r="63" spans="1:14" x14ac:dyDescent="0.3">
      <c r="A63" s="75"/>
      <c r="C63" s="218"/>
      <c r="D63" s="1214"/>
      <c r="E63" s="1214"/>
      <c r="F63" s="1217"/>
      <c r="G63" s="67">
        <v>7</v>
      </c>
      <c r="H63" s="1214"/>
      <c r="I63" s="67">
        <v>7</v>
      </c>
      <c r="J63" s="1214"/>
      <c r="K63" s="1171"/>
      <c r="L63" s="67">
        <f t="shared" si="6"/>
        <v>49</v>
      </c>
      <c r="M63" s="201">
        <f t="shared" si="7"/>
        <v>7</v>
      </c>
      <c r="N63" s="212">
        <f t="shared" si="8"/>
        <v>1318.1494455932057</v>
      </c>
    </row>
    <row r="64" spans="1:14" x14ac:dyDescent="0.3">
      <c r="A64" s="75"/>
      <c r="C64" s="218"/>
      <c r="D64" s="1214"/>
      <c r="E64" s="1214"/>
      <c r="F64" s="1217"/>
      <c r="G64" s="67">
        <v>7.5</v>
      </c>
      <c r="H64" s="1214"/>
      <c r="I64" s="67">
        <v>7.5</v>
      </c>
      <c r="J64" s="1214"/>
      <c r="K64" s="1171"/>
      <c r="L64" s="67">
        <f t="shared" si="6"/>
        <v>56.25</v>
      </c>
      <c r="M64" s="201">
        <f t="shared" si="7"/>
        <v>7.5</v>
      </c>
      <c r="N64" s="212">
        <f t="shared" si="8"/>
        <v>1144.0675134724879</v>
      </c>
    </row>
    <row r="65" spans="1:14" x14ac:dyDescent="0.3">
      <c r="A65" s="75"/>
      <c r="C65" s="218"/>
      <c r="D65" s="1214"/>
      <c r="E65" s="1214"/>
      <c r="F65" s="1217"/>
      <c r="G65" s="67">
        <v>8</v>
      </c>
      <c r="H65" s="1214"/>
      <c r="I65" s="67">
        <v>8</v>
      </c>
      <c r="J65" s="1214"/>
      <c r="K65" s="1171"/>
      <c r="L65" s="67">
        <f t="shared" si="6"/>
        <v>64</v>
      </c>
      <c r="M65" s="201">
        <f t="shared" si="7"/>
        <v>8</v>
      </c>
      <c r="N65" s="212">
        <f t="shared" si="8"/>
        <v>1001.8480067435596</v>
      </c>
    </row>
    <row r="66" spans="1:14" x14ac:dyDescent="0.3">
      <c r="A66" s="75"/>
      <c r="C66" s="218"/>
      <c r="D66" s="1214"/>
      <c r="E66" s="1214"/>
      <c r="F66" s="1217"/>
      <c r="G66" s="67">
        <v>8.5</v>
      </c>
      <c r="H66" s="1214"/>
      <c r="I66" s="67">
        <v>8.5</v>
      </c>
      <c r="J66" s="1214"/>
      <c r="K66" s="1171"/>
      <c r="L66" s="67">
        <f t="shared" si="6"/>
        <v>72.25</v>
      </c>
      <c r="M66" s="201">
        <f t="shared" si="7"/>
        <v>8.5</v>
      </c>
      <c r="N66" s="212">
        <f t="shared" si="8"/>
        <v>884.190273084404</v>
      </c>
    </row>
    <row r="67" spans="1:14" x14ac:dyDescent="0.3">
      <c r="A67" s="75"/>
      <c r="C67" s="218"/>
      <c r="D67" s="1214"/>
      <c r="E67" s="1214"/>
      <c r="F67" s="1217"/>
      <c r="G67" s="67">
        <v>9</v>
      </c>
      <c r="H67" s="1214"/>
      <c r="I67" s="67">
        <v>9</v>
      </c>
      <c r="J67" s="1214"/>
      <c r="K67" s="1171"/>
      <c r="L67" s="67">
        <f t="shared" si="6"/>
        <v>81</v>
      </c>
      <c r="M67" s="201">
        <f t="shared" si="7"/>
        <v>9</v>
      </c>
      <c r="N67" s="212">
        <f t="shared" si="8"/>
        <v>785.76817319887107</v>
      </c>
    </row>
    <row r="68" spans="1:14" x14ac:dyDescent="0.3">
      <c r="A68" s="75"/>
      <c r="C68" s="218"/>
      <c r="D68" s="1214"/>
      <c r="E68" s="1214"/>
      <c r="F68" s="1217"/>
      <c r="G68" s="67">
        <v>9.5</v>
      </c>
      <c r="H68" s="1214"/>
      <c r="I68" s="67">
        <v>9.5</v>
      </c>
      <c r="J68" s="1214"/>
      <c r="K68" s="1171"/>
      <c r="L68" s="67">
        <f t="shared" si="6"/>
        <v>90.25</v>
      </c>
      <c r="M68" s="201">
        <f t="shared" si="7"/>
        <v>9.5</v>
      </c>
      <c r="N68" s="212">
        <f t="shared" si="8"/>
        <v>702.62267953317382</v>
      </c>
    </row>
    <row r="69" spans="1:14" x14ac:dyDescent="0.3">
      <c r="A69" s="75"/>
      <c r="C69" s="218"/>
      <c r="D69" s="1214"/>
      <c r="E69" s="1214"/>
      <c r="F69" s="1217"/>
      <c r="G69" s="67">
        <v>10</v>
      </c>
      <c r="H69" s="1214"/>
      <c r="I69" s="67">
        <v>10</v>
      </c>
      <c r="J69" s="1214"/>
      <c r="K69" s="1171"/>
      <c r="L69" s="67">
        <f t="shared" si="6"/>
        <v>100</v>
      </c>
      <c r="M69" s="201">
        <f t="shared" si="7"/>
        <v>10</v>
      </c>
      <c r="N69" s="212">
        <f t="shared" si="8"/>
        <v>631.76171626629309</v>
      </c>
    </row>
    <row r="70" spans="1:14" x14ac:dyDescent="0.3">
      <c r="A70" s="75"/>
      <c r="C70" s="218"/>
      <c r="D70" s="1214"/>
      <c r="E70" s="1214"/>
      <c r="F70" s="1217"/>
      <c r="G70" s="67">
        <v>10.5</v>
      </c>
      <c r="H70" s="1214"/>
      <c r="I70" s="67">
        <v>10.5</v>
      </c>
      <c r="J70" s="1214"/>
      <c r="K70" s="1171"/>
      <c r="L70" s="67">
        <f t="shared" si="6"/>
        <v>110.25</v>
      </c>
      <c r="M70" s="201">
        <f t="shared" si="7"/>
        <v>10.5</v>
      </c>
      <c r="N70" s="212">
        <f t="shared" si="8"/>
        <v>570.89021701033732</v>
      </c>
    </row>
    <row r="71" spans="1:14" x14ac:dyDescent="0.3">
      <c r="A71" s="75"/>
      <c r="C71" s="218"/>
      <c r="D71" s="1214"/>
      <c r="E71" s="1214"/>
      <c r="F71" s="1217"/>
      <c r="G71" s="67">
        <v>11</v>
      </c>
      <c r="H71" s="1214"/>
      <c r="I71" s="67">
        <v>11</v>
      </c>
      <c r="J71" s="1214"/>
      <c r="K71" s="1171"/>
      <c r="L71" s="67">
        <f t="shared" si="6"/>
        <v>121</v>
      </c>
      <c r="M71" s="201">
        <f t="shared" si="7"/>
        <v>11</v>
      </c>
      <c r="N71" s="212">
        <f t="shared" si="8"/>
        <v>518.22414234834753</v>
      </c>
    </row>
    <row r="72" spans="1:14" x14ac:dyDescent="0.3">
      <c r="A72" s="75"/>
      <c r="C72" s="218"/>
      <c r="D72" s="1214"/>
      <c r="E72" s="1214"/>
      <c r="F72" s="1217"/>
      <c r="G72" s="67">
        <v>11.5</v>
      </c>
      <c r="H72" s="1214"/>
      <c r="I72" s="67">
        <v>11.5</v>
      </c>
      <c r="J72" s="1214"/>
      <c r="K72" s="1171"/>
      <c r="L72" s="67">
        <f t="shared" si="6"/>
        <v>132.25</v>
      </c>
      <c r="M72" s="201">
        <f t="shared" si="7"/>
        <v>11.5</v>
      </c>
      <c r="N72" s="212">
        <f t="shared" si="8"/>
        <v>472.35989431312237</v>
      </c>
    </row>
    <row r="73" spans="1:14" ht="15" thickBot="1" x14ac:dyDescent="0.35">
      <c r="A73" s="219"/>
      <c r="B73" s="220"/>
      <c r="C73" s="221"/>
      <c r="D73" s="1215"/>
      <c r="E73" s="1215"/>
      <c r="F73" s="1218"/>
      <c r="G73" s="69">
        <v>12</v>
      </c>
      <c r="H73" s="1215"/>
      <c r="I73" s="69">
        <v>12</v>
      </c>
      <c r="J73" s="1215"/>
      <c r="K73" s="1220"/>
      <c r="L73" s="69">
        <f t="shared" si="6"/>
        <v>144</v>
      </c>
      <c r="M73" s="202">
        <f t="shared" si="7"/>
        <v>12</v>
      </c>
      <c r="N73" s="213">
        <f t="shared" si="8"/>
        <v>432.18104737271386</v>
      </c>
    </row>
    <row r="74" spans="1:14" x14ac:dyDescent="0.3">
      <c r="D74" s="1"/>
      <c r="E74" s="1"/>
      <c r="F74" s="1"/>
      <c r="G74" s="1"/>
      <c r="H74" s="1"/>
      <c r="I74" s="1"/>
      <c r="J74" s="1"/>
      <c r="K74" s="1"/>
      <c r="L74" s="1"/>
      <c r="M74" s="1"/>
    </row>
    <row r="75" spans="1:14" x14ac:dyDescent="0.3">
      <c r="D75" s="1"/>
      <c r="E75" s="1"/>
      <c r="F75" s="1"/>
      <c r="G75" s="1"/>
      <c r="H75" s="1"/>
      <c r="I75" s="1"/>
      <c r="J75" s="1"/>
      <c r="K75" s="1"/>
      <c r="L75" s="1"/>
      <c r="M75" s="1"/>
    </row>
    <row r="76" spans="1:14" x14ac:dyDescent="0.3">
      <c r="D76" s="1"/>
      <c r="E76" s="1"/>
      <c r="F76" s="1"/>
      <c r="G76" s="1"/>
      <c r="H76" s="1"/>
      <c r="I76" s="1"/>
      <c r="J76" s="1"/>
      <c r="K76" s="1"/>
      <c r="L76" s="1"/>
      <c r="M76" s="1"/>
    </row>
    <row r="77" spans="1:14" x14ac:dyDescent="0.3">
      <c r="D77" s="1"/>
      <c r="E77" s="1"/>
      <c r="F77" s="1"/>
      <c r="G77" s="1"/>
      <c r="H77" s="1"/>
      <c r="I77" s="1"/>
      <c r="J77" s="1"/>
      <c r="K77" s="1"/>
      <c r="L77" s="1"/>
      <c r="M77" s="1"/>
    </row>
    <row r="78" spans="1:14" x14ac:dyDescent="0.3">
      <c r="D78" s="1"/>
      <c r="E78" s="1"/>
      <c r="F78" s="1"/>
      <c r="G78" s="1"/>
      <c r="H78" s="1"/>
      <c r="I78" s="1"/>
      <c r="J78" s="1"/>
      <c r="K78" s="1"/>
      <c r="L78" s="1"/>
      <c r="M78" s="1"/>
    </row>
    <row r="79" spans="1:14" x14ac:dyDescent="0.3">
      <c r="D79" s="1"/>
      <c r="E79" s="1"/>
      <c r="F79" s="1"/>
      <c r="G79" s="1"/>
      <c r="H79" s="1"/>
      <c r="I79" s="1"/>
      <c r="J79" s="1"/>
      <c r="K79" s="1"/>
      <c r="L79" s="1"/>
      <c r="M79" s="1"/>
    </row>
    <row r="80" spans="1:14" x14ac:dyDescent="0.3">
      <c r="D80" s="1"/>
      <c r="E80" s="1"/>
      <c r="F80" s="1"/>
      <c r="G80" s="1"/>
      <c r="H80" s="1"/>
      <c r="I80" s="1"/>
      <c r="J80" s="1"/>
      <c r="K80" s="1"/>
      <c r="L80" s="1"/>
      <c r="M80" s="1"/>
    </row>
    <row r="81" spans="4:13" x14ac:dyDescent="0.3">
      <c r="D81" s="1"/>
      <c r="E81" s="1"/>
      <c r="F81" s="1"/>
      <c r="G81" s="1"/>
      <c r="H81" s="1"/>
      <c r="I81" s="1"/>
      <c r="J81" s="1"/>
      <c r="K81" s="1"/>
      <c r="L81" s="1"/>
      <c r="M81" s="1"/>
    </row>
    <row r="82" spans="4:13" x14ac:dyDescent="0.3">
      <c r="D82" s="1"/>
      <c r="E82" s="1"/>
      <c r="F82" s="1"/>
      <c r="G82" s="1"/>
      <c r="H82" s="1"/>
      <c r="I82" s="1"/>
      <c r="J82" s="1"/>
      <c r="K82" s="1"/>
      <c r="L82" s="1"/>
      <c r="M82" s="1"/>
    </row>
    <row r="83" spans="4:13" x14ac:dyDescent="0.3">
      <c r="D83" s="1"/>
      <c r="E83" s="1"/>
      <c r="F83" s="1"/>
      <c r="G83" s="1"/>
      <c r="H83" s="1"/>
      <c r="I83" s="1"/>
      <c r="J83" s="1"/>
      <c r="K83" s="1"/>
      <c r="L83" s="1"/>
      <c r="M83" s="1"/>
    </row>
    <row r="84" spans="4:13" x14ac:dyDescent="0.3">
      <c r="D84" s="1"/>
      <c r="E84" s="1"/>
      <c r="F84" s="1"/>
      <c r="G84" s="1"/>
      <c r="H84" s="1"/>
      <c r="I84" s="1"/>
      <c r="J84" s="1"/>
      <c r="K84" s="1"/>
      <c r="L84" s="1"/>
      <c r="M84" s="1"/>
    </row>
    <row r="85" spans="4:13" x14ac:dyDescent="0.3">
      <c r="D85" s="1"/>
      <c r="E85" s="1"/>
      <c r="F85" s="1"/>
      <c r="G85" s="1"/>
      <c r="H85" s="1"/>
      <c r="I85" s="1"/>
      <c r="J85" s="1"/>
      <c r="K85" s="1"/>
      <c r="L85" s="1"/>
      <c r="M85" s="1"/>
    </row>
    <row r="86" spans="4:13" x14ac:dyDescent="0.3">
      <c r="D86" s="1"/>
      <c r="E86" s="1"/>
      <c r="F86" s="1"/>
      <c r="G86" s="1"/>
      <c r="H86" s="1"/>
      <c r="I86" s="1"/>
      <c r="J86" s="1"/>
      <c r="K86" s="1"/>
      <c r="L86" s="1"/>
      <c r="M86" s="1"/>
    </row>
    <row r="87" spans="4:13" x14ac:dyDescent="0.3">
      <c r="D87" s="1"/>
      <c r="E87" s="1"/>
      <c r="F87" s="1"/>
      <c r="G87" s="1"/>
      <c r="H87" s="1"/>
      <c r="I87" s="1"/>
      <c r="J87" s="1"/>
      <c r="K87" s="1"/>
      <c r="L87" s="1"/>
      <c r="M87" s="1"/>
    </row>
    <row r="88" spans="4:13" x14ac:dyDescent="0.3">
      <c r="D88" s="1"/>
      <c r="E88" s="1"/>
      <c r="F88" s="1"/>
      <c r="G88" s="1"/>
      <c r="H88" s="1"/>
      <c r="I88" s="1"/>
      <c r="J88" s="1"/>
      <c r="K88" s="1"/>
      <c r="L88" s="1"/>
      <c r="M88" s="1"/>
    </row>
    <row r="89" spans="4:13" x14ac:dyDescent="0.3">
      <c r="D89" s="1"/>
      <c r="E89" s="1"/>
      <c r="F89" s="1"/>
      <c r="G89" s="1"/>
      <c r="H89" s="1"/>
      <c r="I89" s="1"/>
      <c r="J89" s="1"/>
      <c r="K89" s="1"/>
      <c r="L89" s="1"/>
      <c r="M89" s="1"/>
    </row>
    <row r="90" spans="4:13" x14ac:dyDescent="0.3">
      <c r="D90" s="1"/>
      <c r="E90" s="1"/>
      <c r="F90" s="1"/>
      <c r="G90" s="1"/>
      <c r="H90" s="1"/>
      <c r="I90" s="1"/>
      <c r="J90" s="1"/>
      <c r="K90" s="1"/>
      <c r="L90" s="1"/>
      <c r="M90" s="1"/>
    </row>
    <row r="91" spans="4:13" x14ac:dyDescent="0.3">
      <c r="D91" s="1"/>
      <c r="E91" s="1"/>
      <c r="F91" s="1"/>
      <c r="G91" s="1"/>
      <c r="H91" s="1"/>
      <c r="I91" s="1"/>
      <c r="J91" s="1"/>
      <c r="K91" s="1"/>
      <c r="L91" s="1"/>
      <c r="M91" s="1"/>
    </row>
    <row r="92" spans="4:13" x14ac:dyDescent="0.3">
      <c r="D92" s="1"/>
      <c r="E92" s="1"/>
      <c r="F92" s="1"/>
      <c r="G92" s="1"/>
      <c r="H92" s="1"/>
      <c r="I92" s="1"/>
      <c r="J92" s="1"/>
      <c r="K92" s="1"/>
      <c r="L92" s="1"/>
      <c r="M92" s="1"/>
    </row>
    <row r="93" spans="4:13" x14ac:dyDescent="0.3">
      <c r="D93" s="1"/>
      <c r="E93" s="1"/>
      <c r="F93" s="1"/>
      <c r="G93" s="1"/>
      <c r="H93" s="1"/>
      <c r="I93" s="1"/>
      <c r="J93" s="1"/>
      <c r="K93" s="1"/>
      <c r="L93" s="1"/>
      <c r="M93" s="1"/>
    </row>
    <row r="94" spans="4:13" x14ac:dyDescent="0.3">
      <c r="D94" s="1"/>
      <c r="E94" s="1"/>
      <c r="F94" s="1"/>
      <c r="G94" s="1"/>
      <c r="H94" s="1"/>
      <c r="I94" s="1"/>
      <c r="J94" s="1"/>
      <c r="K94" s="1"/>
      <c r="L94" s="1"/>
      <c r="M94" s="1"/>
    </row>
    <row r="95" spans="4:13" x14ac:dyDescent="0.3">
      <c r="D95" s="1"/>
      <c r="E95" s="1"/>
      <c r="F95" s="1"/>
      <c r="G95" s="1"/>
      <c r="H95" s="1"/>
      <c r="I95" s="1"/>
      <c r="J95" s="1"/>
      <c r="K95" s="1"/>
      <c r="L95" s="1"/>
      <c r="M95" s="1"/>
    </row>
    <row r="96" spans="4:13" x14ac:dyDescent="0.3">
      <c r="D96" s="1"/>
      <c r="E96" s="1"/>
      <c r="F96" s="1"/>
      <c r="G96" s="1"/>
      <c r="H96" s="1"/>
      <c r="I96" s="1"/>
      <c r="J96" s="1"/>
      <c r="K96" s="1"/>
      <c r="L96" s="1"/>
      <c r="M96" s="1"/>
    </row>
    <row r="97" spans="4:13" x14ac:dyDescent="0.3">
      <c r="D97" s="1"/>
      <c r="E97" s="1"/>
      <c r="F97" s="1"/>
      <c r="G97" s="1"/>
      <c r="H97" s="1"/>
      <c r="I97" s="1"/>
      <c r="J97" s="1"/>
      <c r="K97" s="1"/>
      <c r="L97" s="1"/>
      <c r="M97" s="1"/>
    </row>
    <row r="98" spans="4:13" x14ac:dyDescent="0.3">
      <c r="D98" s="1"/>
      <c r="E98" s="1"/>
      <c r="F98" s="1"/>
      <c r="G98" s="1"/>
      <c r="H98" s="1"/>
      <c r="I98" s="1"/>
      <c r="J98" s="1"/>
      <c r="K98" s="1"/>
      <c r="L98" s="1"/>
      <c r="M98" s="1"/>
    </row>
    <row r="99" spans="4:13" x14ac:dyDescent="0.3">
      <c r="D99" s="1"/>
      <c r="E99" s="1"/>
      <c r="F99" s="1"/>
      <c r="G99" s="1"/>
      <c r="H99" s="1"/>
      <c r="I99" s="1"/>
      <c r="J99" s="1"/>
      <c r="K99" s="1"/>
      <c r="L99" s="1"/>
      <c r="M99" s="1"/>
    </row>
    <row r="100" spans="4:13" x14ac:dyDescent="0.3">
      <c r="D100" s="1"/>
      <c r="E100" s="1"/>
      <c r="F100" s="1"/>
      <c r="G100" s="1"/>
      <c r="H100" s="1"/>
      <c r="I100" s="1"/>
      <c r="J100" s="1"/>
      <c r="K100" s="1"/>
      <c r="L100" s="1"/>
      <c r="M100" s="1"/>
    </row>
    <row r="101" spans="4:13" x14ac:dyDescent="0.3">
      <c r="D101" s="1"/>
      <c r="E101" s="1"/>
      <c r="F101" s="1"/>
      <c r="G101" s="1"/>
      <c r="H101" s="1"/>
      <c r="I101" s="1"/>
      <c r="J101" s="1"/>
      <c r="K101" s="1"/>
      <c r="L101" s="1"/>
      <c r="M101" s="1"/>
    </row>
  </sheetData>
  <sheetProtection algorithmName="SHA-512" hashValue="Hbo14RHwgvYHneI8g7yZEcadhTS5Y6IuuGZfDxl7Bl0XAIatze8ZOS3TTtwOmDaN855qnaJngprpzvctJcG/ug==" saltValue="L2cX4VZ5vVpcGcLeqkUp+w==" spinCount="100000" sheet="1" objects="1" scenarios="1"/>
  <mergeCells count="24">
    <mergeCell ref="A2:A3"/>
    <mergeCell ref="B2:B3"/>
    <mergeCell ref="C2:C3"/>
    <mergeCell ref="D28:D50"/>
    <mergeCell ref="A5:C10"/>
    <mergeCell ref="L2:N2"/>
    <mergeCell ref="D2:K2"/>
    <mergeCell ref="K5:K27"/>
    <mergeCell ref="D5:D27"/>
    <mergeCell ref="E5:E27"/>
    <mergeCell ref="F5:F27"/>
    <mergeCell ref="H5:H27"/>
    <mergeCell ref="J5:J27"/>
    <mergeCell ref="E28:E50"/>
    <mergeCell ref="F28:F50"/>
    <mergeCell ref="K28:K50"/>
    <mergeCell ref="D51:D73"/>
    <mergeCell ref="E51:E73"/>
    <mergeCell ref="F51:F73"/>
    <mergeCell ref="K51:K73"/>
    <mergeCell ref="H28:H50"/>
    <mergeCell ref="J28:J50"/>
    <mergeCell ref="H51:H73"/>
    <mergeCell ref="J51:J73"/>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25832-EFF8-4A29-BC35-C125132D2DB1}">
  <dimension ref="A1:O49"/>
  <sheetViews>
    <sheetView zoomScale="85" zoomScaleNormal="85" workbookViewId="0">
      <selection activeCell="L4" sqref="L4:L46"/>
    </sheetView>
  </sheetViews>
  <sheetFormatPr baseColWidth="10" defaultRowHeight="14.4" x14ac:dyDescent="0.3"/>
  <cols>
    <col min="1" max="1" width="14.77734375" customWidth="1"/>
    <col min="2" max="2" width="43.21875" customWidth="1"/>
    <col min="3" max="3" width="23.21875" bestFit="1" customWidth="1"/>
    <col min="4" max="4" width="23" customWidth="1"/>
    <col min="5" max="5" width="42.77734375" style="36" bestFit="1" customWidth="1"/>
    <col min="6" max="6" width="27.77734375" bestFit="1" customWidth="1"/>
    <col min="7" max="7" width="9.6640625" bestFit="1" customWidth="1"/>
    <col min="8" max="8" width="27.44140625" customWidth="1"/>
    <col min="9" max="9" width="20.33203125" bestFit="1" customWidth="1"/>
    <col min="10" max="10" width="19.21875" bestFit="1" customWidth="1"/>
    <col min="11" max="11" width="21.5546875" bestFit="1" customWidth="1"/>
    <col min="12" max="12" width="26.33203125" bestFit="1" customWidth="1"/>
    <col min="13" max="13" width="25.21875" customWidth="1"/>
  </cols>
  <sheetData>
    <row r="1" spans="1:15" ht="15" thickBot="1" x14ac:dyDescent="0.35">
      <c r="A1" t="s">
        <v>135</v>
      </c>
    </row>
    <row r="2" spans="1:15" ht="15" thickBot="1" x14ac:dyDescent="0.35">
      <c r="A2" s="1239" t="s">
        <v>2040</v>
      </c>
      <c r="B2" s="1240"/>
      <c r="C2" s="1233" t="s">
        <v>211</v>
      </c>
      <c r="D2" s="1234"/>
      <c r="E2" s="1234"/>
      <c r="F2" s="1234"/>
      <c r="G2" s="1234"/>
      <c r="H2" s="1234"/>
      <c r="I2" s="1234"/>
      <c r="J2" s="1234"/>
      <c r="K2" s="1235"/>
      <c r="L2" s="268" t="s">
        <v>213</v>
      </c>
    </row>
    <row r="3" spans="1:15" ht="26.4" customHeight="1" thickBot="1" x14ac:dyDescent="0.35">
      <c r="A3" s="1241"/>
      <c r="B3" s="1242"/>
      <c r="C3" s="513" t="s">
        <v>1815</v>
      </c>
      <c r="D3" s="267" t="s">
        <v>1511</v>
      </c>
      <c r="E3" s="604" t="s">
        <v>1816</v>
      </c>
      <c r="F3" s="483" t="s">
        <v>1863</v>
      </c>
      <c r="G3" s="482" t="s">
        <v>1817</v>
      </c>
      <c r="H3" s="483" t="s">
        <v>1020</v>
      </c>
      <c r="I3" s="483" t="s">
        <v>1958</v>
      </c>
      <c r="J3" s="482" t="s">
        <v>968</v>
      </c>
      <c r="K3" s="482" t="s">
        <v>969</v>
      </c>
      <c r="L3" s="269" t="s">
        <v>967</v>
      </c>
    </row>
    <row r="4" spans="1:15" x14ac:dyDescent="0.3">
      <c r="A4" s="1198" t="s">
        <v>2041</v>
      </c>
      <c r="B4" s="1199"/>
      <c r="C4" s="1249">
        <f>'24. WAFER FAB'!$D$10</f>
        <v>138.42746400885937</v>
      </c>
      <c r="D4" s="1243" t="s">
        <v>1496</v>
      </c>
      <c r="E4" s="609" t="s">
        <v>2042</v>
      </c>
      <c r="F4" s="610">
        <f>SUM('2. PROCESS RECAP '!$I$4, '2. PROCESS RECAP '!$I$6)</f>
        <v>5280</v>
      </c>
      <c r="G4" s="610">
        <f>'14. PHOTOLITHO.'!$D$43</f>
        <v>1</v>
      </c>
      <c r="H4" s="611">
        <f t="shared" ref="H4:H46" si="0">(F4/3600)/G4</f>
        <v>1.4666666666666666</v>
      </c>
      <c r="I4" s="79">
        <v>0.75</v>
      </c>
      <c r="J4" s="79">
        <f>INT(($C$4*H4)/I4)</f>
        <v>270</v>
      </c>
      <c r="K4" s="10">
        <v>25</v>
      </c>
      <c r="L4" s="1246">
        <f>SUM(J4*K4,J5*K5,J6*K6,J7*K7,J8*K8,J9*K9,J10*K10,J11*K11,J12*K12,J13*K13,J14*K14,J15*K15,J17*K17,J18*K18,J19*K19,J20*K20,J21*K21,J22*K22,J24*K24,J25*K25,J26*K26,J27*K27,J28*K28,J29*K29,J30*K30,J31*K31,J32*K32,J33*K33,J34*K34,J35*K35,J36*K36,J37*K37,J38*K38,J39*K39,J40*K40,J41*K41,J42*K42,J43*K43,J44*K44,J45*K45,J46*K46)</f>
        <v>36520</v>
      </c>
      <c r="O4" s="9"/>
    </row>
    <row r="5" spans="1:15" ht="15" customHeight="1" thickBot="1" x14ac:dyDescent="0.35">
      <c r="A5" s="1202"/>
      <c r="B5" s="1203"/>
      <c r="C5" s="1250"/>
      <c r="D5" s="1244"/>
      <c r="E5" s="612" t="s">
        <v>1199</v>
      </c>
      <c r="F5" s="592">
        <f>'2. PROCESS RECAP '!$I$5</f>
        <v>3300</v>
      </c>
      <c r="G5" s="592">
        <f>'14. PHOTOLITHO.'!$D$65</f>
        <v>1</v>
      </c>
      <c r="H5" s="605">
        <f t="shared" si="0"/>
        <v>0.91666666666666663</v>
      </c>
      <c r="I5" s="78">
        <v>0.75</v>
      </c>
      <c r="J5" s="78">
        <f t="shared" ref="J5:J44" si="1">INT(($C$4*H5)/I5)</f>
        <v>169</v>
      </c>
      <c r="K5" s="11">
        <v>50</v>
      </c>
      <c r="L5" s="1247"/>
      <c r="O5" s="9"/>
    </row>
    <row r="6" spans="1:15" ht="15" thickBot="1" x14ac:dyDescent="0.35">
      <c r="A6" s="1241"/>
      <c r="B6" s="1242"/>
      <c r="C6" s="1250"/>
      <c r="D6" s="1236" t="s">
        <v>1448</v>
      </c>
      <c r="E6" s="315" t="s">
        <v>1376</v>
      </c>
      <c r="F6" s="78">
        <f>'2. PROCESS RECAP '!$I$8</f>
        <v>4920</v>
      </c>
      <c r="G6" s="78">
        <f>'13. WET CLEAN'!$D$53</f>
        <v>50</v>
      </c>
      <c r="H6" s="605">
        <f t="shared" si="0"/>
        <v>2.7333333333333334E-2</v>
      </c>
      <c r="I6" s="78">
        <v>0.75</v>
      </c>
      <c r="J6" s="78">
        <f t="shared" si="1"/>
        <v>5</v>
      </c>
      <c r="K6" s="11">
        <v>30</v>
      </c>
      <c r="L6" s="1247"/>
      <c r="O6" s="9"/>
    </row>
    <row r="7" spans="1:15" x14ac:dyDescent="0.3">
      <c r="A7" s="495"/>
      <c r="B7" s="496"/>
      <c r="C7" s="1250"/>
      <c r="D7" s="1237"/>
      <c r="E7" s="315" t="s">
        <v>1377</v>
      </c>
      <c r="F7" s="78">
        <f>'2. PROCESS RECAP '!$I$9</f>
        <v>1500</v>
      </c>
      <c r="G7" s="78">
        <f>'13. WET CLEAN'!$D$144</f>
        <v>50</v>
      </c>
      <c r="H7" s="605">
        <f t="shared" si="0"/>
        <v>8.3333333333333332E-3</v>
      </c>
      <c r="I7" s="78">
        <v>0.75</v>
      </c>
      <c r="J7" s="78">
        <f t="shared" si="1"/>
        <v>1</v>
      </c>
      <c r="K7" s="11">
        <v>30</v>
      </c>
      <c r="L7" s="1247"/>
      <c r="O7" s="9"/>
    </row>
    <row r="8" spans="1:15" ht="14.4" customHeight="1" x14ac:dyDescent="0.3">
      <c r="A8" s="1231" t="s">
        <v>966</v>
      </c>
      <c r="B8" s="1232"/>
      <c r="C8" s="1250"/>
      <c r="D8" s="1237"/>
      <c r="E8" s="315" t="s">
        <v>1462</v>
      </c>
      <c r="F8" s="78">
        <f>'2. PROCESS RECAP '!$I$10</f>
        <v>3000</v>
      </c>
      <c r="G8" s="78">
        <f>'13. WET CLEAN'!$D$114</f>
        <v>50</v>
      </c>
      <c r="H8" s="605">
        <f t="shared" si="0"/>
        <v>1.6666666666666666E-2</v>
      </c>
      <c r="I8" s="78">
        <v>0.75</v>
      </c>
      <c r="J8" s="78">
        <f t="shared" si="1"/>
        <v>3</v>
      </c>
      <c r="K8" s="11">
        <v>30</v>
      </c>
      <c r="L8" s="1247"/>
      <c r="O8" s="9"/>
    </row>
    <row r="9" spans="1:15" ht="15" thickBot="1" x14ac:dyDescent="0.35">
      <c r="A9" s="1231"/>
      <c r="B9" s="1232"/>
      <c r="C9" s="1250"/>
      <c r="D9" s="1238"/>
      <c r="E9" s="315" t="s">
        <v>1201</v>
      </c>
      <c r="F9" s="78">
        <f>'2. PROCESS RECAP '!$I$11</f>
        <v>2250</v>
      </c>
      <c r="G9" s="78">
        <f>'13. WET CLEAN'!$D$85</f>
        <v>50</v>
      </c>
      <c r="H9" s="605">
        <f t="shared" si="0"/>
        <v>1.2500000000000001E-2</v>
      </c>
      <c r="I9" s="78">
        <v>0.75</v>
      </c>
      <c r="J9" s="78">
        <f t="shared" si="1"/>
        <v>2</v>
      </c>
      <c r="K9" s="11">
        <v>30</v>
      </c>
      <c r="L9" s="1247"/>
      <c r="O9" s="9"/>
    </row>
    <row r="10" spans="1:15" x14ac:dyDescent="0.3">
      <c r="A10" s="491"/>
      <c r="B10" s="492"/>
      <c r="C10" s="1250"/>
      <c r="D10" s="1243" t="s">
        <v>347</v>
      </c>
      <c r="E10" s="612" t="s">
        <v>1094</v>
      </c>
      <c r="F10" s="606">
        <f>'2. PROCESS RECAP '!$I$13</f>
        <v>2520</v>
      </c>
      <c r="G10" s="78">
        <f>'12. WET ETCH'!$D$157</f>
        <v>50</v>
      </c>
      <c r="H10" s="605">
        <f t="shared" si="0"/>
        <v>1.3999999999999999E-2</v>
      </c>
      <c r="I10" s="78">
        <v>0.75</v>
      </c>
      <c r="J10" s="78">
        <f t="shared" si="1"/>
        <v>2</v>
      </c>
      <c r="K10" s="11">
        <v>15</v>
      </c>
      <c r="L10" s="1247"/>
      <c r="O10" s="9"/>
    </row>
    <row r="11" spans="1:15" x14ac:dyDescent="0.3">
      <c r="A11" s="491"/>
      <c r="B11" s="492"/>
      <c r="C11" s="1250"/>
      <c r="D11" s="1244"/>
      <c r="E11" s="612" t="s">
        <v>1428</v>
      </c>
      <c r="F11" s="606">
        <f>'2. PROCESS RECAP '!$I$14</f>
        <v>1800</v>
      </c>
      <c r="G11" s="78">
        <f>'12. WET ETCH'!$D$187</f>
        <v>50</v>
      </c>
      <c r="H11" s="605">
        <f t="shared" si="0"/>
        <v>0.01</v>
      </c>
      <c r="I11" s="78">
        <v>0.75</v>
      </c>
      <c r="J11" s="78">
        <f t="shared" si="1"/>
        <v>1</v>
      </c>
      <c r="K11" s="11">
        <v>30</v>
      </c>
      <c r="L11" s="1247"/>
      <c r="O11" s="9"/>
    </row>
    <row r="12" spans="1:15" x14ac:dyDescent="0.3">
      <c r="A12" s="491"/>
      <c r="B12" s="492"/>
      <c r="C12" s="1250"/>
      <c r="D12" s="1244"/>
      <c r="E12" s="612" t="s">
        <v>1203</v>
      </c>
      <c r="F12" s="606">
        <f>'2. PROCESS RECAP '!$I$15</f>
        <v>186</v>
      </c>
      <c r="G12" s="78">
        <f>'12. WET ETCH'!$D$59</f>
        <v>1</v>
      </c>
      <c r="H12" s="605">
        <f t="shared" si="0"/>
        <v>5.1666666666666666E-2</v>
      </c>
      <c r="I12" s="78">
        <v>0.75</v>
      </c>
      <c r="J12" s="78">
        <f t="shared" si="1"/>
        <v>9</v>
      </c>
      <c r="K12" s="11">
        <v>10</v>
      </c>
      <c r="L12" s="1247"/>
      <c r="O12" s="9"/>
    </row>
    <row r="13" spans="1:15" x14ac:dyDescent="0.3">
      <c r="A13" s="491"/>
      <c r="B13" s="492"/>
      <c r="C13" s="1250"/>
      <c r="D13" s="1244"/>
      <c r="E13" s="612" t="s">
        <v>1452</v>
      </c>
      <c r="F13" s="606">
        <f>'2. PROCESS RECAP '!$I$16</f>
        <v>120</v>
      </c>
      <c r="G13" s="78">
        <f>'12. WET ETCH'!$D$96</f>
        <v>50</v>
      </c>
      <c r="H13" s="605">
        <f t="shared" si="0"/>
        <v>6.6666666666666664E-4</v>
      </c>
      <c r="I13" s="78">
        <v>0.75</v>
      </c>
      <c r="J13" s="78">
        <f t="shared" si="1"/>
        <v>0</v>
      </c>
      <c r="K13" s="11">
        <v>30</v>
      </c>
      <c r="L13" s="1247"/>
      <c r="O13" s="9"/>
    </row>
    <row r="14" spans="1:15" ht="15" thickBot="1" x14ac:dyDescent="0.35">
      <c r="A14" s="491"/>
      <c r="B14" s="492"/>
      <c r="C14" s="1250"/>
      <c r="D14" s="1245"/>
      <c r="E14" s="612" t="s">
        <v>1204</v>
      </c>
      <c r="F14" s="606">
        <f>'2. PROCESS RECAP '!$I$17</f>
        <v>1260</v>
      </c>
      <c r="G14" s="78">
        <f>'12. WET ETCH'!$D$128</f>
        <v>50</v>
      </c>
      <c r="H14" s="605">
        <f t="shared" si="0"/>
        <v>6.9999999999999993E-3</v>
      </c>
      <c r="I14" s="78">
        <v>0.75</v>
      </c>
      <c r="J14" s="78">
        <f t="shared" si="1"/>
        <v>1</v>
      </c>
      <c r="K14" s="11">
        <v>30</v>
      </c>
      <c r="L14" s="1247"/>
      <c r="O14" s="9"/>
    </row>
    <row r="15" spans="1:15" x14ac:dyDescent="0.3">
      <c r="A15" s="491"/>
      <c r="B15" s="492"/>
      <c r="C15" s="1250"/>
      <c r="D15" s="1243" t="s">
        <v>348</v>
      </c>
      <c r="E15" s="612" t="s">
        <v>1079</v>
      </c>
      <c r="F15" s="607">
        <f>'2. PROCESS RECAP '!$I$19</f>
        <v>1620</v>
      </c>
      <c r="G15" s="608">
        <f>'15. DRY ETCH'!$D$145</f>
        <v>25</v>
      </c>
      <c r="H15" s="605">
        <f t="shared" si="0"/>
        <v>1.8000000000000002E-2</v>
      </c>
      <c r="I15" s="78">
        <v>0.75</v>
      </c>
      <c r="J15" s="78">
        <f t="shared" si="1"/>
        <v>3</v>
      </c>
      <c r="K15" s="11">
        <v>10</v>
      </c>
      <c r="L15" s="1247"/>
      <c r="O15" s="9"/>
    </row>
    <row r="16" spans="1:15" x14ac:dyDescent="0.3">
      <c r="A16" s="491"/>
      <c r="B16" s="492"/>
      <c r="C16" s="1250"/>
      <c r="D16" s="1244"/>
      <c r="E16" s="612" t="s">
        <v>1830</v>
      </c>
      <c r="F16" s="607">
        <f>'2. PROCESS RECAP '!$I$20</f>
        <v>318</v>
      </c>
      <c r="G16" s="608">
        <f>'15. DRY ETCH'!$D$49</f>
        <v>1</v>
      </c>
      <c r="H16" s="605">
        <f t="shared" si="0"/>
        <v>8.8333333333333333E-2</v>
      </c>
      <c r="I16" s="78">
        <v>0.75</v>
      </c>
      <c r="J16" s="78">
        <f t="shared" si="1"/>
        <v>16</v>
      </c>
      <c r="K16" s="11">
        <v>20</v>
      </c>
      <c r="L16" s="1247"/>
      <c r="O16" s="9"/>
    </row>
    <row r="17" spans="1:15" x14ac:dyDescent="0.3">
      <c r="A17" s="75"/>
      <c r="B17" s="218"/>
      <c r="C17" s="1250"/>
      <c r="D17" s="1244"/>
      <c r="E17" s="612" t="s">
        <v>1831</v>
      </c>
      <c r="F17" s="607">
        <f>'2. PROCESS RECAP '!$I$21</f>
        <v>240</v>
      </c>
      <c r="G17" s="608">
        <f>'15. DRY ETCH'!$D$49</f>
        <v>1</v>
      </c>
      <c r="H17" s="605">
        <f t="shared" si="0"/>
        <v>6.6666666666666666E-2</v>
      </c>
      <c r="I17" s="78">
        <v>0.75</v>
      </c>
      <c r="J17" s="78">
        <f t="shared" si="1"/>
        <v>12</v>
      </c>
      <c r="K17" s="11">
        <v>20</v>
      </c>
      <c r="L17" s="1247"/>
      <c r="O17" s="9"/>
    </row>
    <row r="18" spans="1:15" x14ac:dyDescent="0.3">
      <c r="A18" s="75"/>
      <c r="B18" s="218"/>
      <c r="C18" s="1250"/>
      <c r="D18" s="1244"/>
      <c r="E18" s="612" t="s">
        <v>1205</v>
      </c>
      <c r="F18" s="608">
        <f>'2. PROCESS RECAP '!$I$22</f>
        <v>180</v>
      </c>
      <c r="G18" s="608">
        <f>'15. DRY ETCH'!$D$49</f>
        <v>1</v>
      </c>
      <c r="H18" s="605">
        <f t="shared" si="0"/>
        <v>0.05</v>
      </c>
      <c r="I18" s="78">
        <v>0.75</v>
      </c>
      <c r="J18" s="78">
        <f t="shared" si="1"/>
        <v>9</v>
      </c>
      <c r="K18" s="11">
        <v>20</v>
      </c>
      <c r="L18" s="1247"/>
      <c r="O18" s="9"/>
    </row>
    <row r="19" spans="1:15" ht="15" thickBot="1" x14ac:dyDescent="0.35">
      <c r="A19" s="75"/>
      <c r="B19" s="218"/>
      <c r="C19" s="1250"/>
      <c r="D19" s="1245"/>
      <c r="E19" s="612" t="s">
        <v>1206</v>
      </c>
      <c r="F19" s="608">
        <f>'2. PROCESS RECAP '!$I$23</f>
        <v>637.20000000000005</v>
      </c>
      <c r="G19" s="608">
        <f>'15. DRY ETCH'!$D$49</f>
        <v>1</v>
      </c>
      <c r="H19" s="605">
        <f t="shared" si="0"/>
        <v>0.17700000000000002</v>
      </c>
      <c r="I19" s="78">
        <v>0.75</v>
      </c>
      <c r="J19" s="78">
        <f t="shared" si="1"/>
        <v>32</v>
      </c>
      <c r="K19" s="11">
        <v>20</v>
      </c>
      <c r="L19" s="1247"/>
      <c r="O19" s="9"/>
    </row>
    <row r="20" spans="1:15" x14ac:dyDescent="0.3">
      <c r="A20" s="75"/>
      <c r="B20" s="218"/>
      <c r="C20" s="1250"/>
      <c r="D20" s="1243" t="s">
        <v>989</v>
      </c>
      <c r="E20" s="612" t="s">
        <v>1170</v>
      </c>
      <c r="F20" s="608">
        <f>SUM('2. PROCESS RECAP '!$I$25:$I$26)</f>
        <v>2160</v>
      </c>
      <c r="G20" s="608">
        <f>'17. IMPLANT'!$D$66</f>
        <v>1</v>
      </c>
      <c r="H20" s="605">
        <f t="shared" si="0"/>
        <v>0.6</v>
      </c>
      <c r="I20" s="78">
        <v>0.75</v>
      </c>
      <c r="J20" s="78">
        <f t="shared" si="1"/>
        <v>110</v>
      </c>
      <c r="K20" s="11">
        <v>25</v>
      </c>
      <c r="L20" s="1247"/>
      <c r="O20" s="9"/>
    </row>
    <row r="21" spans="1:15" ht="15" thickBot="1" x14ac:dyDescent="0.35">
      <c r="A21" s="484"/>
      <c r="B21" s="485"/>
      <c r="C21" s="1250"/>
      <c r="D21" s="1245"/>
      <c r="E21" s="612" t="s">
        <v>1168</v>
      </c>
      <c r="F21" s="608">
        <f>'2. PROCESS RECAP '!$I$27</f>
        <v>1080</v>
      </c>
      <c r="G21" s="608">
        <f>'17. IMPLANT'!$D$31</f>
        <v>1</v>
      </c>
      <c r="H21" s="605">
        <f t="shared" si="0"/>
        <v>0.3</v>
      </c>
      <c r="I21" s="78">
        <v>0.75</v>
      </c>
      <c r="J21" s="78">
        <f t="shared" si="1"/>
        <v>55</v>
      </c>
      <c r="K21" s="11">
        <v>25</v>
      </c>
      <c r="L21" s="1247"/>
      <c r="O21" s="9"/>
    </row>
    <row r="22" spans="1:15" x14ac:dyDescent="0.3">
      <c r="A22" s="484"/>
      <c r="B22" s="485"/>
      <c r="C22" s="1250"/>
      <c r="D22" s="1243" t="s">
        <v>1256</v>
      </c>
      <c r="E22" s="612" t="s">
        <v>1861</v>
      </c>
      <c r="F22" s="608">
        <f>'2. PROCESS RECAP '!$I$29</f>
        <v>4920</v>
      </c>
      <c r="G22" s="592">
        <f>'16. THERMAL PROC.'!$D$56</f>
        <v>100</v>
      </c>
      <c r="H22" s="605">
        <f t="shared" si="0"/>
        <v>1.3666666666666667E-2</v>
      </c>
      <c r="I22" s="78">
        <v>0.75</v>
      </c>
      <c r="J22" s="78">
        <f t="shared" si="1"/>
        <v>2</v>
      </c>
      <c r="K22" s="11">
        <v>25</v>
      </c>
      <c r="L22" s="1247"/>
      <c r="O22" s="9"/>
    </row>
    <row r="23" spans="1:15" x14ac:dyDescent="0.3">
      <c r="A23" s="484"/>
      <c r="B23" s="485"/>
      <c r="C23" s="1250"/>
      <c r="D23" s="1244"/>
      <c r="E23" s="612" t="s">
        <v>1862</v>
      </c>
      <c r="F23" s="608">
        <f>'2. PROCESS RECAP '!$I$30</f>
        <v>9960</v>
      </c>
      <c r="G23" s="592">
        <f>'16. THERMAL PROC.'!$D$92</f>
        <v>100</v>
      </c>
      <c r="H23" s="605">
        <f t="shared" si="0"/>
        <v>2.7666666666666666E-2</v>
      </c>
      <c r="I23" s="78">
        <v>0.75</v>
      </c>
      <c r="J23" s="78">
        <f t="shared" si="1"/>
        <v>5</v>
      </c>
      <c r="K23" s="11">
        <v>25</v>
      </c>
      <c r="L23" s="1247"/>
      <c r="O23" s="9"/>
    </row>
    <row r="24" spans="1:15" x14ac:dyDescent="0.3">
      <c r="A24" s="484"/>
      <c r="B24" s="485"/>
      <c r="C24" s="1250"/>
      <c r="D24" s="1244"/>
      <c r="E24" s="612" t="s">
        <v>1207</v>
      </c>
      <c r="F24" s="608">
        <f>'2. PROCESS RECAP '!$I$31</f>
        <v>8520</v>
      </c>
      <c r="G24" s="592">
        <f>'16. THERMAL PROC.'!$D$92</f>
        <v>100</v>
      </c>
      <c r="H24" s="605">
        <f t="shared" si="0"/>
        <v>2.3666666666666666E-2</v>
      </c>
      <c r="I24" s="78">
        <v>0.75</v>
      </c>
      <c r="J24" s="78">
        <f t="shared" si="1"/>
        <v>4</v>
      </c>
      <c r="K24" s="11">
        <v>25</v>
      </c>
      <c r="L24" s="1247"/>
      <c r="O24" s="9"/>
    </row>
    <row r="25" spans="1:15" x14ac:dyDescent="0.3">
      <c r="A25" s="484"/>
      <c r="B25" s="485"/>
      <c r="C25" s="1250"/>
      <c r="D25" s="1244"/>
      <c r="E25" s="612" t="s">
        <v>1453</v>
      </c>
      <c r="F25" s="607">
        <f>SUM('2. PROCESS RECAP '!$I$32:$I$33)</f>
        <v>5008</v>
      </c>
      <c r="G25" s="592">
        <f>'16. THERMAL PROC.'!$D$121</f>
        <v>1</v>
      </c>
      <c r="H25" s="605">
        <f t="shared" si="0"/>
        <v>1.3911111111111112</v>
      </c>
      <c r="I25" s="78">
        <v>0.75</v>
      </c>
      <c r="J25" s="78">
        <f t="shared" si="1"/>
        <v>256</v>
      </c>
      <c r="K25" s="11">
        <v>25</v>
      </c>
      <c r="L25" s="1247"/>
      <c r="O25" s="9"/>
    </row>
    <row r="26" spans="1:15" x14ac:dyDescent="0.3">
      <c r="A26" s="484"/>
      <c r="B26" s="485"/>
      <c r="C26" s="1250"/>
      <c r="D26" s="1244"/>
      <c r="E26" s="612" t="s">
        <v>1510</v>
      </c>
      <c r="F26" s="607">
        <f>'2. PROCESS RECAP '!$I$34</f>
        <v>4860</v>
      </c>
      <c r="G26" s="592">
        <f>'16. THERMAL PROC.'!$D$147</f>
        <v>100</v>
      </c>
      <c r="H26" s="605">
        <f t="shared" si="0"/>
        <v>1.3500000000000002E-2</v>
      </c>
      <c r="I26" s="78">
        <v>0.75</v>
      </c>
      <c r="J26" s="78">
        <f t="shared" si="1"/>
        <v>2</v>
      </c>
      <c r="K26" s="11">
        <v>25</v>
      </c>
      <c r="L26" s="1247"/>
      <c r="O26" s="9"/>
    </row>
    <row r="27" spans="1:15" x14ac:dyDescent="0.3">
      <c r="A27" s="484"/>
      <c r="B27" s="485"/>
      <c r="C27" s="1250"/>
      <c r="D27" s="1244"/>
      <c r="E27" s="612" t="s">
        <v>1172</v>
      </c>
      <c r="F27" s="607">
        <f>'2. PROCESS RECAP '!$I$35</f>
        <v>2617.9938779914946</v>
      </c>
      <c r="G27" s="592">
        <f>'16. THERMAL PROC.'!$D$170</f>
        <v>1</v>
      </c>
      <c r="H27" s="605">
        <f t="shared" si="0"/>
        <v>0.72722052166430406</v>
      </c>
      <c r="I27" s="78">
        <v>0.75</v>
      </c>
      <c r="J27" s="78">
        <f t="shared" si="1"/>
        <v>134</v>
      </c>
      <c r="K27" s="11">
        <v>25</v>
      </c>
      <c r="L27" s="1247"/>
      <c r="O27" s="9"/>
    </row>
    <row r="28" spans="1:15" ht="15" thickBot="1" x14ac:dyDescent="0.35">
      <c r="A28" s="484"/>
      <c r="B28" s="485"/>
      <c r="C28" s="1250"/>
      <c r="D28" s="1245"/>
      <c r="E28" s="612" t="s">
        <v>1208</v>
      </c>
      <c r="F28" s="608">
        <f>'2. PROCESS RECAP '!$I$36</f>
        <v>7620</v>
      </c>
      <c r="G28" s="592">
        <f>'16. THERMAL PROC.'!$D$188</f>
        <v>100</v>
      </c>
      <c r="H28" s="605">
        <f t="shared" si="0"/>
        <v>2.1166666666666667E-2</v>
      </c>
      <c r="I28" s="78">
        <v>0.75</v>
      </c>
      <c r="J28" s="78">
        <f t="shared" si="1"/>
        <v>3</v>
      </c>
      <c r="K28" s="11">
        <v>25</v>
      </c>
      <c r="L28" s="1247"/>
      <c r="O28" s="9"/>
    </row>
    <row r="29" spans="1:15" x14ac:dyDescent="0.3">
      <c r="A29" s="484"/>
      <c r="B29" s="485"/>
      <c r="C29" s="1250"/>
      <c r="D29" s="1243" t="s">
        <v>1500</v>
      </c>
      <c r="E29" s="612" t="s">
        <v>1209</v>
      </c>
      <c r="F29" s="608">
        <f>'2. PROCESS RECAP '!$I$38</f>
        <v>240</v>
      </c>
      <c r="G29" s="608">
        <f>'19. PVD'!$D$69</f>
        <v>1</v>
      </c>
      <c r="H29" s="605">
        <f t="shared" si="0"/>
        <v>6.6666666666666666E-2</v>
      </c>
      <c r="I29" s="78">
        <v>0.75</v>
      </c>
      <c r="J29" s="78">
        <f t="shared" si="1"/>
        <v>12</v>
      </c>
      <c r="K29" s="11">
        <v>20</v>
      </c>
      <c r="L29" s="1247"/>
      <c r="O29" s="9"/>
    </row>
    <row r="30" spans="1:15" x14ac:dyDescent="0.3">
      <c r="A30" s="484"/>
      <c r="B30" s="485"/>
      <c r="C30" s="1250"/>
      <c r="D30" s="1244"/>
      <c r="E30" s="612" t="s">
        <v>1822</v>
      </c>
      <c r="F30" s="607">
        <f>'2. PROCESS RECAP '!$I$39</f>
        <v>405.0632911392405</v>
      </c>
      <c r="G30" s="608">
        <f>'19. PVD'!$D$35</f>
        <v>1</v>
      </c>
      <c r="H30" s="605">
        <f t="shared" si="0"/>
        <v>0.11251758087201125</v>
      </c>
      <c r="I30" s="78">
        <v>0.75</v>
      </c>
      <c r="J30" s="78">
        <f t="shared" si="1"/>
        <v>20</v>
      </c>
      <c r="K30" s="11">
        <v>20</v>
      </c>
      <c r="L30" s="1247"/>
      <c r="O30" s="9"/>
    </row>
    <row r="31" spans="1:15" x14ac:dyDescent="0.3">
      <c r="A31" s="484"/>
      <c r="B31" s="485"/>
      <c r="C31" s="1250"/>
      <c r="D31" s="1244"/>
      <c r="E31" s="612" t="s">
        <v>1210</v>
      </c>
      <c r="F31" s="607">
        <f>'2. PROCESS RECAP '!$I$40</f>
        <v>180</v>
      </c>
      <c r="G31" s="608">
        <f>'19. PVD'!$D$101</f>
        <v>1</v>
      </c>
      <c r="H31" s="605">
        <f t="shared" si="0"/>
        <v>0.05</v>
      </c>
      <c r="I31" s="78">
        <v>0.75</v>
      </c>
      <c r="J31" s="78">
        <f t="shared" si="1"/>
        <v>9</v>
      </c>
      <c r="K31" s="11">
        <v>20</v>
      </c>
      <c r="L31" s="1247"/>
      <c r="O31" s="9"/>
    </row>
    <row r="32" spans="1:15" ht="15" thickBot="1" x14ac:dyDescent="0.35">
      <c r="A32" s="493"/>
      <c r="B32" s="494"/>
      <c r="C32" s="1250"/>
      <c r="D32" s="1245"/>
      <c r="E32" s="612" t="s">
        <v>1211</v>
      </c>
      <c r="F32" s="607">
        <f>'2. PROCESS RECAP '!$I$41</f>
        <v>117.64705882352942</v>
      </c>
      <c r="G32" s="608">
        <f>'19. PVD'!$D$133</f>
        <v>1</v>
      </c>
      <c r="H32" s="605">
        <f t="shared" si="0"/>
        <v>3.2679738562091505E-2</v>
      </c>
      <c r="I32" s="78">
        <v>0.75</v>
      </c>
      <c r="J32" s="78">
        <f t="shared" si="1"/>
        <v>6</v>
      </c>
      <c r="K32" s="11">
        <v>20</v>
      </c>
      <c r="L32" s="1247"/>
      <c r="O32" s="9"/>
    </row>
    <row r="33" spans="1:15" x14ac:dyDescent="0.3">
      <c r="A33" s="493"/>
      <c r="B33" s="494"/>
      <c r="C33" s="1250"/>
      <c r="D33" s="1243" t="s">
        <v>1501</v>
      </c>
      <c r="E33" s="612" t="s">
        <v>1212</v>
      </c>
      <c r="F33" s="608">
        <f>'2. PROCESS RECAP '!$I$43</f>
        <v>1500</v>
      </c>
      <c r="G33" s="608">
        <f>'18. CVD'!$D$59</f>
        <v>100</v>
      </c>
      <c r="H33" s="605">
        <f t="shared" si="0"/>
        <v>4.1666666666666666E-3</v>
      </c>
      <c r="I33" s="78">
        <v>0.75</v>
      </c>
      <c r="J33" s="78">
        <f t="shared" si="1"/>
        <v>0</v>
      </c>
      <c r="K33" s="11">
        <v>25</v>
      </c>
      <c r="L33" s="1247"/>
      <c r="O33" s="9"/>
    </row>
    <row r="34" spans="1:15" x14ac:dyDescent="0.3">
      <c r="A34" s="493"/>
      <c r="B34" s="494"/>
      <c r="C34" s="1250"/>
      <c r="D34" s="1244"/>
      <c r="E34" s="612" t="s">
        <v>1213</v>
      </c>
      <c r="F34" s="608">
        <f>'2. PROCESS RECAP '!$I$44</f>
        <v>2580</v>
      </c>
      <c r="G34" s="608">
        <f>'18. CVD'!$D$110</f>
        <v>100</v>
      </c>
      <c r="H34" s="605">
        <f t="shared" si="0"/>
        <v>7.1666666666666667E-3</v>
      </c>
      <c r="I34" s="78">
        <v>0.75</v>
      </c>
      <c r="J34" s="78">
        <f t="shared" si="1"/>
        <v>1</v>
      </c>
      <c r="K34" s="11">
        <v>25</v>
      </c>
      <c r="L34" s="1247"/>
      <c r="O34" s="9"/>
    </row>
    <row r="35" spans="1:15" x14ac:dyDescent="0.3">
      <c r="A35" s="493"/>
      <c r="B35" s="494"/>
      <c r="C35" s="1250"/>
      <c r="D35" s="1244"/>
      <c r="E35" s="612" t="s">
        <v>1214</v>
      </c>
      <c r="F35" s="608">
        <f>'2. PROCESS RECAP '!$I$45</f>
        <v>1680</v>
      </c>
      <c r="G35" s="608">
        <f>'18. CVD'!$D$158</f>
        <v>100</v>
      </c>
      <c r="H35" s="605">
        <f t="shared" si="0"/>
        <v>4.6666666666666671E-3</v>
      </c>
      <c r="I35" s="78">
        <v>0.75</v>
      </c>
      <c r="J35" s="78">
        <f t="shared" si="1"/>
        <v>0</v>
      </c>
      <c r="K35" s="11">
        <v>25</v>
      </c>
      <c r="L35" s="1247"/>
      <c r="O35" s="9"/>
    </row>
    <row r="36" spans="1:15" x14ac:dyDescent="0.3">
      <c r="A36" s="493"/>
      <c r="B36" s="494"/>
      <c r="C36" s="1250"/>
      <c r="D36" s="1244"/>
      <c r="E36" s="612" t="s">
        <v>1215</v>
      </c>
      <c r="F36" s="608">
        <f>'2. PROCESS RECAP '!$I$46</f>
        <v>1680</v>
      </c>
      <c r="G36" s="608">
        <f>'18. CVD'!$D$213</f>
        <v>1</v>
      </c>
      <c r="H36" s="605">
        <f t="shared" si="0"/>
        <v>0.46666666666666667</v>
      </c>
      <c r="I36" s="78">
        <v>0.75</v>
      </c>
      <c r="J36" s="78">
        <f t="shared" si="1"/>
        <v>86</v>
      </c>
      <c r="K36" s="11">
        <v>25</v>
      </c>
      <c r="L36" s="1247"/>
      <c r="O36" s="9"/>
    </row>
    <row r="37" spans="1:15" ht="15" thickBot="1" x14ac:dyDescent="0.35">
      <c r="A37" s="493"/>
      <c r="B37" s="494"/>
      <c r="C37" s="1250"/>
      <c r="D37" s="1245"/>
      <c r="E37" s="612" t="s">
        <v>2608</v>
      </c>
      <c r="F37" s="608">
        <f>'2. PROCESS RECAP '!$I$47</f>
        <v>765</v>
      </c>
      <c r="G37" s="608">
        <f>'18. CVD'!$D$270</f>
        <v>100</v>
      </c>
      <c r="H37" s="605">
        <f t="shared" si="0"/>
        <v>2.1250000000000002E-3</v>
      </c>
      <c r="I37" s="78">
        <v>0.75</v>
      </c>
      <c r="J37" s="78">
        <f t="shared" si="1"/>
        <v>0</v>
      </c>
      <c r="K37" s="11">
        <v>25</v>
      </c>
      <c r="L37" s="1247"/>
      <c r="O37" s="9"/>
    </row>
    <row r="38" spans="1:15" x14ac:dyDescent="0.3">
      <c r="A38" s="493"/>
      <c r="B38" s="494"/>
      <c r="C38" s="1250"/>
      <c r="D38" s="1243" t="s">
        <v>177</v>
      </c>
      <c r="E38" s="612" t="s">
        <v>1216</v>
      </c>
      <c r="F38" s="608">
        <f>'2. PROCESS RECAP '!$I$49</f>
        <v>600</v>
      </c>
      <c r="G38" s="608">
        <f>'20. CMP'!$D$37</f>
        <v>1</v>
      </c>
      <c r="H38" s="605">
        <f t="shared" si="0"/>
        <v>0.16666666666666666</v>
      </c>
      <c r="I38" s="78">
        <v>0.75</v>
      </c>
      <c r="J38" s="78">
        <f t="shared" si="1"/>
        <v>30</v>
      </c>
      <c r="K38" s="11">
        <v>15</v>
      </c>
      <c r="L38" s="1247"/>
      <c r="O38" s="9"/>
    </row>
    <row r="39" spans="1:15" x14ac:dyDescent="0.3">
      <c r="A39" s="493"/>
      <c r="B39" s="494"/>
      <c r="C39" s="1250"/>
      <c r="D39" s="1244"/>
      <c r="E39" s="612" t="s">
        <v>1217</v>
      </c>
      <c r="F39" s="608">
        <f>'2. PROCESS RECAP '!$I$50</f>
        <v>300</v>
      </c>
      <c r="G39" s="608">
        <f>'20. CMP'!$D$70</f>
        <v>1</v>
      </c>
      <c r="H39" s="605">
        <f t="shared" si="0"/>
        <v>8.3333333333333329E-2</v>
      </c>
      <c r="I39" s="78">
        <v>0.75</v>
      </c>
      <c r="J39" s="78">
        <f t="shared" si="1"/>
        <v>15</v>
      </c>
      <c r="K39" s="11">
        <v>15</v>
      </c>
      <c r="L39" s="1247"/>
      <c r="O39" s="9"/>
    </row>
    <row r="40" spans="1:15" ht="15" thickBot="1" x14ac:dyDescent="0.35">
      <c r="A40" s="493"/>
      <c r="B40" s="494"/>
      <c r="C40" s="1250"/>
      <c r="D40" s="1245"/>
      <c r="E40" s="612" t="s">
        <v>1202</v>
      </c>
      <c r="F40" s="608">
        <f>'2. PROCESS RECAP '!$I$51</f>
        <v>540</v>
      </c>
      <c r="G40" s="608">
        <f>'20. CMP'!$D$105</f>
        <v>1</v>
      </c>
      <c r="H40" s="605">
        <f t="shared" si="0"/>
        <v>0.15</v>
      </c>
      <c r="I40" s="78">
        <v>0.75</v>
      </c>
      <c r="J40" s="78">
        <f t="shared" si="1"/>
        <v>27</v>
      </c>
      <c r="K40" s="11">
        <v>15</v>
      </c>
      <c r="L40" s="1247"/>
      <c r="O40" s="9"/>
    </row>
    <row r="41" spans="1:15" x14ac:dyDescent="0.3">
      <c r="A41" s="493"/>
      <c r="B41" s="494"/>
      <c r="C41" s="1250"/>
      <c r="D41" s="1243" t="s">
        <v>1497</v>
      </c>
      <c r="E41" s="612" t="s">
        <v>1218</v>
      </c>
      <c r="F41" s="607">
        <f>'2. PROCESS RECAP '!$I$53</f>
        <v>120</v>
      </c>
      <c r="G41" s="607">
        <f>'21. THINNING'!$D$28</f>
        <v>1</v>
      </c>
      <c r="H41" s="605">
        <f t="shared" si="0"/>
        <v>3.3333333333333333E-2</v>
      </c>
      <c r="I41" s="78">
        <v>0.75</v>
      </c>
      <c r="J41" s="78">
        <f t="shared" si="1"/>
        <v>6</v>
      </c>
      <c r="K41" s="11">
        <v>15</v>
      </c>
      <c r="L41" s="1247"/>
      <c r="O41" s="9"/>
    </row>
    <row r="42" spans="1:15" ht="15" thickBot="1" x14ac:dyDescent="0.35">
      <c r="A42" s="493"/>
      <c r="B42" s="494"/>
      <c r="C42" s="1250"/>
      <c r="D42" s="1244"/>
      <c r="E42" s="612" t="s">
        <v>1219</v>
      </c>
      <c r="F42" s="607">
        <f>'2. PROCESS RECAP '!$I$54</f>
        <v>417.72727272727269</v>
      </c>
      <c r="G42" s="607">
        <f>'21. THINNING'!$D$54</f>
        <v>1</v>
      </c>
      <c r="H42" s="605">
        <f t="shared" si="0"/>
        <v>0.11603535353535352</v>
      </c>
      <c r="I42" s="78">
        <v>0.75</v>
      </c>
      <c r="J42" s="78">
        <f t="shared" si="1"/>
        <v>21</v>
      </c>
      <c r="K42" s="11">
        <v>15</v>
      </c>
      <c r="L42" s="1247"/>
      <c r="O42" s="9"/>
    </row>
    <row r="43" spans="1:15" x14ac:dyDescent="0.3">
      <c r="A43" s="493"/>
      <c r="B43" s="494"/>
      <c r="C43" s="1250"/>
      <c r="D43" s="1243" t="s">
        <v>1498</v>
      </c>
      <c r="E43" s="612" t="s">
        <v>2196</v>
      </c>
      <c r="F43" s="607">
        <f>'2. PROCESS RECAP '!$I$56</f>
        <v>240</v>
      </c>
      <c r="G43" s="607">
        <f>'22. DICING'!$D$25</f>
        <v>1</v>
      </c>
      <c r="H43" s="605">
        <f>(F43/3600)/G43</f>
        <v>6.6666666666666666E-2</v>
      </c>
      <c r="I43" s="78">
        <v>0.75</v>
      </c>
      <c r="J43" s="78">
        <f>INT(($C$4*H43)/I43)</f>
        <v>12</v>
      </c>
      <c r="K43" s="11">
        <v>15</v>
      </c>
      <c r="L43" s="1247"/>
      <c r="O43" s="9"/>
    </row>
    <row r="44" spans="1:15" ht="15" thickBot="1" x14ac:dyDescent="0.35">
      <c r="A44" s="493"/>
      <c r="B44" s="494"/>
      <c r="C44" s="1250"/>
      <c r="D44" s="1245"/>
      <c r="E44" s="612" t="s">
        <v>1220</v>
      </c>
      <c r="F44" s="607">
        <f>'2. PROCESS RECAP '!$I$57</f>
        <v>362.66666666666663</v>
      </c>
      <c r="G44" s="608">
        <f>'22. DICING'!$D$53</f>
        <v>1</v>
      </c>
      <c r="H44" s="605">
        <f t="shared" si="0"/>
        <v>0.10074074074074073</v>
      </c>
      <c r="I44" s="78">
        <v>0.75</v>
      </c>
      <c r="J44" s="78">
        <f t="shared" si="1"/>
        <v>18</v>
      </c>
      <c r="K44" s="11">
        <v>10</v>
      </c>
      <c r="L44" s="1247"/>
      <c r="O44" s="9"/>
    </row>
    <row r="45" spans="1:15" x14ac:dyDescent="0.3">
      <c r="A45" s="493"/>
      <c r="B45" s="494"/>
      <c r="C45" s="1250"/>
      <c r="D45" s="1243" t="s">
        <v>1499</v>
      </c>
      <c r="E45" s="612" t="s">
        <v>1398</v>
      </c>
      <c r="F45" s="608">
        <f>'2. PROCESS RECAP '!$I$59</f>
        <v>120</v>
      </c>
      <c r="G45" s="608">
        <f>'23. PROBING'!$D$20</f>
        <v>1</v>
      </c>
      <c r="H45" s="605">
        <f t="shared" si="0"/>
        <v>3.3333333333333333E-2</v>
      </c>
      <c r="I45" s="78">
        <v>0.75</v>
      </c>
      <c r="J45" s="78">
        <f t="shared" ref="J45:J46" si="2">INT(($C$4*H45)/I45)</f>
        <v>6</v>
      </c>
      <c r="K45" s="11">
        <v>10</v>
      </c>
      <c r="L45" s="1247"/>
      <c r="O45" s="9"/>
    </row>
    <row r="46" spans="1:15" ht="15" thickBot="1" x14ac:dyDescent="0.35">
      <c r="A46" s="497"/>
      <c r="B46" s="498"/>
      <c r="C46" s="1251"/>
      <c r="D46" s="1245"/>
      <c r="E46" s="613" t="s">
        <v>1399</v>
      </c>
      <c r="F46" s="614">
        <f>'2. PROCESS RECAP '!$I$60</f>
        <v>1092</v>
      </c>
      <c r="G46" s="614">
        <f>'23. PROBING'!$D$40</f>
        <v>1</v>
      </c>
      <c r="H46" s="615">
        <f t="shared" si="0"/>
        <v>0.30333333333333334</v>
      </c>
      <c r="I46" s="437">
        <v>0.75</v>
      </c>
      <c r="J46" s="437">
        <f t="shared" si="2"/>
        <v>55</v>
      </c>
      <c r="K46" s="616">
        <v>10</v>
      </c>
      <c r="L46" s="1248"/>
      <c r="O46" s="9"/>
    </row>
    <row r="47" spans="1:15" ht="15" thickBot="1" x14ac:dyDescent="0.35"/>
    <row r="48" spans="1:15" ht="15" thickBot="1" x14ac:dyDescent="0.35">
      <c r="F48" s="499" t="s">
        <v>1826</v>
      </c>
      <c r="H48" s="499" t="s">
        <v>1826</v>
      </c>
      <c r="J48" s="499" t="s">
        <v>1825</v>
      </c>
    </row>
    <row r="49" spans="6:11" ht="15" thickBot="1" x14ac:dyDescent="0.35">
      <c r="F49" s="501">
        <f>SUM(F4:F46)/3600</f>
        <v>24.671471713152282</v>
      </c>
      <c r="H49" s="501">
        <f>SUM(H4:H46)</f>
        <v>7.8495967131522777</v>
      </c>
      <c r="I49" s="1"/>
      <c r="J49" s="500">
        <f>SUM(J4:J46)</f>
        <v>1430</v>
      </c>
      <c r="K49" s="9"/>
    </row>
  </sheetData>
  <sheetProtection algorithmName="SHA-512" hashValue="t/LJwiqgV6QXhnRNWQvWL1dErLnGqKWmZIaIEFa5GLBUWxrycSbx7n4ixXqLbPu4j/NBzaSF2TORJ5evxoFfdA==" saltValue="9oo+r8jaOFs8WJtf42mzQw==" spinCount="100000" sheet="1" objects="1" scenarios="1"/>
  <mergeCells count="19">
    <mergeCell ref="D33:D37"/>
    <mergeCell ref="D38:D40"/>
    <mergeCell ref="D41:D42"/>
    <mergeCell ref="L4:L46"/>
    <mergeCell ref="C4:C46"/>
    <mergeCell ref="D43:D44"/>
    <mergeCell ref="D45:D46"/>
    <mergeCell ref="D10:D14"/>
    <mergeCell ref="D15:D19"/>
    <mergeCell ref="D20:D21"/>
    <mergeCell ref="D22:D28"/>
    <mergeCell ref="D29:D32"/>
    <mergeCell ref="A8:B9"/>
    <mergeCell ref="C2:K2"/>
    <mergeCell ref="D6:D9"/>
    <mergeCell ref="A2:B3"/>
    <mergeCell ref="A4:B5"/>
    <mergeCell ref="D4:D5"/>
    <mergeCell ref="A6:B6"/>
  </mergeCells>
  <pageMargins left="0.7" right="0.7" top="0.75" bottom="0.75" header="0.3" footer="0.3"/>
  <pageSetup paperSize="9" orientation="portrait" verticalDpi="0"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15AAC-883D-4F78-8EED-04F84D222C2D}">
  <dimension ref="A1:F34"/>
  <sheetViews>
    <sheetView zoomScaleNormal="100" workbookViewId="0"/>
  </sheetViews>
  <sheetFormatPr baseColWidth="10" defaultRowHeight="14.4" x14ac:dyDescent="0.3"/>
  <cols>
    <col min="1" max="1" width="24" bestFit="1" customWidth="1"/>
  </cols>
  <sheetData>
    <row r="1" spans="1:6" x14ac:dyDescent="0.3">
      <c r="A1" t="s">
        <v>135</v>
      </c>
    </row>
    <row r="2" spans="1:6" x14ac:dyDescent="0.3">
      <c r="A2" s="922" t="s">
        <v>2556</v>
      </c>
      <c r="B2" s="922"/>
      <c r="C2" s="922"/>
      <c r="D2" s="922"/>
      <c r="E2" s="922"/>
      <c r="F2" s="922"/>
    </row>
    <row r="3" spans="1:6" x14ac:dyDescent="0.3">
      <c r="A3" s="922" t="s">
        <v>2557</v>
      </c>
      <c r="B3" s="922"/>
      <c r="C3" s="922"/>
      <c r="D3" s="922"/>
      <c r="E3" s="922"/>
      <c r="F3" s="922"/>
    </row>
    <row r="4" spans="1:6" x14ac:dyDescent="0.3">
      <c r="A4" s="922" t="s">
        <v>2573</v>
      </c>
      <c r="B4" s="922"/>
      <c r="C4" s="922"/>
      <c r="D4" s="922"/>
      <c r="E4" s="922"/>
      <c r="F4" s="922"/>
    </row>
    <row r="5" spans="1:6" x14ac:dyDescent="0.3">
      <c r="A5" s="924" t="s">
        <v>2564</v>
      </c>
      <c r="B5" s="922"/>
      <c r="C5" s="922"/>
      <c r="D5" s="922"/>
      <c r="E5" s="922"/>
      <c r="F5" s="922"/>
    </row>
    <row r="6" spans="1:6" x14ac:dyDescent="0.3">
      <c r="A6" s="25" t="s">
        <v>2571</v>
      </c>
      <c r="B6" s="922"/>
      <c r="C6" s="922"/>
      <c r="D6" s="922"/>
      <c r="E6" s="922"/>
      <c r="F6" s="922"/>
    </row>
    <row r="7" spans="1:6" x14ac:dyDescent="0.3">
      <c r="A7" s="25" t="s">
        <v>2572</v>
      </c>
      <c r="B7" s="922"/>
      <c r="C7" s="922"/>
      <c r="D7" s="922"/>
      <c r="E7" s="922"/>
      <c r="F7" s="922"/>
    </row>
    <row r="8" spans="1:6" x14ac:dyDescent="0.3">
      <c r="A8" s="922" t="s">
        <v>2565</v>
      </c>
      <c r="B8" s="922"/>
      <c r="C8" s="922"/>
      <c r="D8" s="922"/>
      <c r="E8" s="922"/>
      <c r="F8" s="922"/>
    </row>
    <row r="9" spans="1:6" x14ac:dyDescent="0.3">
      <c r="A9" s="922" t="s">
        <v>2574</v>
      </c>
      <c r="B9" s="922"/>
      <c r="C9" s="922"/>
      <c r="D9" s="922"/>
      <c r="E9" s="922"/>
      <c r="F9" s="922"/>
    </row>
    <row r="10" spans="1:6" x14ac:dyDescent="0.3">
      <c r="A10" s="922" t="s">
        <v>2566</v>
      </c>
      <c r="B10" s="922"/>
      <c r="C10" s="922"/>
      <c r="D10" s="922"/>
      <c r="E10" s="922"/>
      <c r="F10" s="922"/>
    </row>
    <row r="11" spans="1:6" x14ac:dyDescent="0.3">
      <c r="A11" s="922" t="s">
        <v>2575</v>
      </c>
      <c r="B11" s="922"/>
      <c r="C11" s="922"/>
      <c r="D11" s="922"/>
      <c r="E11" s="922"/>
      <c r="F11" s="922"/>
    </row>
    <row r="12" spans="1:6" x14ac:dyDescent="0.3">
      <c r="A12" s="922" t="s">
        <v>2567</v>
      </c>
      <c r="B12" s="922"/>
      <c r="C12" s="922"/>
      <c r="D12" s="922"/>
      <c r="E12" s="922"/>
      <c r="F12" s="922"/>
    </row>
    <row r="13" spans="1:6" x14ac:dyDescent="0.3">
      <c r="A13" s="922" t="s">
        <v>2568</v>
      </c>
      <c r="B13" s="922"/>
      <c r="C13" s="922"/>
      <c r="D13" s="922"/>
      <c r="E13" s="922"/>
      <c r="F13" s="922"/>
    </row>
    <row r="14" spans="1:6" x14ac:dyDescent="0.3">
      <c r="A14" s="25" t="s">
        <v>2576</v>
      </c>
      <c r="B14" s="922"/>
      <c r="C14" s="922"/>
      <c r="D14" s="922"/>
      <c r="E14" s="922"/>
      <c r="F14" s="922"/>
    </row>
    <row r="15" spans="1:6" x14ac:dyDescent="0.3">
      <c r="A15" s="922" t="s">
        <v>2577</v>
      </c>
      <c r="B15" s="922"/>
      <c r="C15" s="922"/>
      <c r="D15" s="922"/>
      <c r="E15" s="922"/>
      <c r="F15" s="922"/>
    </row>
    <row r="16" spans="1:6" x14ac:dyDescent="0.3">
      <c r="A16" s="922" t="s">
        <v>2569</v>
      </c>
      <c r="B16" s="922"/>
      <c r="C16" s="922"/>
      <c r="D16" s="922"/>
      <c r="E16" s="922"/>
      <c r="F16" s="922"/>
    </row>
    <row r="17" spans="1:6" x14ac:dyDescent="0.3">
      <c r="A17" s="923" t="s">
        <v>2560</v>
      </c>
      <c r="B17" s="922"/>
      <c r="C17" s="922"/>
      <c r="D17" s="922"/>
      <c r="E17" s="922"/>
      <c r="F17" s="922"/>
    </row>
    <row r="18" spans="1:6" x14ac:dyDescent="0.3">
      <c r="A18" s="923" t="s">
        <v>2558</v>
      </c>
      <c r="B18" s="922"/>
      <c r="C18" s="922"/>
      <c r="D18" s="922"/>
      <c r="E18" s="922"/>
      <c r="F18" s="922"/>
    </row>
    <row r="19" spans="1:6" x14ac:dyDescent="0.3">
      <c r="A19" s="922" t="s">
        <v>2559</v>
      </c>
      <c r="B19" s="922"/>
      <c r="C19" s="922"/>
      <c r="D19" s="922"/>
      <c r="E19" s="922"/>
      <c r="F19" s="922"/>
    </row>
    <row r="20" spans="1:6" x14ac:dyDescent="0.3">
      <c r="A20" s="924" t="s">
        <v>2570</v>
      </c>
    </row>
    <row r="21" spans="1:6" x14ac:dyDescent="0.3">
      <c r="A21" s="922" t="s">
        <v>2578</v>
      </c>
    </row>
    <row r="22" spans="1:6" x14ac:dyDescent="0.3">
      <c r="A22" s="25" t="s">
        <v>2579</v>
      </c>
    </row>
    <row r="23" spans="1:6" x14ac:dyDescent="0.3">
      <c r="A23" s="922" t="s">
        <v>2580</v>
      </c>
    </row>
    <row r="24" spans="1:6" x14ac:dyDescent="0.3">
      <c r="A24" s="922" t="s">
        <v>2581</v>
      </c>
    </row>
    <row r="25" spans="1:6" x14ac:dyDescent="0.3">
      <c r="A25" s="922" t="s">
        <v>2561</v>
      </c>
    </row>
    <row r="26" spans="1:6" x14ac:dyDescent="0.3">
      <c r="A26" s="922" t="s">
        <v>2582</v>
      </c>
    </row>
    <row r="27" spans="1:6" x14ac:dyDescent="0.3">
      <c r="A27" s="922" t="s">
        <v>2583</v>
      </c>
    </row>
    <row r="28" spans="1:6" x14ac:dyDescent="0.3">
      <c r="A28" s="922" t="s">
        <v>2584</v>
      </c>
    </row>
    <row r="29" spans="1:6" x14ac:dyDescent="0.3">
      <c r="A29" s="25" t="s">
        <v>2585</v>
      </c>
    </row>
    <row r="30" spans="1:6" x14ac:dyDescent="0.3">
      <c r="A30" s="922" t="s">
        <v>2586</v>
      </c>
    </row>
    <row r="31" spans="1:6" x14ac:dyDescent="0.3">
      <c r="A31" s="922" t="s">
        <v>2563</v>
      </c>
    </row>
    <row r="32" spans="1:6" x14ac:dyDescent="0.3">
      <c r="A32" s="924" t="s">
        <v>2562</v>
      </c>
    </row>
    <row r="34" spans="1:1" ht="15" x14ac:dyDescent="0.35">
      <c r="A34" s="925"/>
    </row>
  </sheetData>
  <sheetProtection algorithmName="SHA-512" hashValue="dKrPxaJGraPO0JYTHrJrRkUBY10wZPkFyDIOTyALjaJH7h4JU7pT+Fmpm4NwRYYsoA9gz2VU6y31YYBumWc35Q==" saltValue="WuI08BWSClR+81JFvVdCIg=="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31</vt:i4>
      </vt:variant>
    </vt:vector>
  </HeadingPairs>
  <TitlesOfParts>
    <vt:vector size="31" baseType="lpstr">
      <vt:lpstr>0. CONTENTS</vt:lpstr>
      <vt:lpstr>1. USER INPUTS</vt:lpstr>
      <vt:lpstr>2. PROCESS RECAP </vt:lpstr>
      <vt:lpstr>3. SUMMARY LCI</vt:lpstr>
      <vt:lpstr>4. INPUTS LIST</vt:lpstr>
      <vt:lpstr>5. IMPACTS CATEGORIES</vt:lpstr>
      <vt:lpstr>6. PEDIGREE MATRIX</vt:lpstr>
      <vt:lpstr>7. BoM</vt:lpstr>
      <vt:lpstr>8. BoE</vt:lpstr>
      <vt:lpstr>9. REF. DEVICE</vt:lpstr>
      <vt:lpstr>10. IGBT PROCESS FLOW</vt:lpstr>
      <vt:lpstr>11. RAW WF PROD.</vt:lpstr>
      <vt:lpstr>12. WET ETCH</vt:lpstr>
      <vt:lpstr>13. WET CLEAN</vt:lpstr>
      <vt:lpstr>14. PHOTOLITHO.</vt:lpstr>
      <vt:lpstr>15. DRY ETCH</vt:lpstr>
      <vt:lpstr>16. THERMAL PROC.</vt:lpstr>
      <vt:lpstr>17. IMPLANT</vt:lpstr>
      <vt:lpstr>18. CVD</vt:lpstr>
      <vt:lpstr>19. PVD</vt:lpstr>
      <vt:lpstr>20. CMP</vt:lpstr>
      <vt:lpstr>21. THINNING</vt:lpstr>
      <vt:lpstr>22. DICING</vt:lpstr>
      <vt:lpstr>23. PROBING</vt:lpstr>
      <vt:lpstr>24. WAFER FAB</vt:lpstr>
      <vt:lpstr>25. CHEM. &amp; MAT.</vt:lpstr>
      <vt:lpstr>26. CHEM. SOL._MODEL</vt:lpstr>
      <vt:lpstr>27. FRONT-END YIELD MODELS</vt:lpstr>
      <vt:lpstr>28. DIE COUNT MODEL</vt:lpstr>
      <vt:lpstr>29. FAB SIZE MODEL</vt:lpstr>
      <vt:lpstr>30. REFERENCES</vt:lpstr>
    </vt:vector>
  </TitlesOfParts>
  <Company>Thales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GUILLEMET</dc:creator>
  <cp:lastModifiedBy>Guillemet, Thomas</cp:lastModifiedBy>
  <dcterms:created xsi:type="dcterms:W3CDTF">2024-02-20T13:16:55Z</dcterms:created>
  <dcterms:modified xsi:type="dcterms:W3CDTF">2026-04-27T07:40:55Z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8dd8a9-ca45-4982-91d4-7007fdaa6d79_Enabled">
    <vt:lpwstr>true</vt:lpwstr>
  </property>
  <property fmtid="{D5CDD505-2E9C-101B-9397-08002B2CF9AE}" pid="3" name="MSIP_Label_918dd8a9-ca45-4982-91d4-7007fdaa6d79_SetDate">
    <vt:lpwstr>2024-04-04T06:28:15Z</vt:lpwstr>
  </property>
  <property fmtid="{D5CDD505-2E9C-101B-9397-08002B2CF9AE}" pid="4" name="MSIP_Label_918dd8a9-ca45-4982-91d4-7007fdaa6d79_Method">
    <vt:lpwstr>Privileged</vt:lpwstr>
  </property>
  <property fmtid="{D5CDD505-2E9C-101B-9397-08002B2CF9AE}" pid="5" name="MSIP_Label_918dd8a9-ca45-4982-91d4-7007fdaa6d79_Name">
    <vt:lpwstr>THALES-GDPR-01</vt:lpwstr>
  </property>
  <property fmtid="{D5CDD505-2E9C-101B-9397-08002B2CF9AE}" pid="6" name="MSIP_Label_918dd8a9-ca45-4982-91d4-7007fdaa6d79_SiteId">
    <vt:lpwstr>6e603289-5e46-4e26-ac7c-03a85420a9a5</vt:lpwstr>
  </property>
  <property fmtid="{D5CDD505-2E9C-101B-9397-08002B2CF9AE}" pid="7" name="MSIP_Label_918dd8a9-ca45-4982-91d4-7007fdaa6d79_ActionId">
    <vt:lpwstr>3259e07a-4e55-48d5-81c4-75d91e0e134c</vt:lpwstr>
  </property>
  <property fmtid="{D5CDD505-2E9C-101B-9397-08002B2CF9AE}" pid="8" name="MSIP_Label_918dd8a9-ca45-4982-91d4-7007fdaa6d79_ContentBits">
    <vt:lpwstr>1</vt:lpwstr>
  </property>
  <property fmtid="{D5CDD505-2E9C-101B-9397-08002B2CF9AE}" pid="9" name="Thales-Sensitivity">
    <vt:lpwstr>{T-PrvPers}</vt:lpwstr>
  </property>
  <property fmtid="{D5CDD505-2E9C-101B-9397-08002B2CF9AE}" pid="10" name="MSIP_Label_d55f6660-0408-47d2-ae31-f46329b4bd81_Enabled">
    <vt:lpwstr>true</vt:lpwstr>
  </property>
  <property fmtid="{D5CDD505-2E9C-101B-9397-08002B2CF9AE}" pid="11" name="MSIP_Label_d55f6660-0408-47d2-ae31-f46329b4bd81_SetDate">
    <vt:lpwstr>2024-05-22T08:17:22Z</vt:lpwstr>
  </property>
  <property fmtid="{D5CDD505-2E9C-101B-9397-08002B2CF9AE}" pid="12" name="MSIP_Label_d55f6660-0408-47d2-ae31-f46329b4bd81_Method">
    <vt:lpwstr>Standard</vt:lpwstr>
  </property>
  <property fmtid="{D5CDD505-2E9C-101B-9397-08002B2CF9AE}" pid="13" name="MSIP_Label_d55f6660-0408-47d2-ae31-f46329b4bd81_Name">
    <vt:lpwstr>General</vt:lpwstr>
  </property>
  <property fmtid="{D5CDD505-2E9C-101B-9397-08002B2CF9AE}" pid="14" name="MSIP_Label_d55f6660-0408-47d2-ae31-f46329b4bd81_SiteId">
    <vt:lpwstr>1f141cfd-a6c5-4e9a-bf84-7116c141e5f4</vt:lpwstr>
  </property>
  <property fmtid="{D5CDD505-2E9C-101B-9397-08002B2CF9AE}" pid="15" name="MSIP_Label_d55f6660-0408-47d2-ae31-f46329b4bd81_ActionId">
    <vt:lpwstr>f632d98b-f3e2-43f7-a958-2ca140770593</vt:lpwstr>
  </property>
  <property fmtid="{D5CDD505-2E9C-101B-9397-08002B2CF9AE}" pid="16" name="MSIP_Label_d55f6660-0408-47d2-ae31-f46329b4bd81_ContentBits">
    <vt:lpwstr>0</vt:lpwstr>
  </property>
</Properties>
</file>