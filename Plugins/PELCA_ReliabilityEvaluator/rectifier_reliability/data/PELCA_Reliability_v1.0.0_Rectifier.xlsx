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esaulnier/Documents/PELCA_local/ReliabilityEvaluator/PELCA Reliability evaluator/PELCA_internal/rectifier_reliability/data/"/>
    </mc:Choice>
  </mc:AlternateContent>
  <xr:revisionPtr revIDLastSave="0" documentId="13_ncr:1_{9A5D9CA0-B83D-1B40-AD74-FE4C173916D6}" xr6:coauthVersionLast="47" xr6:coauthVersionMax="47" xr10:uidLastSave="{00000000-0000-0000-0000-000000000000}"/>
  <bookViews>
    <workbookView xWindow="0" yWindow="600" windowWidth="38400" windowHeight="19840" activeTab="7" xr2:uid="{00000000-000D-0000-FFFF-FFFF00000000}"/>
  </bookViews>
  <sheets>
    <sheet name="comments" sheetId="1" r:id="rId1"/>
    <sheet name="Parameters" sheetId="2" r:id="rId2"/>
    <sheet name="options" sheetId="3" r:id="rId3"/>
    <sheet name="Inputs" sheetId="4" r:id="rId4"/>
    <sheet name="Feuil1" sheetId="5" state="hidden" r:id="rId5"/>
    <sheet name="Analysis_Results" sheetId="6" r:id="rId6"/>
    <sheet name="Replacement" sheetId="7" r:id="rId7"/>
    <sheet name="thermal_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7" l="1"/>
  <c r="D25" i="7" s="1"/>
  <c r="B17" i="7"/>
  <c r="C25" i="7" s="1"/>
  <c r="B13" i="7"/>
  <c r="B14" i="7" s="1"/>
  <c r="B10" i="7"/>
  <c r="F12" i="5"/>
  <c r="F11" i="5"/>
  <c r="F10" i="5"/>
  <c r="F9" i="5"/>
  <c r="B25" i="7" l="1"/>
  <c r="B20" i="7"/>
</calcChain>
</file>

<file path=xl/sharedStrings.xml><?xml version="1.0" encoding="utf-8"?>
<sst xmlns="http://schemas.openxmlformats.org/spreadsheetml/2006/main" count="262" uniqueCount="154">
  <si>
    <t>MP_ID</t>
  </si>
  <si>
    <t>Profile_Name</t>
  </si>
  <si>
    <t>Random failure (sigma, year)</t>
  </si>
  <si>
    <t>Random failure (beta)</t>
  </si>
  <si>
    <t>Wear-out failure (sigma, year)</t>
  </si>
  <si>
    <t>Wear-out failure (beta)</t>
  </si>
  <si>
    <t>Mission Profile 1</t>
  </si>
  <si>
    <t>Mission Profile 2</t>
  </si>
  <si>
    <t>Excel sheet for the rectifier stage reliability assessment (IGBT power modules)</t>
  </si>
  <si>
    <t>A few explanations on contents of this file</t>
  </si>
  <si>
    <t>page 'Parameters'</t>
  </si>
  <si>
    <t>allows to configure most of parameters used in calculations</t>
  </si>
  <si>
    <t>page 'options'</t>
  </si>
  <si>
    <t>to enable/disable display of curves</t>
  </si>
  <si>
    <t>page'Inputs'</t>
  </si>
  <si>
    <t>definition of mission profiles</t>
  </si>
  <si>
    <t>A few definitions / rules:</t>
  </si>
  <si>
    <t>Operating_Phase</t>
  </si>
  <si>
    <t>boolean indicating if phase corresponds to an active (i.e. system powered) / or inactive (shut down during night for instance)</t>
  </si>
  <si>
    <t>Pout, Iout</t>
  </si>
  <si>
    <t>specification of operating point</t>
  </si>
  <si>
    <t>Vapplied</t>
  </si>
  <si>
    <t>input voltage (rms)</t>
  </si>
  <si>
    <t>T_ambient_board = here, avg air flow temperature of cooling heatsink (will impact heatsink temperature and thus Tcase of power module)</t>
  </si>
  <si>
    <t>Delta_T_cycling</t>
  </si>
  <si>
    <t>temperature variation during a cycle</t>
  </si>
  <si>
    <t>specifications of variation of temperature due to environment or transitions between operating phases</t>
  </si>
  <si>
    <t>T_max_cycling</t>
  </si>
  <si>
    <t>max temperature reached during a cycle</t>
  </si>
  <si>
    <t>Operating_Hours_per_Year = N_cy * Theta_Cy</t>
  </si>
  <si>
    <t>N_Cy</t>
  </si>
  <si>
    <t>number of cycle par year</t>
  </si>
  <si>
    <t>Theta_Cy</t>
  </si>
  <si>
    <t>duration of a cycle (in hours)</t>
  </si>
  <si>
    <t>sum of Operating_Hours_per_Year = 8760 hours</t>
  </si>
  <si>
    <t>RH_ambient</t>
  </si>
  <si>
    <t>relative humidity</t>
  </si>
  <si>
    <t>G_rms_val</t>
  </si>
  <si>
    <t>specification of vibration level</t>
  </si>
  <si>
    <t>Pi_application_i</t>
  </si>
  <si>
    <t>parameters used by FIDES formula (specified for each phase of mission profile)</t>
  </si>
  <si>
    <t>page 'Replacement'</t>
  </si>
  <si>
    <t>calculation of replacement cost of rectifier</t>
  </si>
  <si>
    <t>page 'Analysis_Results'</t>
  </si>
  <si>
    <t>contains the parameters for PELCA at the end of analysis</t>
  </si>
  <si>
    <t>=&gt; to copy/paste  into sheet 'Faults &amp; Prev. Maint.' of PELCA input Excel file</t>
  </si>
  <si>
    <t>page 'thermal_data'</t>
  </si>
  <si>
    <t>store the results of thermal simulations during the different phases of mission profiles (debug purpose)</t>
  </si>
  <si>
    <t>T_heatsink_arr</t>
  </si>
  <si>
    <t>(array of) heatsink temperatues</t>
  </si>
  <si>
    <t>(steady state) heatsink temperature for each phase of mission profile</t>
  </si>
  <si>
    <t>T_J_comp_arr</t>
  </si>
  <si>
    <t>(array of) junction temperatures</t>
  </si>
  <si>
    <t>average junction temperature (during "short" thermal cycles)</t>
  </si>
  <si>
    <t>delta_T_aging_arr</t>
  </si>
  <si>
    <t>deltaT due to rectification (variation at input frequency)</t>
  </si>
  <si>
    <t>"short" thermal cycles of low amplitude (only for lifetime model - not considred by FIDES model)</t>
  </si>
  <si>
    <t>Delta_T_Heatsink</t>
  </si>
  <si>
    <t>thermal cycles of heatsink temperature (due to MP cycles)</t>
  </si>
  <si>
    <t>"long" thermal cycles of high amplitude</t>
  </si>
  <si>
    <t>Delta_T_J_comp</t>
  </si>
  <si>
    <t>impact on junction temperature</t>
  </si>
  <si>
    <t>thermal cycle due to cycling between phases of mission profile</t>
  </si>
  <si>
    <t>T_j_mean</t>
  </si>
  <si>
    <t>average junction temperature for Delta_T_J_comp</t>
  </si>
  <si>
    <t>"avg" temperature for long thermal cycles</t>
  </si>
  <si>
    <t>T_max_cycling_calc</t>
  </si>
  <si>
    <t>maximum temperature reached by heatsink (during a cycle)</t>
  </si>
  <si>
    <t>P_out</t>
  </si>
  <si>
    <t>calculated active output power for each phase of mission profile</t>
  </si>
  <si>
    <t>Pavg_module</t>
  </si>
  <si>
    <t>average losses in a diode module</t>
  </si>
  <si>
    <t>P_rectifier</t>
  </si>
  <si>
    <t>average losses for the full rectifier</t>
  </si>
  <si>
    <t>Important note: only use numbers in cells…. Or save with ctrl+alt F9 before each execution of tool!</t>
  </si>
  <si>
    <t>Parameter</t>
  </si>
  <si>
    <t>Value</t>
  </si>
  <si>
    <t>nb_parallel_diodes</t>
  </si>
  <si>
    <t># Process factors</t>
  </si>
  <si>
    <t>Pi_PM_rectifier</t>
  </si>
  <si>
    <t>Pi_MCM_process</t>
  </si>
  <si>
    <t>Pi_process_rectifier</t>
  </si>
  <si>
    <t># Base failure rates (FIT)</t>
  </si>
  <si>
    <t>lambda_0TH_rectifier</t>
  </si>
  <si>
    <t>lambda_0TCycase_rectifier</t>
  </si>
  <si>
    <t>lambda_0TCysolder_joints_rectifier</t>
  </si>
  <si>
    <t>lambda_0RH_rectifier</t>
  </si>
  <si>
    <t>lambda_0Meca_rectifier</t>
  </si>
  <si>
    <t># Induced factors</t>
  </si>
  <si>
    <t>C_sensitivity</t>
  </si>
  <si>
    <t>Pi_placement</t>
  </si>
  <si>
    <t>Pi_hardening</t>
  </si>
  <si>
    <t># Electrical / thermal constants</t>
  </si>
  <si>
    <t>U_D_th_rectifier</t>
  </si>
  <si>
    <t>R_D_rectifier</t>
  </si>
  <si>
    <t>R_JC</t>
  </si>
  <si>
    <t>R_th_heatsink</t>
  </si>
  <si>
    <t>V_nominal</t>
  </si>
  <si>
    <t># Global constants</t>
  </si>
  <si>
    <t>input_freq</t>
  </si>
  <si>
    <t>t_total</t>
  </si>
  <si>
    <t># Aging model (enhanced)</t>
  </si>
  <si>
    <t>aging_C</t>
  </si>
  <si>
    <t>aging_Ea</t>
  </si>
  <si>
    <t>aging_alpha</t>
  </si>
  <si>
    <t>aging_Kb</t>
  </si>
  <si>
    <t>aging_beta</t>
  </si>
  <si>
    <t>Options</t>
  </si>
  <si>
    <t>optional plots enable/disable (0 / 1)</t>
  </si>
  <si>
    <t>plot_CDF_en</t>
  </si>
  <si>
    <t>MP</t>
  </si>
  <si>
    <t>Rel_speed</t>
  </si>
  <si>
    <t>Rel_torque</t>
  </si>
  <si>
    <t>V_applied</t>
  </si>
  <si>
    <t>T_ambient_board</t>
  </si>
  <si>
    <t>Operating_Hours_per_Year</t>
  </si>
  <si>
    <t>Theta_cy</t>
  </si>
  <si>
    <t>G_RMS_val</t>
  </si>
  <si>
    <t>phase_nb</t>
  </si>
  <si>
    <t>phases</t>
  </si>
  <si>
    <t>true</t>
  </si>
  <si>
    <t>0#1</t>
  </si>
  <si>
    <t>1#2</t>
  </si>
  <si>
    <t>2#3</t>
  </si>
  <si>
    <t>false</t>
  </si>
  <si>
    <t>3#3</t>
  </si>
  <si>
    <t>2#2</t>
  </si>
  <si>
    <t>PF</t>
  </si>
  <si>
    <t>Iout</t>
  </si>
  <si>
    <t>Vout</t>
  </si>
  <si>
    <t>P_out calc</t>
  </si>
  <si>
    <t>I_out</t>
  </si>
  <si>
    <t>0.75</t>
  </si>
  <si>
    <t>0.25</t>
  </si>
  <si>
    <t>total mounting time</t>
  </si>
  <si>
    <t>min</t>
  </si>
  <si>
    <t>total dismounting time</t>
  </si>
  <si>
    <t>total time</t>
  </si>
  <si>
    <t xml:space="preserve">rectifier price </t>
  </si>
  <si>
    <t xml:space="preserve">number of modules </t>
  </si>
  <si>
    <t>total price of modules</t>
  </si>
  <si>
    <t>Hourly cost</t>
  </si>
  <si>
    <t>assembly cost</t>
  </si>
  <si>
    <t>disassembly cost</t>
  </si>
  <si>
    <t>Replacement cost of  rectifer</t>
  </si>
  <si>
    <t>(labor + modules)</t>
  </si>
  <si>
    <t>(complete RU)</t>
  </si>
  <si>
    <t>to paste into PELCA 'Cost - Price' sheet:</t>
  </si>
  <si>
    <t>RU raw cost/price (€)</t>
  </si>
  <si>
    <t xml:space="preserve"> RU assembly cost/price (€)</t>
  </si>
  <si>
    <t>RU disassembly cost/price (€)</t>
  </si>
  <si>
    <t>Electricity cost (€/kWh)</t>
  </si>
  <si>
    <t>Rectifier</t>
  </si>
  <si>
    <t>mission_id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</si>
</sst>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quotePrefix="1"/>
    <xf numFmtId="0" fontId="4" fillId="0" borderId="0" xfId="0" applyFont="1"/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5" fillId="0" borderId="0" xfId="1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4" borderId="1" xfId="0" applyFill="1" applyBorder="1"/>
    <xf numFmtId="164" fontId="0" fillId="0" borderId="0" xfId="0" applyNumberFormat="1"/>
    <xf numFmtId="0" fontId="6" fillId="0" borderId="0" xfId="0" applyFont="1"/>
    <xf numFmtId="0" fontId="1" fillId="0" borderId="0" xfId="0" quotePrefix="1" applyFon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0" borderId="6" xfId="0" applyBorder="1" applyAlignment="1">
      <alignment horizontal="left" vertical="center"/>
    </xf>
    <xf numFmtId="0" fontId="0" fillId="0" borderId="7" xfId="0" applyBorder="1"/>
    <xf numFmtId="0" fontId="0" fillId="0" borderId="15" xfId="0" applyBorder="1"/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165" fontId="0" fillId="2" borderId="1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7" fillId="0" borderId="16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5"/>
  <sheetViews>
    <sheetView workbookViewId="0">
      <selection activeCell="B12" sqref="B12"/>
    </sheetView>
  </sheetViews>
  <sheetFormatPr baseColWidth="10" defaultRowHeight="15" x14ac:dyDescent="0.2"/>
  <cols>
    <col min="2" max="2" width="22.1640625" customWidth="1"/>
    <col min="6" max="6" width="18.6640625" customWidth="1"/>
  </cols>
  <sheetData>
    <row r="1" spans="2:11" x14ac:dyDescent="0.2">
      <c r="B1" s="28" t="s">
        <v>8</v>
      </c>
    </row>
    <row r="3" spans="2:11" x14ac:dyDescent="0.2">
      <c r="B3" s="34" t="s">
        <v>9</v>
      </c>
    </row>
    <row r="5" spans="2:11" x14ac:dyDescent="0.2">
      <c r="B5" t="s">
        <v>10</v>
      </c>
      <c r="C5" t="s">
        <v>11</v>
      </c>
    </row>
    <row r="6" spans="2:11" x14ac:dyDescent="0.2">
      <c r="B6" t="s">
        <v>12</v>
      </c>
      <c r="C6" t="s">
        <v>13</v>
      </c>
    </row>
    <row r="7" spans="2:11" x14ac:dyDescent="0.2">
      <c r="B7" t="s">
        <v>14</v>
      </c>
      <c r="C7" t="s">
        <v>15</v>
      </c>
    </row>
    <row r="8" spans="2:11" x14ac:dyDescent="0.2">
      <c r="D8" t="s">
        <v>16</v>
      </c>
      <c r="F8" t="s">
        <v>17</v>
      </c>
      <c r="G8" t="s">
        <v>18</v>
      </c>
    </row>
    <row r="9" spans="2:11" x14ac:dyDescent="0.2">
      <c r="F9" t="s">
        <v>19</v>
      </c>
      <c r="G9" t="s">
        <v>20</v>
      </c>
    </row>
    <row r="10" spans="2:11" x14ac:dyDescent="0.2">
      <c r="F10" t="s">
        <v>21</v>
      </c>
      <c r="G10" t="s">
        <v>22</v>
      </c>
    </row>
    <row r="11" spans="2:11" ht="18" customHeight="1" x14ac:dyDescent="0.2">
      <c r="F11" t="s">
        <v>23</v>
      </c>
    </row>
    <row r="12" spans="2:11" ht="18" customHeight="1" x14ac:dyDescent="0.2">
      <c r="F12" t="s">
        <v>24</v>
      </c>
      <c r="G12" t="s">
        <v>25</v>
      </c>
      <c r="K12" t="s">
        <v>26</v>
      </c>
    </row>
    <row r="13" spans="2:11" x14ac:dyDescent="0.2">
      <c r="F13" t="s">
        <v>27</v>
      </c>
      <c r="G13" t="s">
        <v>28</v>
      </c>
    </row>
    <row r="14" spans="2:11" x14ac:dyDescent="0.2">
      <c r="F14" s="4" t="s">
        <v>29</v>
      </c>
    </row>
    <row r="15" spans="2:11" x14ac:dyDescent="0.2">
      <c r="F15" t="s">
        <v>30</v>
      </c>
      <c r="G15" t="s">
        <v>31</v>
      </c>
    </row>
    <row r="16" spans="2:11" x14ac:dyDescent="0.2">
      <c r="F16" t="s">
        <v>32</v>
      </c>
      <c r="G16" t="s">
        <v>33</v>
      </c>
    </row>
    <row r="17" spans="2:12" x14ac:dyDescent="0.2">
      <c r="F17" t="s">
        <v>34</v>
      </c>
    </row>
    <row r="18" spans="2:12" x14ac:dyDescent="0.2">
      <c r="F18" t="s">
        <v>35</v>
      </c>
      <c r="G18" t="s">
        <v>36</v>
      </c>
    </row>
    <row r="19" spans="2:12" x14ac:dyDescent="0.2">
      <c r="F19" t="s">
        <v>37</v>
      </c>
      <c r="G19" t="s">
        <v>38</v>
      </c>
    </row>
    <row r="20" spans="2:12" x14ac:dyDescent="0.2">
      <c r="F20" t="s">
        <v>39</v>
      </c>
      <c r="G20" t="s">
        <v>40</v>
      </c>
    </row>
    <row r="21" spans="2:12" x14ac:dyDescent="0.2">
      <c r="B21" t="s">
        <v>41</v>
      </c>
      <c r="C21" t="s">
        <v>42</v>
      </c>
    </row>
    <row r="22" spans="2:12" x14ac:dyDescent="0.2">
      <c r="B22" t="s">
        <v>43</v>
      </c>
      <c r="C22" t="s">
        <v>44</v>
      </c>
      <c r="K22" s="35" t="s">
        <v>45</v>
      </c>
    </row>
    <row r="23" spans="2:12" x14ac:dyDescent="0.2">
      <c r="B23" t="s">
        <v>46</v>
      </c>
      <c r="C23" t="s">
        <v>47</v>
      </c>
    </row>
    <row r="24" spans="2:12" x14ac:dyDescent="0.2">
      <c r="F24" s="38" t="s">
        <v>48</v>
      </c>
      <c r="G24" t="s">
        <v>49</v>
      </c>
      <c r="L24" t="s">
        <v>50</v>
      </c>
    </row>
    <row r="25" spans="2:12" x14ac:dyDescent="0.2">
      <c r="F25" s="39" t="s">
        <v>51</v>
      </c>
      <c r="G25" s="40" t="s">
        <v>52</v>
      </c>
      <c r="H25" s="40"/>
      <c r="I25" s="40"/>
      <c r="J25" s="40"/>
      <c r="K25" s="41"/>
      <c r="L25" t="s">
        <v>53</v>
      </c>
    </row>
    <row r="26" spans="2:12" x14ac:dyDescent="0.2">
      <c r="F26" s="42" t="s">
        <v>54</v>
      </c>
      <c r="G26" s="43" t="s">
        <v>55</v>
      </c>
      <c r="H26" s="43"/>
      <c r="I26" s="43"/>
      <c r="J26" s="43"/>
      <c r="K26" s="44"/>
      <c r="L26" t="s">
        <v>56</v>
      </c>
    </row>
    <row r="27" spans="2:12" x14ac:dyDescent="0.2">
      <c r="F27" s="39" t="s">
        <v>57</v>
      </c>
      <c r="G27" s="40" t="s">
        <v>58</v>
      </c>
      <c r="H27" s="40"/>
      <c r="I27" s="40"/>
      <c r="J27" s="40"/>
      <c r="K27" s="41"/>
      <c r="L27" t="s">
        <v>59</v>
      </c>
    </row>
    <row r="28" spans="2:12" x14ac:dyDescent="0.2">
      <c r="F28" s="45" t="s">
        <v>60</v>
      </c>
      <c r="G28" t="s">
        <v>61</v>
      </c>
      <c r="K28" s="46"/>
      <c r="L28" t="s">
        <v>62</v>
      </c>
    </row>
    <row r="29" spans="2:12" x14ac:dyDescent="0.2">
      <c r="F29" s="42" t="s">
        <v>63</v>
      </c>
      <c r="G29" s="43" t="s">
        <v>64</v>
      </c>
      <c r="H29" s="43"/>
      <c r="I29" s="43"/>
      <c r="J29" s="43"/>
      <c r="K29" s="44"/>
      <c r="L29" t="s">
        <v>65</v>
      </c>
    </row>
    <row r="30" spans="2:12" x14ac:dyDescent="0.2">
      <c r="F30" s="53" t="s">
        <v>66</v>
      </c>
      <c r="G30" t="s">
        <v>67</v>
      </c>
    </row>
    <row r="31" spans="2:12" x14ac:dyDescent="0.2">
      <c r="F31" s="53" t="s">
        <v>68</v>
      </c>
      <c r="G31" t="s">
        <v>69</v>
      </c>
    </row>
    <row r="32" spans="2:12" x14ac:dyDescent="0.2">
      <c r="F32" s="53" t="s">
        <v>70</v>
      </c>
      <c r="G32" t="s">
        <v>71</v>
      </c>
    </row>
    <row r="33" spans="2:7" x14ac:dyDescent="0.2">
      <c r="F33" s="53" t="s">
        <v>72</v>
      </c>
      <c r="G33" t="s">
        <v>73</v>
      </c>
    </row>
    <row r="35" spans="2:7" x14ac:dyDescent="0.2">
      <c r="B35" s="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D6" sqref="D6"/>
    </sheetView>
  </sheetViews>
  <sheetFormatPr baseColWidth="10" defaultRowHeight="15" x14ac:dyDescent="0.2"/>
  <cols>
    <col min="1" max="1" width="32.1640625" bestFit="1" customWidth="1"/>
  </cols>
  <sheetData>
    <row r="1" spans="1:2" x14ac:dyDescent="0.2">
      <c r="A1" s="28" t="s">
        <v>75</v>
      </c>
      <c r="B1" s="30" t="s">
        <v>76</v>
      </c>
    </row>
    <row r="2" spans="1:2" x14ac:dyDescent="0.2">
      <c r="A2" s="31" t="s">
        <v>77</v>
      </c>
      <c r="B2" s="10">
        <v>2</v>
      </c>
    </row>
    <row r="3" spans="1:2" x14ac:dyDescent="0.2">
      <c r="B3" s="3"/>
    </row>
    <row r="4" spans="1:2" x14ac:dyDescent="0.2">
      <c r="A4" s="28" t="s">
        <v>78</v>
      </c>
      <c r="B4" s="3"/>
    </row>
    <row r="5" spans="1:2" x14ac:dyDescent="0.2">
      <c r="A5" s="31" t="s">
        <v>79</v>
      </c>
      <c r="B5" s="10">
        <v>1.25</v>
      </c>
    </row>
    <row r="6" spans="1:2" x14ac:dyDescent="0.2">
      <c r="A6" s="31" t="s">
        <v>80</v>
      </c>
      <c r="B6" s="10">
        <v>1.35</v>
      </c>
    </row>
    <row r="7" spans="1:2" x14ac:dyDescent="0.2">
      <c r="A7" s="31" t="s">
        <v>81</v>
      </c>
      <c r="B7" s="10">
        <v>4</v>
      </c>
    </row>
    <row r="8" spans="1:2" x14ac:dyDescent="0.2">
      <c r="B8" s="3"/>
    </row>
    <row r="9" spans="1:2" x14ac:dyDescent="0.2">
      <c r="A9" s="28" t="s">
        <v>82</v>
      </c>
      <c r="B9" s="3"/>
    </row>
    <row r="10" spans="1:2" x14ac:dyDescent="0.2">
      <c r="A10" s="31" t="s">
        <v>83</v>
      </c>
      <c r="B10" s="10">
        <v>0.15740000000000001</v>
      </c>
    </row>
    <row r="11" spans="1:2" x14ac:dyDescent="0.2">
      <c r="A11" s="31" t="s">
        <v>84</v>
      </c>
      <c r="B11" s="10">
        <v>1.3370999999999999E-2</v>
      </c>
    </row>
    <row r="12" spans="1:2" x14ac:dyDescent="0.2">
      <c r="A12" s="31" t="s">
        <v>85</v>
      </c>
      <c r="B12" s="10">
        <v>6.6852999999999996E-2</v>
      </c>
    </row>
    <row r="13" spans="1:2" x14ac:dyDescent="0.2">
      <c r="A13" s="31" t="s">
        <v>86</v>
      </c>
      <c r="B13" s="10">
        <v>0.487813</v>
      </c>
    </row>
    <row r="14" spans="1:2" x14ac:dyDescent="0.2">
      <c r="A14" s="31" t="s">
        <v>87</v>
      </c>
      <c r="B14" s="10">
        <v>1.4790000000000001E-3</v>
      </c>
    </row>
    <row r="15" spans="1:2" x14ac:dyDescent="0.2">
      <c r="B15" s="3"/>
    </row>
    <row r="16" spans="1:2" x14ac:dyDescent="0.2">
      <c r="A16" s="28" t="s">
        <v>88</v>
      </c>
      <c r="B16" s="3"/>
    </row>
    <row r="17" spans="1:2" x14ac:dyDescent="0.2">
      <c r="A17" s="31" t="s">
        <v>89</v>
      </c>
      <c r="B17" s="10">
        <v>6.3</v>
      </c>
    </row>
    <row r="18" spans="1:2" x14ac:dyDescent="0.2">
      <c r="A18" s="31" t="s">
        <v>90</v>
      </c>
      <c r="B18" s="10">
        <v>2.5</v>
      </c>
    </row>
    <row r="19" spans="1:2" x14ac:dyDescent="0.2">
      <c r="A19" s="31" t="s">
        <v>91</v>
      </c>
      <c r="B19" s="10">
        <v>1</v>
      </c>
    </row>
    <row r="20" spans="1:2" x14ac:dyDescent="0.2">
      <c r="B20" s="3"/>
    </row>
    <row r="21" spans="1:2" x14ac:dyDescent="0.2">
      <c r="A21" s="28" t="s">
        <v>92</v>
      </c>
      <c r="B21" s="3"/>
    </row>
    <row r="22" spans="1:2" x14ac:dyDescent="0.2">
      <c r="A22" s="31" t="s">
        <v>93</v>
      </c>
      <c r="B22" s="10">
        <v>0.85</v>
      </c>
    </row>
    <row r="23" spans="1:2" x14ac:dyDescent="0.2">
      <c r="A23" s="31" t="s">
        <v>94</v>
      </c>
      <c r="B23" s="10">
        <v>1.2999999999999999E-3</v>
      </c>
    </row>
    <row r="24" spans="1:2" x14ac:dyDescent="0.2">
      <c r="A24" s="31" t="s">
        <v>95</v>
      </c>
      <c r="B24" s="10">
        <v>0.18</v>
      </c>
    </row>
    <row r="25" spans="1:2" x14ac:dyDescent="0.2">
      <c r="A25" s="31" t="s">
        <v>96</v>
      </c>
      <c r="B25" s="10">
        <v>0.48</v>
      </c>
    </row>
    <row r="26" spans="1:2" x14ac:dyDescent="0.2">
      <c r="A26" s="31" t="s">
        <v>97</v>
      </c>
      <c r="B26" s="10">
        <v>1600</v>
      </c>
    </row>
    <row r="27" spans="1:2" x14ac:dyDescent="0.2">
      <c r="B27" s="3"/>
    </row>
    <row r="28" spans="1:2" x14ac:dyDescent="0.2">
      <c r="A28" s="28" t="s">
        <v>98</v>
      </c>
      <c r="B28" s="3"/>
    </row>
    <row r="29" spans="1:2" x14ac:dyDescent="0.2">
      <c r="A29" s="31" t="s">
        <v>99</v>
      </c>
      <c r="B29" s="10">
        <v>50</v>
      </c>
    </row>
    <row r="30" spans="1:2" x14ac:dyDescent="0.2">
      <c r="A30" s="31" t="s">
        <v>100</v>
      </c>
      <c r="B30" s="10">
        <v>8760</v>
      </c>
    </row>
    <row r="31" spans="1:2" x14ac:dyDescent="0.2">
      <c r="B31" s="3"/>
    </row>
    <row r="32" spans="1:2" x14ac:dyDescent="0.2">
      <c r="A32" s="28" t="s">
        <v>101</v>
      </c>
      <c r="B32" s="3"/>
    </row>
    <row r="33" spans="1:2" x14ac:dyDescent="0.2">
      <c r="A33" s="31" t="s">
        <v>102</v>
      </c>
      <c r="B33" s="10">
        <v>302500</v>
      </c>
    </row>
    <row r="34" spans="1:2" x14ac:dyDescent="0.2">
      <c r="A34" s="31" t="s">
        <v>103</v>
      </c>
      <c r="B34" s="55">
        <v>9.8899999999999997E-20</v>
      </c>
    </row>
    <row r="35" spans="1:2" x14ac:dyDescent="0.2">
      <c r="A35" s="31" t="s">
        <v>104</v>
      </c>
      <c r="B35" s="10">
        <v>-5.03</v>
      </c>
    </row>
    <row r="36" spans="1:2" x14ac:dyDescent="0.2">
      <c r="A36" s="31" t="s">
        <v>105</v>
      </c>
      <c r="B36" s="55">
        <v>1.3800000000000001E-23</v>
      </c>
    </row>
    <row r="37" spans="1:2" x14ac:dyDescent="0.2">
      <c r="A37" s="31" t="s">
        <v>106</v>
      </c>
      <c r="B37" s="10">
        <v>2.5</v>
      </c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5"/>
  <sheetViews>
    <sheetView workbookViewId="0">
      <selection activeCell="H25" sqref="H25"/>
    </sheetView>
  </sheetViews>
  <sheetFormatPr baseColWidth="10" defaultRowHeight="15" x14ac:dyDescent="0.2"/>
  <cols>
    <col min="1" max="1" width="32.33203125" bestFit="1" customWidth="1"/>
  </cols>
  <sheetData>
    <row r="2" spans="1:2" x14ac:dyDescent="0.2">
      <c r="A2" s="28" t="s">
        <v>107</v>
      </c>
    </row>
    <row r="3" spans="1:2" x14ac:dyDescent="0.2">
      <c r="A3" s="28"/>
    </row>
    <row r="4" spans="1:2" x14ac:dyDescent="0.2">
      <c r="A4" s="28" t="s">
        <v>108</v>
      </c>
    </row>
    <row r="5" spans="1:2" x14ac:dyDescent="0.2">
      <c r="A5" s="31" t="s">
        <v>109</v>
      </c>
      <c r="B5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zoomScale="85" zoomScaleNormal="85" workbookViewId="0">
      <selection activeCell="C12" sqref="C12"/>
    </sheetView>
  </sheetViews>
  <sheetFormatPr baseColWidth="10" defaultColWidth="9.1640625" defaultRowHeight="15" x14ac:dyDescent="0.2"/>
  <cols>
    <col min="2" max="4" width="16.83203125" customWidth="1"/>
    <col min="5" max="5" width="11.5" customWidth="1"/>
    <col min="6" max="6" width="25.1640625" bestFit="1" customWidth="1"/>
    <col min="7" max="7" width="19" bestFit="1" customWidth="1"/>
    <col min="8" max="8" width="16" customWidth="1"/>
    <col min="9" max="9" width="25.6640625" customWidth="1"/>
    <col min="10" max="10" width="18" bestFit="1" customWidth="1"/>
    <col min="11" max="11" width="10" bestFit="1" customWidth="1"/>
    <col min="12" max="12" width="15.83203125" bestFit="1" customWidth="1"/>
    <col min="13" max="13" width="21" bestFit="1" customWidth="1"/>
    <col min="14" max="15" width="17.1640625" bestFit="1" customWidth="1"/>
  </cols>
  <sheetData>
    <row r="1" spans="1:16" ht="29.5" customHeight="1" thickBot="1" x14ac:dyDescent="0.25">
      <c r="A1" s="29" t="s">
        <v>110</v>
      </c>
      <c r="B1" s="9" t="s">
        <v>17</v>
      </c>
      <c r="C1" s="52" t="s">
        <v>111</v>
      </c>
      <c r="D1" s="52" t="s">
        <v>112</v>
      </c>
      <c r="E1" s="29" t="s">
        <v>113</v>
      </c>
      <c r="F1" s="9" t="s">
        <v>114</v>
      </c>
      <c r="G1" s="9" t="s">
        <v>24</v>
      </c>
      <c r="H1" s="9" t="s">
        <v>27</v>
      </c>
      <c r="I1" s="9" t="s">
        <v>115</v>
      </c>
      <c r="J1" s="9" t="s">
        <v>30</v>
      </c>
      <c r="K1" s="9" t="s">
        <v>116</v>
      </c>
      <c r="L1" s="9" t="s">
        <v>35</v>
      </c>
      <c r="M1" s="9" t="s">
        <v>117</v>
      </c>
      <c r="N1" s="29" t="s">
        <v>39</v>
      </c>
      <c r="O1" s="9" t="s">
        <v>118</v>
      </c>
      <c r="P1" s="53" t="s">
        <v>119</v>
      </c>
    </row>
    <row r="2" spans="1:16" x14ac:dyDescent="0.2">
      <c r="A2" s="8">
        <v>1</v>
      </c>
      <c r="B2" s="21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6" x14ac:dyDescent="0.2">
      <c r="A3" s="7"/>
      <c r="B3" s="11" t="s">
        <v>120</v>
      </c>
      <c r="C3" s="13">
        <v>0.9</v>
      </c>
      <c r="D3" s="13">
        <v>1</v>
      </c>
      <c r="E3" s="13">
        <v>400</v>
      </c>
      <c r="F3" s="14">
        <v>39</v>
      </c>
      <c r="G3" s="14">
        <v>8</v>
      </c>
      <c r="H3" s="14">
        <v>39</v>
      </c>
      <c r="I3" s="14">
        <v>1000</v>
      </c>
      <c r="J3" s="14">
        <v>1460</v>
      </c>
      <c r="K3" s="14">
        <v>0.68</v>
      </c>
      <c r="L3" s="14">
        <v>30</v>
      </c>
      <c r="M3" s="14">
        <v>0.3</v>
      </c>
      <c r="N3" s="54">
        <v>1.1000000000000001</v>
      </c>
      <c r="O3" s="9">
        <v>0</v>
      </c>
      <c r="P3" s="3" t="s">
        <v>121</v>
      </c>
    </row>
    <row r="4" spans="1:16" x14ac:dyDescent="0.2">
      <c r="A4" s="7"/>
      <c r="B4" s="11" t="s">
        <v>120</v>
      </c>
      <c r="C4" s="13">
        <v>0.9</v>
      </c>
      <c r="D4" s="13">
        <v>0.5</v>
      </c>
      <c r="E4" s="13">
        <v>400</v>
      </c>
      <c r="F4" s="13">
        <v>31</v>
      </c>
      <c r="G4" s="13">
        <v>6</v>
      </c>
      <c r="H4" s="13">
        <v>31</v>
      </c>
      <c r="I4" s="13">
        <v>3500</v>
      </c>
      <c r="J4" s="13">
        <v>1460</v>
      </c>
      <c r="K4" s="13">
        <v>2.4</v>
      </c>
      <c r="L4" s="13">
        <v>30</v>
      </c>
      <c r="M4" s="13">
        <v>0.3</v>
      </c>
      <c r="N4" s="54">
        <v>1.1000000000000001</v>
      </c>
      <c r="O4" s="9">
        <v>1</v>
      </c>
      <c r="P4" s="3" t="s">
        <v>122</v>
      </c>
    </row>
    <row r="5" spans="1:16" x14ac:dyDescent="0.2">
      <c r="A5" s="7"/>
      <c r="B5" s="11" t="s">
        <v>120</v>
      </c>
      <c r="C5" s="13">
        <v>0.5</v>
      </c>
      <c r="D5" s="13">
        <v>0.25</v>
      </c>
      <c r="E5" s="13">
        <v>400</v>
      </c>
      <c r="F5" s="13">
        <v>25</v>
      </c>
      <c r="G5" s="13">
        <v>10</v>
      </c>
      <c r="H5" s="13">
        <v>25</v>
      </c>
      <c r="I5" s="13">
        <v>500</v>
      </c>
      <c r="J5" s="13">
        <v>365</v>
      </c>
      <c r="K5" s="13">
        <v>1.37</v>
      </c>
      <c r="L5" s="13">
        <v>30</v>
      </c>
      <c r="M5" s="13">
        <v>0.3</v>
      </c>
      <c r="N5" s="54">
        <v>1.1000000000000001</v>
      </c>
      <c r="O5" s="9">
        <v>2</v>
      </c>
      <c r="P5" s="3" t="s">
        <v>123</v>
      </c>
    </row>
    <row r="6" spans="1:16" x14ac:dyDescent="0.2">
      <c r="A6" s="7"/>
      <c r="B6" s="12" t="s">
        <v>124</v>
      </c>
      <c r="C6" s="13">
        <v>0</v>
      </c>
      <c r="D6" s="13">
        <v>0</v>
      </c>
      <c r="E6" s="13">
        <v>400</v>
      </c>
      <c r="F6" s="14">
        <v>15</v>
      </c>
      <c r="G6" s="14">
        <v>10</v>
      </c>
      <c r="H6" s="14">
        <v>20</v>
      </c>
      <c r="I6" s="14">
        <v>3760</v>
      </c>
      <c r="J6" s="14">
        <v>365</v>
      </c>
      <c r="K6" s="14">
        <v>10.3</v>
      </c>
      <c r="L6" s="14">
        <v>30</v>
      </c>
      <c r="M6" s="14">
        <v>0.3</v>
      </c>
      <c r="N6" s="54">
        <v>1.1000000000000001</v>
      </c>
      <c r="O6" s="9">
        <v>3</v>
      </c>
      <c r="P6" s="3" t="s">
        <v>125</v>
      </c>
    </row>
    <row r="7" spans="1:16" ht="15" customHeight="1" thickBot="1" x14ac:dyDescent="0.25">
      <c r="A7" s="6"/>
      <c r="B7" s="3"/>
      <c r="E7" s="29"/>
      <c r="F7" s="29"/>
      <c r="G7" s="29"/>
      <c r="H7" s="3"/>
      <c r="I7" s="3"/>
      <c r="J7" s="3"/>
      <c r="K7" s="3"/>
      <c r="L7" s="3"/>
      <c r="P7" s="3"/>
    </row>
    <row r="8" spans="1:16" x14ac:dyDescent="0.2">
      <c r="A8" s="8">
        <v>2</v>
      </c>
      <c r="E8" s="29"/>
      <c r="F8" s="29"/>
      <c r="G8" s="29"/>
    </row>
    <row r="9" spans="1:16" x14ac:dyDescent="0.2">
      <c r="A9" s="7"/>
      <c r="B9" s="11" t="s">
        <v>120</v>
      </c>
      <c r="C9" s="13">
        <v>1</v>
      </c>
      <c r="D9" s="13">
        <v>1</v>
      </c>
      <c r="E9" s="25">
        <v>400</v>
      </c>
      <c r="F9" s="25">
        <v>44</v>
      </c>
      <c r="G9" s="25">
        <v>14</v>
      </c>
      <c r="H9" s="25">
        <v>44</v>
      </c>
      <c r="I9" s="14">
        <v>1000</v>
      </c>
      <c r="J9" s="14">
        <v>730</v>
      </c>
      <c r="K9" s="51">
        <v>1.3698630136986301</v>
      </c>
      <c r="L9" s="25">
        <v>60</v>
      </c>
      <c r="M9" s="25">
        <v>0.5</v>
      </c>
      <c r="N9" s="26">
        <v>1.2</v>
      </c>
      <c r="O9" s="3">
        <v>0</v>
      </c>
      <c r="P9" s="3" t="s">
        <v>121</v>
      </c>
    </row>
    <row r="10" spans="1:16" x14ac:dyDescent="0.2">
      <c r="A10" s="7"/>
      <c r="B10" s="11" t="s">
        <v>120</v>
      </c>
      <c r="C10" s="13">
        <v>0.5</v>
      </c>
      <c r="D10" s="13">
        <v>0.25</v>
      </c>
      <c r="E10" s="25">
        <v>400</v>
      </c>
      <c r="F10" s="25">
        <v>30</v>
      </c>
      <c r="G10" s="25">
        <v>15</v>
      </c>
      <c r="H10" s="25">
        <v>30</v>
      </c>
      <c r="I10" s="14">
        <v>3500</v>
      </c>
      <c r="J10" s="14">
        <v>730</v>
      </c>
      <c r="K10" s="51">
        <v>4.7945205479452051</v>
      </c>
      <c r="L10" s="25">
        <v>60</v>
      </c>
      <c r="M10" s="25">
        <v>0.5</v>
      </c>
      <c r="N10" s="26">
        <v>1.2</v>
      </c>
      <c r="O10" s="9">
        <v>1</v>
      </c>
      <c r="P10" s="3" t="s">
        <v>122</v>
      </c>
    </row>
    <row r="11" spans="1:16" ht="16" x14ac:dyDescent="0.2">
      <c r="A11" s="10"/>
      <c r="B11" s="14" t="s">
        <v>124</v>
      </c>
      <c r="C11" s="13">
        <v>0</v>
      </c>
      <c r="D11" s="13">
        <v>0</v>
      </c>
      <c r="E11" s="14">
        <v>0</v>
      </c>
      <c r="F11" s="14">
        <v>15</v>
      </c>
      <c r="G11" s="14">
        <v>10</v>
      </c>
      <c r="H11" s="14">
        <v>20</v>
      </c>
      <c r="I11" s="14">
        <v>4260</v>
      </c>
      <c r="J11" s="14">
        <v>365</v>
      </c>
      <c r="K11" s="51">
        <v>11.671232876712329</v>
      </c>
      <c r="L11" s="14">
        <v>30</v>
      </c>
      <c r="M11" s="14">
        <v>0.3</v>
      </c>
      <c r="N11" s="54">
        <v>1.1000000000000001</v>
      </c>
      <c r="O11" s="9">
        <v>2</v>
      </c>
      <c r="P11" s="3" t="s">
        <v>126</v>
      </c>
    </row>
    <row r="13" spans="1:16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6" x14ac:dyDescent="0.2">
      <c r="B14" s="9"/>
      <c r="C14" s="9"/>
      <c r="D14" s="9"/>
      <c r="E14" s="29"/>
      <c r="F14" s="29"/>
      <c r="G14" s="29"/>
      <c r="H14" s="3"/>
      <c r="I14" s="3"/>
      <c r="J14" s="3"/>
      <c r="K14" s="3"/>
      <c r="L14" s="3"/>
      <c r="M14" s="3"/>
      <c r="N14" s="3"/>
    </row>
    <row r="15" spans="1:16" x14ac:dyDescent="0.2">
      <c r="B15" s="3"/>
      <c r="C15" s="3"/>
      <c r="D15" s="3"/>
      <c r="E15" s="29"/>
      <c r="F15" s="29"/>
      <c r="G15" s="29"/>
      <c r="H15" s="3"/>
      <c r="I15" s="3"/>
      <c r="J15" s="3"/>
      <c r="K15" s="3"/>
      <c r="L15" s="3"/>
      <c r="M15" s="3"/>
      <c r="N15" s="3"/>
    </row>
    <row r="16" spans="1:16" x14ac:dyDescent="0.2">
      <c r="B16" s="3"/>
      <c r="C16" s="3"/>
      <c r="D16" s="3"/>
      <c r="E16" s="29"/>
      <c r="F16" s="29"/>
      <c r="G16" s="29"/>
      <c r="H16" s="3"/>
      <c r="I16" s="3"/>
      <c r="J16" s="3"/>
      <c r="K16" s="3"/>
      <c r="L16" s="3"/>
      <c r="M16" s="3"/>
      <c r="N16" s="3"/>
    </row>
    <row r="17" spans="1:14" x14ac:dyDescent="0.2">
      <c r="B17" s="9"/>
      <c r="C17" s="9"/>
      <c r="D17" s="9"/>
      <c r="E17" s="29"/>
      <c r="F17" s="29"/>
      <c r="G17" s="29"/>
      <c r="H17" s="3"/>
      <c r="I17" s="3"/>
      <c r="J17" s="3"/>
      <c r="K17" s="3"/>
      <c r="L17" s="3"/>
      <c r="M17" s="3"/>
      <c r="N17" s="3"/>
    </row>
    <row r="20" spans="1:14" x14ac:dyDescent="0.2">
      <c r="A20" s="3"/>
    </row>
  </sheetData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8:AH35"/>
  <sheetViews>
    <sheetView topLeftCell="A8" workbookViewId="0">
      <selection activeCell="A33" sqref="A33:G35"/>
    </sheetView>
  </sheetViews>
  <sheetFormatPr baseColWidth="10" defaultRowHeight="15" x14ac:dyDescent="0.2"/>
  <cols>
    <col min="21" max="21" width="13.5" bestFit="1" customWidth="1"/>
    <col min="22" max="22" width="12.6640625" bestFit="1" customWidth="1"/>
    <col min="23" max="23" width="16.33203125" bestFit="1" customWidth="1"/>
    <col min="24" max="24" width="16.1640625" bestFit="1" customWidth="1"/>
    <col min="25" max="25" width="14.83203125" bestFit="1" customWidth="1"/>
    <col min="26" max="26" width="12" bestFit="1" customWidth="1"/>
    <col min="27" max="27" width="17.6640625" bestFit="1" customWidth="1"/>
    <col min="30" max="30" width="15.1640625" bestFit="1" customWidth="1"/>
    <col min="31" max="31" width="26.1640625" bestFit="1" customWidth="1"/>
    <col min="32" max="32" width="20" bestFit="1" customWidth="1"/>
    <col min="33" max="33" width="27.1640625" bestFit="1" customWidth="1"/>
    <col min="34" max="34" width="21.1640625" bestFit="1" customWidth="1"/>
  </cols>
  <sheetData>
    <row r="8" spans="1:34" ht="43.25" customHeight="1" x14ac:dyDescent="0.2">
      <c r="A8" s="49" t="s">
        <v>111</v>
      </c>
      <c r="B8" s="49" t="s">
        <v>112</v>
      </c>
      <c r="C8" s="49" t="s">
        <v>127</v>
      </c>
      <c r="D8" s="49" t="s">
        <v>128</v>
      </c>
      <c r="E8" s="49" t="s">
        <v>129</v>
      </c>
      <c r="F8" s="49" t="s">
        <v>130</v>
      </c>
      <c r="G8" s="1" t="s">
        <v>17</v>
      </c>
      <c r="H8" s="9" t="s">
        <v>68</v>
      </c>
      <c r="I8" s="1" t="s">
        <v>131</v>
      </c>
      <c r="J8" s="29" t="s">
        <v>113</v>
      </c>
      <c r="K8" s="9" t="s">
        <v>114</v>
      </c>
      <c r="L8" s="9" t="s">
        <v>24</v>
      </c>
      <c r="M8" s="9" t="s">
        <v>27</v>
      </c>
      <c r="N8" s="9" t="s">
        <v>115</v>
      </c>
      <c r="O8" s="9" t="s">
        <v>30</v>
      </c>
      <c r="P8" s="9" t="s">
        <v>116</v>
      </c>
      <c r="Q8" s="9" t="s">
        <v>35</v>
      </c>
      <c r="R8" s="9" t="s">
        <v>117</v>
      </c>
      <c r="S8" s="29" t="s">
        <v>39</v>
      </c>
      <c r="U8" s="29" t="s">
        <v>48</v>
      </c>
      <c r="V8" s="29" t="s">
        <v>51</v>
      </c>
      <c r="W8" s="29" t="s">
        <v>54</v>
      </c>
      <c r="X8" s="29" t="s">
        <v>57</v>
      </c>
      <c r="Y8" s="29" t="s">
        <v>60</v>
      </c>
      <c r="Z8" s="29" t="s">
        <v>63</v>
      </c>
      <c r="AA8" s="29" t="s">
        <v>66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</row>
    <row r="9" spans="1:34" ht="16" x14ac:dyDescent="0.2">
      <c r="A9" s="49">
        <v>1</v>
      </c>
      <c r="B9" s="49">
        <v>0.94</v>
      </c>
      <c r="C9" s="49">
        <v>0.85</v>
      </c>
      <c r="D9" s="49">
        <v>340</v>
      </c>
      <c r="E9" s="49">
        <v>230</v>
      </c>
      <c r="F9" s="49">
        <f>E9*D9*3*C9</f>
        <v>199410</v>
      </c>
      <c r="G9" s="9" t="s">
        <v>120</v>
      </c>
      <c r="H9" s="29">
        <v>200000</v>
      </c>
      <c r="I9" s="29">
        <v>300</v>
      </c>
      <c r="J9" s="29">
        <v>400</v>
      </c>
      <c r="K9" s="29">
        <v>44</v>
      </c>
      <c r="L9" s="29">
        <v>9</v>
      </c>
      <c r="M9" s="3">
        <v>44</v>
      </c>
      <c r="N9" s="3">
        <v>1000</v>
      </c>
      <c r="O9" s="3">
        <v>1460</v>
      </c>
      <c r="P9" s="3">
        <v>0.68</v>
      </c>
      <c r="Q9" s="3">
        <v>30</v>
      </c>
      <c r="R9" s="3">
        <v>0.3</v>
      </c>
      <c r="S9" s="3">
        <v>1.1000000000000001</v>
      </c>
      <c r="U9" s="29">
        <v>108.60876854514611</v>
      </c>
      <c r="V9" s="29">
        <v>120.7712061233524</v>
      </c>
      <c r="W9" s="29">
        <v>3.3828927869188221</v>
      </c>
      <c r="X9" s="29">
        <v>27.825209994914871</v>
      </c>
      <c r="Y9" s="29">
        <v>31.369008253502461</v>
      </c>
      <c r="Z9" s="29">
        <v>105.08670199660109</v>
      </c>
      <c r="AA9" s="29">
        <v>108.60876854514611</v>
      </c>
      <c r="AC9">
        <v>1</v>
      </c>
      <c r="AD9" t="s">
        <v>6</v>
      </c>
      <c r="AE9">
        <v>213.35063992784799</v>
      </c>
      <c r="AF9">
        <v>1</v>
      </c>
      <c r="AG9">
        <v>104.8093672125537</v>
      </c>
      <c r="AH9">
        <v>2.5</v>
      </c>
    </row>
    <row r="10" spans="1:34" x14ac:dyDescent="0.2">
      <c r="A10" s="50" t="s">
        <v>132</v>
      </c>
      <c r="B10" s="50">
        <v>0.9</v>
      </c>
      <c r="C10" s="49">
        <v>0.85</v>
      </c>
      <c r="D10" s="50">
        <v>340</v>
      </c>
      <c r="E10" s="50">
        <v>170</v>
      </c>
      <c r="F10" s="49">
        <f>E10*D10*3*C10</f>
        <v>147390</v>
      </c>
      <c r="G10" s="3" t="s">
        <v>120</v>
      </c>
      <c r="H10" s="29">
        <v>145000</v>
      </c>
      <c r="I10" s="29">
        <v>320</v>
      </c>
      <c r="J10" s="29">
        <v>400</v>
      </c>
      <c r="K10" s="29">
        <v>35</v>
      </c>
      <c r="L10" s="29">
        <v>11</v>
      </c>
      <c r="M10" s="3">
        <v>35</v>
      </c>
      <c r="N10" s="3">
        <v>3500</v>
      </c>
      <c r="O10" s="3">
        <v>1460</v>
      </c>
      <c r="P10" s="3">
        <v>2.4</v>
      </c>
      <c r="Q10" s="3">
        <v>30</v>
      </c>
      <c r="R10" s="3">
        <v>0.3</v>
      </c>
      <c r="S10" s="3">
        <v>1.1000000000000001</v>
      </c>
      <c r="U10" s="29">
        <v>80.783558550231206</v>
      </c>
      <c r="V10" s="29">
        <v>89.402197869849914</v>
      </c>
      <c r="W10" s="29">
        <v>2.397211299126186</v>
      </c>
      <c r="X10" s="29">
        <v>41.304384272573053</v>
      </c>
      <c r="Y10" s="29">
        <v>47.3856030616762</v>
      </c>
      <c r="Z10" s="29">
        <v>65.709396339011818</v>
      </c>
      <c r="AA10" s="29">
        <v>80.783558550231206</v>
      </c>
    </row>
    <row r="11" spans="1:34" x14ac:dyDescent="0.2">
      <c r="A11" s="50" t="s">
        <v>133</v>
      </c>
      <c r="B11" s="50">
        <v>0.9</v>
      </c>
      <c r="C11" s="49">
        <v>0.85</v>
      </c>
      <c r="D11" s="50">
        <v>340</v>
      </c>
      <c r="E11" s="50">
        <v>50</v>
      </c>
      <c r="F11" s="49">
        <f>E11*D11*3*C11</f>
        <v>43350</v>
      </c>
      <c r="G11" s="3" t="s">
        <v>120</v>
      </c>
      <c r="H11" s="29">
        <v>50000</v>
      </c>
      <c r="I11" s="29">
        <v>150</v>
      </c>
      <c r="J11" s="29">
        <v>400</v>
      </c>
      <c r="K11" s="29">
        <v>26</v>
      </c>
      <c r="L11" s="29">
        <v>11</v>
      </c>
      <c r="M11" s="3">
        <v>26</v>
      </c>
      <c r="N11" s="3">
        <v>500</v>
      </c>
      <c r="O11" s="3">
        <v>365</v>
      </c>
      <c r="P11" s="3">
        <v>1.37</v>
      </c>
      <c r="Q11" s="3">
        <v>30</v>
      </c>
      <c r="R11" s="3">
        <v>0.3</v>
      </c>
      <c r="S11" s="3">
        <v>1.1000000000000001</v>
      </c>
      <c r="U11" s="29">
        <v>39.47917427765816</v>
      </c>
      <c r="V11" s="29">
        <v>42.016594808173707</v>
      </c>
      <c r="W11" s="29">
        <v>0.70576490566677386</v>
      </c>
      <c r="X11" s="29">
        <v>24.47917427765816</v>
      </c>
      <c r="Y11" s="29">
        <v>27.016594808173711</v>
      </c>
      <c r="Z11" s="29">
        <v>28.508297404086861</v>
      </c>
      <c r="AA11" s="29">
        <v>39.47917427765816</v>
      </c>
    </row>
    <row r="12" spans="1:34" ht="16" x14ac:dyDescent="0.2">
      <c r="A12" s="50">
        <v>0</v>
      </c>
      <c r="B12" s="50">
        <v>0</v>
      </c>
      <c r="C12" s="50">
        <v>0.56999999999999995</v>
      </c>
      <c r="D12" s="50">
        <v>0</v>
      </c>
      <c r="E12" s="50">
        <v>0</v>
      </c>
      <c r="F12" s="49">
        <f>E12*D12*3*C12</f>
        <v>0</v>
      </c>
      <c r="G12" s="9" t="s">
        <v>124</v>
      </c>
      <c r="H12" s="29">
        <v>0</v>
      </c>
      <c r="I12" s="29">
        <v>0</v>
      </c>
      <c r="J12" s="29">
        <v>400</v>
      </c>
      <c r="K12" s="29">
        <v>15</v>
      </c>
      <c r="L12" s="29">
        <v>10</v>
      </c>
      <c r="M12" s="3">
        <v>20</v>
      </c>
      <c r="N12" s="3">
        <v>3760</v>
      </c>
      <c r="O12" s="3">
        <v>365</v>
      </c>
      <c r="P12" s="3">
        <v>10.3</v>
      </c>
      <c r="Q12" s="3">
        <v>30</v>
      </c>
      <c r="R12" s="3">
        <v>0.3</v>
      </c>
      <c r="S12" s="3">
        <v>1.1000000000000001</v>
      </c>
      <c r="U12" s="29">
        <v>15</v>
      </c>
      <c r="V12" s="29">
        <v>15</v>
      </c>
      <c r="W12" s="29">
        <v>0</v>
      </c>
      <c r="X12" s="29">
        <v>15</v>
      </c>
      <c r="Y12" s="29">
        <v>15</v>
      </c>
      <c r="Z12" s="29">
        <v>15</v>
      </c>
      <c r="AA12" s="29">
        <v>22.5</v>
      </c>
    </row>
    <row r="13" spans="1:34" x14ac:dyDescent="0.2">
      <c r="A13" s="3"/>
      <c r="B13" s="3"/>
      <c r="C13" s="3"/>
      <c r="D13" s="3"/>
      <c r="E13" s="3"/>
      <c r="F13" s="3"/>
      <c r="G13" s="3"/>
      <c r="H13" s="29"/>
      <c r="I13" s="29"/>
      <c r="J13" s="29"/>
      <c r="K13" s="29"/>
      <c r="L13" s="29"/>
      <c r="M13" s="3"/>
      <c r="N13" s="3"/>
      <c r="O13" s="3"/>
      <c r="P13" s="3"/>
      <c r="Q13" s="3"/>
    </row>
    <row r="14" spans="1:34" x14ac:dyDescent="0.2">
      <c r="A14" s="3"/>
      <c r="B14" s="3"/>
      <c r="C14" s="3"/>
      <c r="D14" s="3"/>
      <c r="E14" s="3"/>
      <c r="F14" s="3"/>
      <c r="H14" s="29"/>
      <c r="I14" s="29"/>
      <c r="J14" s="29"/>
      <c r="K14" s="29"/>
      <c r="L14" s="29"/>
    </row>
    <row r="15" spans="1:34" x14ac:dyDescent="0.2">
      <c r="A15" s="3">
        <v>1</v>
      </c>
      <c r="B15" s="3"/>
      <c r="C15" s="3"/>
      <c r="D15" s="3"/>
      <c r="E15" s="3"/>
      <c r="F15" s="3"/>
      <c r="G15" s="3" t="s">
        <v>120</v>
      </c>
      <c r="H15" s="29">
        <v>186000</v>
      </c>
      <c r="I15" s="29">
        <v>280</v>
      </c>
      <c r="J15" s="29">
        <v>380</v>
      </c>
      <c r="K15" s="29">
        <v>45</v>
      </c>
      <c r="L15" s="29">
        <v>10</v>
      </c>
      <c r="M15" s="3">
        <v>45</v>
      </c>
      <c r="N15" s="3">
        <v>760</v>
      </c>
      <c r="O15" s="3">
        <v>1520</v>
      </c>
      <c r="P15" s="3">
        <v>0.5</v>
      </c>
      <c r="Q15" s="3">
        <v>60</v>
      </c>
      <c r="R15" s="3">
        <v>0.5</v>
      </c>
      <c r="S15" s="3">
        <v>1.2</v>
      </c>
      <c r="U15" s="29">
        <v>107.95477411419461</v>
      </c>
      <c r="V15" s="29">
        <v>119.8058514161701</v>
      </c>
      <c r="W15" s="29">
        <v>3.2962902102707332</v>
      </c>
      <c r="X15" s="29">
        <v>30.599142702442151</v>
      </c>
      <c r="Y15" s="29">
        <v>34.476879315049963</v>
      </c>
      <c r="Z15" s="29">
        <v>102.56741175864509</v>
      </c>
      <c r="AA15" s="29">
        <v>107.95477411419461</v>
      </c>
      <c r="AC15">
        <v>2</v>
      </c>
      <c r="AD15" t="s">
        <v>7</v>
      </c>
      <c r="AE15">
        <v>69.642524249592498</v>
      </c>
      <c r="AF15">
        <v>1</v>
      </c>
      <c r="AG15">
        <v>67.915094110509571</v>
      </c>
      <c r="AH15">
        <v>2.5</v>
      </c>
    </row>
    <row r="16" spans="1:34" x14ac:dyDescent="0.2">
      <c r="A16" s="3" t="s">
        <v>132</v>
      </c>
      <c r="B16" s="3"/>
      <c r="C16" s="3"/>
      <c r="D16" s="3"/>
      <c r="E16" s="3"/>
      <c r="F16" s="3"/>
      <c r="G16" s="3" t="s">
        <v>120</v>
      </c>
      <c r="H16" s="29">
        <v>133333</v>
      </c>
      <c r="I16" s="29">
        <v>200</v>
      </c>
      <c r="J16" s="29">
        <v>380</v>
      </c>
      <c r="K16" s="29">
        <v>35</v>
      </c>
      <c r="L16" s="29">
        <v>20</v>
      </c>
      <c r="M16" s="3">
        <v>35</v>
      </c>
      <c r="N16" s="3">
        <v>4240</v>
      </c>
      <c r="O16" s="3">
        <v>2000</v>
      </c>
      <c r="P16" s="3">
        <v>2.12</v>
      </c>
      <c r="Q16" s="3">
        <v>60</v>
      </c>
      <c r="R16" s="3">
        <v>0.5</v>
      </c>
      <c r="S16" s="3">
        <v>1.2</v>
      </c>
      <c r="U16" s="29">
        <v>77.355631411752455</v>
      </c>
      <c r="V16" s="29">
        <v>85.328972101120144</v>
      </c>
      <c r="W16" s="29">
        <v>2.2177262191290299</v>
      </c>
      <c r="X16" s="29">
        <v>62.355631411752462</v>
      </c>
      <c r="Y16" s="29">
        <v>70.328972101120144</v>
      </c>
      <c r="Z16" s="29">
        <v>50.164486050560072</v>
      </c>
      <c r="AA16" s="29">
        <v>77.355631411752455</v>
      </c>
    </row>
    <row r="17" spans="1:34" x14ac:dyDescent="0.2">
      <c r="A17" s="3">
        <v>0</v>
      </c>
      <c r="B17" s="3"/>
      <c r="C17" s="3"/>
      <c r="D17" s="3"/>
      <c r="E17" s="3"/>
      <c r="F17" s="3"/>
      <c r="G17" s="3" t="s">
        <v>124</v>
      </c>
      <c r="H17" s="3">
        <v>0</v>
      </c>
      <c r="I17" s="3">
        <v>0</v>
      </c>
      <c r="J17" s="3">
        <v>0</v>
      </c>
      <c r="K17" s="3">
        <v>15</v>
      </c>
      <c r="L17" s="3">
        <v>10</v>
      </c>
      <c r="M17" s="3">
        <v>20</v>
      </c>
      <c r="N17" s="3">
        <v>3760</v>
      </c>
      <c r="O17" s="3">
        <v>365</v>
      </c>
      <c r="P17" s="3">
        <v>10.3</v>
      </c>
      <c r="Q17" s="3">
        <v>30</v>
      </c>
      <c r="R17" s="3">
        <v>0.3</v>
      </c>
      <c r="S17" s="3">
        <v>1.1000000000000001</v>
      </c>
      <c r="U17" s="29">
        <v>15</v>
      </c>
      <c r="V17" s="29">
        <v>15</v>
      </c>
      <c r="W17" s="29">
        <v>0</v>
      </c>
      <c r="X17" s="29">
        <v>15</v>
      </c>
      <c r="Y17" s="29">
        <v>15</v>
      </c>
      <c r="Z17" s="29">
        <v>15</v>
      </c>
      <c r="AA17" s="29">
        <v>22.5</v>
      </c>
    </row>
    <row r="21" spans="1:34" x14ac:dyDescent="0.2">
      <c r="AC21" t="s">
        <v>0</v>
      </c>
      <c r="AD21" t="s">
        <v>1</v>
      </c>
      <c r="AE21" t="s">
        <v>2</v>
      </c>
      <c r="AF21" t="s">
        <v>3</v>
      </c>
      <c r="AG21" t="s">
        <v>4</v>
      </c>
      <c r="AH21" t="s">
        <v>5</v>
      </c>
    </row>
    <row r="22" spans="1:34" x14ac:dyDescent="0.2">
      <c r="G22" s="16" t="s">
        <v>120</v>
      </c>
      <c r="H22" s="47">
        <v>200000</v>
      </c>
      <c r="I22" s="17">
        <v>300</v>
      </c>
      <c r="J22" s="18">
        <v>400</v>
      </c>
      <c r="K22" s="19">
        <v>40</v>
      </c>
      <c r="L22" s="19">
        <v>9</v>
      </c>
      <c r="M22" s="19">
        <v>44</v>
      </c>
      <c r="N22" s="19">
        <v>1000</v>
      </c>
      <c r="O22" s="19">
        <v>1460</v>
      </c>
      <c r="P22" s="19">
        <v>0.68</v>
      </c>
      <c r="Q22" s="19">
        <v>30</v>
      </c>
      <c r="R22" s="19">
        <v>0.3</v>
      </c>
      <c r="S22" s="20">
        <v>1.1000000000000001</v>
      </c>
      <c r="U22" s="29">
        <v>104.60876854514611</v>
      </c>
      <c r="V22" s="29">
        <v>116.7712061233524</v>
      </c>
      <c r="W22" s="29">
        <v>3.3828927869188221</v>
      </c>
      <c r="X22" s="29">
        <v>65.385984439468473</v>
      </c>
      <c r="Y22" s="29">
        <v>76.188751143205494</v>
      </c>
      <c r="Z22" s="29">
        <v>78.676830551749646</v>
      </c>
      <c r="AA22" s="29">
        <v>104.60876854514611</v>
      </c>
      <c r="AC22">
        <v>1</v>
      </c>
      <c r="AD22" t="s">
        <v>6</v>
      </c>
      <c r="AE22">
        <v>88.758556165716243</v>
      </c>
      <c r="AF22">
        <v>1</v>
      </c>
      <c r="AG22">
        <v>18.070628413840321</v>
      </c>
      <c r="AH22">
        <v>2.5</v>
      </c>
    </row>
    <row r="23" spans="1:34" x14ac:dyDescent="0.2">
      <c r="G23" s="11" t="s">
        <v>120</v>
      </c>
      <c r="H23" s="47">
        <v>27609.66</v>
      </c>
      <c r="I23" s="12">
        <v>140.4</v>
      </c>
      <c r="J23" s="13">
        <v>400</v>
      </c>
      <c r="K23" s="13">
        <v>32</v>
      </c>
      <c r="L23" s="13">
        <v>11</v>
      </c>
      <c r="M23" s="13">
        <v>35</v>
      </c>
      <c r="N23" s="13">
        <v>3500</v>
      </c>
      <c r="O23" s="13">
        <v>1460</v>
      </c>
      <c r="P23" s="13">
        <v>2.4</v>
      </c>
      <c r="Q23" s="13">
        <v>30</v>
      </c>
      <c r="R23" s="13">
        <v>0.3</v>
      </c>
      <c r="S23" s="15">
        <v>1.1000000000000001</v>
      </c>
      <c r="U23" s="29">
        <v>39.222784105677597</v>
      </c>
      <c r="V23" s="29">
        <v>40.58245498014692</v>
      </c>
      <c r="W23" s="29">
        <v>0.37818247898495733</v>
      </c>
      <c r="X23" s="29">
        <v>9.679312841908196</v>
      </c>
      <c r="Y23" s="29">
        <v>10.37193419622378</v>
      </c>
      <c r="Z23" s="29">
        <v>35.396487882035032</v>
      </c>
      <c r="AA23" s="29">
        <v>39.222784105677597</v>
      </c>
    </row>
    <row r="24" spans="1:34" x14ac:dyDescent="0.2">
      <c r="G24" s="11" t="s">
        <v>120</v>
      </c>
      <c r="H24" s="48">
        <v>13804.83</v>
      </c>
      <c r="I24" s="12">
        <v>140.4</v>
      </c>
      <c r="J24" s="13">
        <v>400</v>
      </c>
      <c r="K24" s="13">
        <v>26</v>
      </c>
      <c r="L24" s="13">
        <v>11</v>
      </c>
      <c r="M24" s="13">
        <v>26</v>
      </c>
      <c r="N24" s="13">
        <v>500</v>
      </c>
      <c r="O24" s="13">
        <v>365</v>
      </c>
      <c r="P24" s="13">
        <v>1.37</v>
      </c>
      <c r="Q24" s="13">
        <v>30</v>
      </c>
      <c r="R24" s="13">
        <v>0.3</v>
      </c>
      <c r="S24" s="15">
        <v>1.1000000000000001</v>
      </c>
      <c r="U24" s="29">
        <v>29.543471263769408</v>
      </c>
      <c r="V24" s="29">
        <v>30.21052078392314</v>
      </c>
      <c r="W24" s="29">
        <v>0.1855349304558169</v>
      </c>
      <c r="X24" s="29">
        <v>14.54347126376941</v>
      </c>
      <c r="Y24" s="29">
        <v>15.21052078392314</v>
      </c>
      <c r="Z24" s="29">
        <v>22.605260391961568</v>
      </c>
      <c r="AA24" s="29">
        <v>29.543471263769408</v>
      </c>
    </row>
    <row r="25" spans="1:34" x14ac:dyDescent="0.2">
      <c r="G25" s="12" t="s">
        <v>124</v>
      </c>
      <c r="H25" s="47">
        <v>0</v>
      </c>
      <c r="I25" s="12">
        <v>0</v>
      </c>
      <c r="J25" s="13">
        <v>400</v>
      </c>
      <c r="K25" s="14">
        <v>15</v>
      </c>
      <c r="L25" s="14">
        <v>10</v>
      </c>
      <c r="M25" s="14">
        <v>20</v>
      </c>
      <c r="N25" s="14">
        <v>3760</v>
      </c>
      <c r="O25" s="14">
        <v>365</v>
      </c>
      <c r="P25" s="14">
        <v>10.3</v>
      </c>
      <c r="Q25" s="14">
        <v>30</v>
      </c>
      <c r="R25" s="14">
        <v>0.3</v>
      </c>
      <c r="S25" s="15">
        <v>1.1000000000000001</v>
      </c>
      <c r="U25" s="29">
        <v>15</v>
      </c>
      <c r="V25" s="29">
        <v>15</v>
      </c>
      <c r="W25" s="29">
        <v>0</v>
      </c>
      <c r="X25" s="29">
        <v>15</v>
      </c>
      <c r="Y25" s="29">
        <v>15</v>
      </c>
      <c r="Z25" s="29">
        <v>15</v>
      </c>
      <c r="AA25" s="29">
        <v>22.5</v>
      </c>
    </row>
    <row r="26" spans="1:34" x14ac:dyDescent="0.2">
      <c r="G26" s="23"/>
      <c r="H26" s="9"/>
      <c r="I26" s="23"/>
      <c r="J26" s="3"/>
      <c r="K26" s="23"/>
      <c r="L26" s="23"/>
      <c r="M26" s="23"/>
      <c r="N26" s="23"/>
      <c r="O26" s="23"/>
      <c r="P26" s="23"/>
      <c r="Q26" s="23"/>
      <c r="R26" s="23"/>
      <c r="S26" s="24"/>
    </row>
    <row r="27" spans="1:34" x14ac:dyDescent="0.2">
      <c r="G27" s="21"/>
      <c r="H27" s="22"/>
      <c r="I27" s="21"/>
      <c r="J27" s="22"/>
      <c r="K27" s="21"/>
      <c r="L27" s="21"/>
      <c r="M27" s="21"/>
      <c r="N27" s="21"/>
      <c r="O27" s="21"/>
      <c r="P27" s="21"/>
      <c r="Q27" s="21"/>
      <c r="R27" s="21"/>
      <c r="S27" s="21"/>
    </row>
    <row r="28" spans="1:34" x14ac:dyDescent="0.2">
      <c r="G28" s="11" t="s">
        <v>120</v>
      </c>
      <c r="H28" s="47">
        <v>162577.79999999999</v>
      </c>
      <c r="I28" s="47">
        <v>277.2</v>
      </c>
      <c r="J28" s="25">
        <v>400</v>
      </c>
      <c r="K28" s="25">
        <v>43</v>
      </c>
      <c r="L28" s="25">
        <v>10</v>
      </c>
      <c r="M28" s="25">
        <v>45</v>
      </c>
      <c r="N28" s="25">
        <v>760</v>
      </c>
      <c r="O28" s="25">
        <v>1520</v>
      </c>
      <c r="P28" s="25">
        <v>0.5</v>
      </c>
      <c r="Q28" s="25">
        <v>60</v>
      </c>
      <c r="R28" s="25">
        <v>0.5</v>
      </c>
      <c r="S28" s="26">
        <v>1.2</v>
      </c>
      <c r="U28" s="29">
        <v>93.351398414162986</v>
      </c>
      <c r="V28" s="29">
        <v>102.8299220569675</v>
      </c>
      <c r="W28" s="29">
        <v>2.6363818153804508</v>
      </c>
      <c r="X28" s="29">
        <v>56.807927150393567</v>
      </c>
      <c r="Y28" s="29">
        <v>65.619401273044375</v>
      </c>
      <c r="Z28" s="29">
        <v>70.020221420445324</v>
      </c>
      <c r="AA28" s="29">
        <v>93.351398414162986</v>
      </c>
      <c r="AC28">
        <v>2</v>
      </c>
      <c r="AD28" t="s">
        <v>7</v>
      </c>
      <c r="AE28">
        <v>150.61254329831459</v>
      </c>
      <c r="AF28">
        <v>1</v>
      </c>
      <c r="AG28">
        <v>62.144326934849303</v>
      </c>
      <c r="AH28">
        <v>2.5</v>
      </c>
    </row>
    <row r="29" spans="1:34" x14ac:dyDescent="0.2">
      <c r="G29" s="11" t="s">
        <v>120</v>
      </c>
      <c r="H29" s="47">
        <v>13804.83</v>
      </c>
      <c r="I29" s="47">
        <v>140.4</v>
      </c>
      <c r="J29" s="25">
        <v>400</v>
      </c>
      <c r="K29" s="25">
        <v>33</v>
      </c>
      <c r="L29" s="25">
        <v>20</v>
      </c>
      <c r="M29" s="25">
        <v>35</v>
      </c>
      <c r="N29" s="25">
        <v>4240</v>
      </c>
      <c r="O29" s="25">
        <v>2000</v>
      </c>
      <c r="P29" s="25">
        <v>2.12</v>
      </c>
      <c r="Q29" s="25">
        <v>60</v>
      </c>
      <c r="R29" s="25">
        <v>0.5</v>
      </c>
      <c r="S29" s="26">
        <v>1.2</v>
      </c>
      <c r="U29" s="29">
        <v>36.543471263769412</v>
      </c>
      <c r="V29" s="29">
        <v>37.210520783923137</v>
      </c>
      <c r="W29" s="29">
        <v>0.1855349304558169</v>
      </c>
      <c r="X29" s="29">
        <v>21.543471263769408</v>
      </c>
      <c r="Y29" s="29">
        <v>22.21052078392314</v>
      </c>
      <c r="Z29" s="29">
        <v>26.105260391961568</v>
      </c>
      <c r="AA29" s="29">
        <v>36.543471263769412</v>
      </c>
    </row>
    <row r="30" spans="1:34" ht="16" x14ac:dyDescent="0.2">
      <c r="G30" s="14" t="s">
        <v>124</v>
      </c>
      <c r="H30" s="47">
        <v>0</v>
      </c>
      <c r="I30" s="47">
        <v>0</v>
      </c>
      <c r="J30" s="14">
        <v>0</v>
      </c>
      <c r="K30" s="14">
        <v>15</v>
      </c>
      <c r="L30" s="14">
        <v>10</v>
      </c>
      <c r="M30" s="14">
        <v>20</v>
      </c>
      <c r="N30" s="14">
        <v>3760</v>
      </c>
      <c r="O30" s="14">
        <v>365</v>
      </c>
      <c r="P30" s="14">
        <v>10.3</v>
      </c>
      <c r="Q30" s="14">
        <v>30</v>
      </c>
      <c r="R30" s="14">
        <v>0.3</v>
      </c>
      <c r="S30" s="15">
        <v>1.1000000000000001</v>
      </c>
      <c r="U30" s="29">
        <v>15</v>
      </c>
      <c r="V30" s="29">
        <v>15</v>
      </c>
      <c r="W30" s="29">
        <v>0</v>
      </c>
      <c r="X30" s="29">
        <v>15</v>
      </c>
      <c r="Y30" s="29">
        <v>15</v>
      </c>
      <c r="Z30" s="29">
        <v>15</v>
      </c>
      <c r="AA30" s="29">
        <v>22.5</v>
      </c>
    </row>
    <row r="33" spans="1:6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</row>
    <row r="34" spans="1:6" x14ac:dyDescent="0.2">
      <c r="A34">
        <v>1</v>
      </c>
      <c r="B34" t="s">
        <v>6</v>
      </c>
      <c r="C34">
        <v>37.20630853551669</v>
      </c>
      <c r="D34">
        <v>1</v>
      </c>
      <c r="E34">
        <v>77.413309869343678</v>
      </c>
      <c r="F34">
        <v>2.5</v>
      </c>
    </row>
    <row r="35" spans="1:6" x14ac:dyDescent="0.2">
      <c r="A35">
        <v>2</v>
      </c>
      <c r="B35" t="s">
        <v>7</v>
      </c>
      <c r="C35">
        <v>15.600335881283121</v>
      </c>
      <c r="D35">
        <v>1</v>
      </c>
      <c r="E35">
        <v>11.06125962845887</v>
      </c>
      <c r="F35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baseColWidth="10" defaultColWidth="8.83203125" defaultRowHeight="15" x14ac:dyDescent="0.2"/>
  <sheetData>
    <row r="1" spans="1:6" x14ac:dyDescent="0.2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</row>
    <row r="2" spans="1:6" x14ac:dyDescent="0.2">
      <c r="A2">
        <v>1</v>
      </c>
      <c r="B2" t="s">
        <v>6</v>
      </c>
      <c r="C2">
        <v>37.20630853551669</v>
      </c>
      <c r="D2">
        <v>1</v>
      </c>
      <c r="E2">
        <v>77.413309869343621</v>
      </c>
      <c r="F2">
        <v>2.5</v>
      </c>
    </row>
    <row r="3" spans="1:6" x14ac:dyDescent="0.2">
      <c r="A3">
        <v>2</v>
      </c>
      <c r="B3" t="s">
        <v>7</v>
      </c>
      <c r="C3">
        <v>15.600335881283121</v>
      </c>
      <c r="D3">
        <v>1</v>
      </c>
      <c r="E3">
        <v>11.06125962845887</v>
      </c>
      <c r="F3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8:E25"/>
  <sheetViews>
    <sheetView topLeftCell="A7" zoomScale="130" zoomScaleNormal="130" workbookViewId="0">
      <selection activeCell="E12" sqref="E12"/>
    </sheetView>
  </sheetViews>
  <sheetFormatPr baseColWidth="10" defaultRowHeight="15" x14ac:dyDescent="0.2"/>
  <cols>
    <col min="1" max="1" width="26.1640625" bestFit="1" customWidth="1"/>
    <col min="2" max="2" width="18.5" bestFit="1" customWidth="1"/>
    <col min="3" max="3" width="23.5" bestFit="1" customWidth="1"/>
    <col min="4" max="4" width="25.5" bestFit="1" customWidth="1"/>
    <col min="5" max="5" width="21.83203125" customWidth="1"/>
  </cols>
  <sheetData>
    <row r="8" spans="1:5" x14ac:dyDescent="0.2">
      <c r="A8" t="s">
        <v>134</v>
      </c>
      <c r="B8">
        <v>32.5</v>
      </c>
      <c r="C8" t="s">
        <v>135</v>
      </c>
    </row>
    <row r="9" spans="1:5" x14ac:dyDescent="0.2">
      <c r="A9" t="s">
        <v>136</v>
      </c>
      <c r="B9">
        <v>32.5</v>
      </c>
      <c r="C9" t="s">
        <v>135</v>
      </c>
    </row>
    <row r="10" spans="1:5" x14ac:dyDescent="0.2">
      <c r="A10" t="s">
        <v>137</v>
      </c>
      <c r="B10">
        <f>B9+B8</f>
        <v>65</v>
      </c>
      <c r="C10" t="s">
        <v>135</v>
      </c>
    </row>
    <row r="12" spans="1:5" x14ac:dyDescent="0.2">
      <c r="A12" t="s">
        <v>138</v>
      </c>
      <c r="B12">
        <v>85.7</v>
      </c>
      <c r="E12" s="27"/>
    </row>
    <row r="13" spans="1:5" x14ac:dyDescent="0.2">
      <c r="A13" t="s">
        <v>139</v>
      </c>
      <c r="B13">
        <f>Parameters!B2*3</f>
        <v>6</v>
      </c>
    </row>
    <row r="14" spans="1:5" x14ac:dyDescent="0.2">
      <c r="A14" t="s">
        <v>140</v>
      </c>
      <c r="B14">
        <f>B12*B13</f>
        <v>514.20000000000005</v>
      </c>
    </row>
    <row r="16" spans="1:5" x14ac:dyDescent="0.2">
      <c r="A16" t="s">
        <v>141</v>
      </c>
      <c r="B16">
        <v>100</v>
      </c>
    </row>
    <row r="17" spans="1:5" x14ac:dyDescent="0.2">
      <c r="A17" t="s">
        <v>142</v>
      </c>
      <c r="B17" s="33">
        <f>(B8/60)*$B$16</f>
        <v>54.166666666666664</v>
      </c>
    </row>
    <row r="18" spans="1:5" x14ac:dyDescent="0.2">
      <c r="A18" t="s">
        <v>143</v>
      </c>
      <c r="B18" s="33">
        <f>(B9/60)*$B$16</f>
        <v>54.166666666666664</v>
      </c>
    </row>
    <row r="19" spans="1:5" x14ac:dyDescent="0.2">
      <c r="B19" s="33"/>
    </row>
    <row r="20" spans="1:5" x14ac:dyDescent="0.2">
      <c r="A20" t="s">
        <v>144</v>
      </c>
      <c r="B20" s="33">
        <f>B14+B17+B18</f>
        <v>622.5333333333333</v>
      </c>
      <c r="D20" t="s">
        <v>145</v>
      </c>
    </row>
    <row r="21" spans="1:5" x14ac:dyDescent="0.2">
      <c r="A21" t="s">
        <v>146</v>
      </c>
    </row>
    <row r="23" spans="1:5" x14ac:dyDescent="0.2">
      <c r="A23" t="s">
        <v>147</v>
      </c>
    </row>
    <row r="24" spans="1:5" x14ac:dyDescent="0.2">
      <c r="A24" s="31"/>
      <c r="B24" s="32" t="s">
        <v>148</v>
      </c>
      <c r="C24" s="32" t="s">
        <v>149</v>
      </c>
      <c r="D24" s="32" t="s">
        <v>150</v>
      </c>
      <c r="E24" s="32" t="s">
        <v>151</v>
      </c>
    </row>
    <row r="25" spans="1:5" x14ac:dyDescent="0.2">
      <c r="A25" s="32" t="s">
        <v>152</v>
      </c>
      <c r="B25" s="36">
        <f>B14</f>
        <v>514.20000000000005</v>
      </c>
      <c r="C25" s="36">
        <f>B17</f>
        <v>54.166666666666664</v>
      </c>
      <c r="D25" s="36">
        <f>B18</f>
        <v>54.166666666666664</v>
      </c>
      <c r="E25" s="3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8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4" customWidth="1"/>
    <col min="3" max="3" width="17" customWidth="1"/>
    <col min="4" max="4" width="11" customWidth="1"/>
    <col min="5" max="5" width="12" customWidth="1"/>
    <col min="6" max="6" width="11" customWidth="1"/>
    <col min="7" max="8" width="17" customWidth="1"/>
    <col min="9" max="9" width="15" customWidth="1"/>
    <col min="10" max="10" width="26" customWidth="1"/>
    <col min="11" max="11" width="8" customWidth="1"/>
    <col min="12" max="12" width="19" customWidth="1"/>
    <col min="13" max="13" width="12" customWidth="1"/>
    <col min="14" max="14" width="11" customWidth="1"/>
    <col min="15" max="15" width="18" customWidth="1"/>
    <col min="16" max="16" width="10" customWidth="1"/>
    <col min="17" max="17" width="8" customWidth="1"/>
    <col min="18" max="22" width="20" customWidth="1"/>
    <col min="23" max="23" width="19" customWidth="1"/>
    <col min="24" max="26" width="20" customWidth="1"/>
    <col min="27" max="27" width="19" customWidth="1"/>
  </cols>
  <sheetData>
    <row r="1" spans="1:27" x14ac:dyDescent="0.2">
      <c r="A1" s="57" t="s">
        <v>153</v>
      </c>
      <c r="B1" s="57" t="s">
        <v>110</v>
      </c>
      <c r="C1" s="57" t="s">
        <v>17</v>
      </c>
      <c r="D1" s="57" t="s">
        <v>111</v>
      </c>
      <c r="E1" s="57" t="s">
        <v>112</v>
      </c>
      <c r="F1" s="57" t="s">
        <v>113</v>
      </c>
      <c r="G1" s="57" t="s">
        <v>114</v>
      </c>
      <c r="H1" s="57" t="s">
        <v>24</v>
      </c>
      <c r="I1" s="57" t="s">
        <v>27</v>
      </c>
      <c r="J1" s="57" t="s">
        <v>115</v>
      </c>
      <c r="K1" s="57" t="s">
        <v>30</v>
      </c>
      <c r="L1" s="57" t="s">
        <v>116</v>
      </c>
      <c r="M1" s="57" t="s">
        <v>35</v>
      </c>
      <c r="N1" s="57" t="s">
        <v>117</v>
      </c>
      <c r="O1" s="57" t="s">
        <v>39</v>
      </c>
      <c r="P1" s="57" t="s">
        <v>118</v>
      </c>
      <c r="Q1" s="57" t="s">
        <v>119</v>
      </c>
      <c r="R1" s="57" t="s">
        <v>48</v>
      </c>
      <c r="S1" s="57" t="s">
        <v>51</v>
      </c>
      <c r="T1" s="57" t="s">
        <v>54</v>
      </c>
      <c r="U1" s="57" t="s">
        <v>57</v>
      </c>
      <c r="V1" s="57" t="s">
        <v>60</v>
      </c>
      <c r="W1" s="57" t="s">
        <v>63</v>
      </c>
      <c r="X1" s="57" t="s">
        <v>66</v>
      </c>
      <c r="Y1" s="57" t="s">
        <v>68</v>
      </c>
      <c r="Z1" s="57" t="s">
        <v>70</v>
      </c>
      <c r="AA1" s="57" t="s">
        <v>72</v>
      </c>
    </row>
    <row r="2" spans="1:27" x14ac:dyDescent="0.2">
      <c r="A2" s="29">
        <v>0</v>
      </c>
      <c r="B2" s="29"/>
      <c r="C2" s="29" t="b">
        <v>1</v>
      </c>
      <c r="D2" s="29">
        <v>0.9</v>
      </c>
      <c r="E2" s="29">
        <v>1</v>
      </c>
      <c r="F2" s="29">
        <v>400</v>
      </c>
      <c r="G2" s="29">
        <v>39</v>
      </c>
      <c r="H2" s="29">
        <v>8</v>
      </c>
      <c r="I2" s="29">
        <v>39</v>
      </c>
      <c r="J2" s="29">
        <v>1000</v>
      </c>
      <c r="K2" s="29">
        <v>1460</v>
      </c>
      <c r="L2" s="29">
        <v>0.68</v>
      </c>
      <c r="M2" s="29">
        <v>30</v>
      </c>
      <c r="N2" s="29">
        <v>0.3</v>
      </c>
      <c r="O2" s="29">
        <v>1.1000000000000001</v>
      </c>
      <c r="P2" s="29">
        <v>0</v>
      </c>
      <c r="Q2" s="29" t="s">
        <v>121</v>
      </c>
      <c r="R2" s="29">
        <v>102.0833764113291</v>
      </c>
      <c r="S2" s="29">
        <v>113.95866277109251</v>
      </c>
      <c r="T2" s="29">
        <v>3.3030237820931672</v>
      </c>
      <c r="U2" s="29">
        <v>42.838123692071548</v>
      </c>
      <c r="V2" s="29">
        <v>49.396312530643407</v>
      </c>
      <c r="W2" s="29">
        <v>89.260506505770763</v>
      </c>
      <c r="X2" s="29">
        <v>102.0833764113291</v>
      </c>
      <c r="Y2" s="29">
        <v>196118.01</v>
      </c>
      <c r="Z2" s="29">
        <v>131.42370085693571</v>
      </c>
      <c r="AA2" s="29">
        <v>788.54220514161398</v>
      </c>
    </row>
    <row r="3" spans="1:27" x14ac:dyDescent="0.2">
      <c r="A3" s="29">
        <v>0</v>
      </c>
      <c r="B3" s="29"/>
      <c r="C3" s="29" t="b">
        <v>1</v>
      </c>
      <c r="D3" s="29">
        <v>0.9</v>
      </c>
      <c r="E3" s="29">
        <v>0.5</v>
      </c>
      <c r="F3" s="29">
        <v>400</v>
      </c>
      <c r="G3" s="29">
        <v>31</v>
      </c>
      <c r="H3" s="29">
        <v>6</v>
      </c>
      <c r="I3" s="29">
        <v>31</v>
      </c>
      <c r="J3" s="29">
        <v>3500</v>
      </c>
      <c r="K3" s="29">
        <v>1460</v>
      </c>
      <c r="L3" s="29">
        <v>2.4</v>
      </c>
      <c r="M3" s="29">
        <v>30</v>
      </c>
      <c r="N3" s="29">
        <v>0.3</v>
      </c>
      <c r="O3" s="29">
        <v>1.1000000000000001</v>
      </c>
      <c r="P3" s="29">
        <v>1</v>
      </c>
      <c r="Q3" s="29" t="s">
        <v>122</v>
      </c>
      <c r="R3" s="29">
        <v>59.245252719257557</v>
      </c>
      <c r="S3" s="29">
        <v>64.562350240449064</v>
      </c>
      <c r="T3" s="29">
        <v>1.478911668497578</v>
      </c>
      <c r="U3" s="29">
        <v>26.959995852844489</v>
      </c>
      <c r="V3" s="29">
        <v>30.905662160066431</v>
      </c>
      <c r="W3" s="29">
        <v>49.10951916041585</v>
      </c>
      <c r="X3" s="29">
        <v>59.245252719257557</v>
      </c>
      <c r="Y3" s="29">
        <v>98464.766400000022</v>
      </c>
      <c r="Z3" s="29">
        <v>58.844276498453269</v>
      </c>
      <c r="AA3" s="29">
        <v>353.06565899071961</v>
      </c>
    </row>
    <row r="4" spans="1:27" x14ac:dyDescent="0.2">
      <c r="A4" s="29">
        <v>0</v>
      </c>
      <c r="B4" s="29"/>
      <c r="C4" s="29" t="b">
        <v>1</v>
      </c>
      <c r="D4" s="29">
        <v>0.5</v>
      </c>
      <c r="E4" s="29">
        <v>0.25</v>
      </c>
      <c r="F4" s="29">
        <v>400</v>
      </c>
      <c r="G4" s="29">
        <v>25</v>
      </c>
      <c r="H4" s="29">
        <v>10</v>
      </c>
      <c r="I4" s="29">
        <v>25</v>
      </c>
      <c r="J4" s="29">
        <v>500</v>
      </c>
      <c r="K4" s="29">
        <v>365</v>
      </c>
      <c r="L4" s="29">
        <v>1.37</v>
      </c>
      <c r="M4" s="29">
        <v>30</v>
      </c>
      <c r="N4" s="29">
        <v>0.3</v>
      </c>
      <c r="O4" s="29">
        <v>1.1000000000000001</v>
      </c>
      <c r="P4" s="29">
        <v>2</v>
      </c>
      <c r="Q4" s="29" t="s">
        <v>123</v>
      </c>
      <c r="R4" s="29">
        <v>32.285256866413079</v>
      </c>
      <c r="S4" s="29">
        <v>33.656688080382636</v>
      </c>
      <c r="T4" s="29">
        <v>0.38145353114134228</v>
      </c>
      <c r="U4" s="29">
        <v>17.285256866413079</v>
      </c>
      <c r="V4" s="29">
        <v>18.65668808038264</v>
      </c>
      <c r="W4" s="29">
        <v>24.328344040191318</v>
      </c>
      <c r="X4" s="29">
        <v>32.285256866413079</v>
      </c>
      <c r="Y4" s="29">
        <v>27839.740499999989</v>
      </c>
      <c r="Z4" s="29">
        <v>15.17761847169392</v>
      </c>
      <c r="AA4" s="29">
        <v>91.065710830163525</v>
      </c>
    </row>
    <row r="5" spans="1:27" x14ac:dyDescent="0.2">
      <c r="A5" s="29">
        <v>0</v>
      </c>
      <c r="B5" s="29"/>
      <c r="C5" s="29" t="b">
        <v>0</v>
      </c>
      <c r="D5" s="29">
        <v>0</v>
      </c>
      <c r="E5" s="29">
        <v>0</v>
      </c>
      <c r="F5" s="29">
        <v>400</v>
      </c>
      <c r="G5" s="29">
        <v>15</v>
      </c>
      <c r="H5" s="29">
        <v>10</v>
      </c>
      <c r="I5" s="29">
        <v>20</v>
      </c>
      <c r="J5" s="29">
        <v>3760</v>
      </c>
      <c r="K5" s="29">
        <v>365</v>
      </c>
      <c r="L5" s="29">
        <v>10.3</v>
      </c>
      <c r="M5" s="29">
        <v>30</v>
      </c>
      <c r="N5" s="29">
        <v>0.3</v>
      </c>
      <c r="O5" s="29">
        <v>1.1000000000000001</v>
      </c>
      <c r="P5" s="29">
        <v>3</v>
      </c>
      <c r="Q5" s="29" t="s">
        <v>125</v>
      </c>
      <c r="R5" s="29">
        <v>15</v>
      </c>
      <c r="S5" s="29">
        <v>15</v>
      </c>
      <c r="T5" s="29">
        <v>0</v>
      </c>
      <c r="U5" s="29">
        <v>15</v>
      </c>
      <c r="V5" s="29">
        <v>15</v>
      </c>
      <c r="W5" s="29">
        <v>15</v>
      </c>
      <c r="X5" s="29">
        <v>22.5</v>
      </c>
      <c r="Y5" s="29">
        <v>0</v>
      </c>
      <c r="Z5" s="29">
        <v>0</v>
      </c>
      <c r="AA5" s="29">
        <v>0</v>
      </c>
    </row>
    <row r="6" spans="1:27" x14ac:dyDescent="0.2">
      <c r="A6" s="29">
        <v>1</v>
      </c>
      <c r="B6" s="29"/>
      <c r="C6" s="29" t="b">
        <v>1</v>
      </c>
      <c r="D6" s="29">
        <v>1</v>
      </c>
      <c r="E6" s="29">
        <v>1</v>
      </c>
      <c r="F6" s="29">
        <v>400</v>
      </c>
      <c r="G6" s="29">
        <v>44</v>
      </c>
      <c r="H6" s="29">
        <v>14</v>
      </c>
      <c r="I6" s="29">
        <v>44</v>
      </c>
      <c r="J6" s="29">
        <v>1000</v>
      </c>
      <c r="K6" s="29">
        <v>730</v>
      </c>
      <c r="L6" s="29">
        <v>1.3698630136986301</v>
      </c>
      <c r="M6" s="29">
        <v>60</v>
      </c>
      <c r="N6" s="29">
        <v>0.5</v>
      </c>
      <c r="O6" s="29">
        <v>1.2</v>
      </c>
      <c r="P6" s="29">
        <v>0</v>
      </c>
      <c r="Q6" s="29" t="s">
        <v>121</v>
      </c>
      <c r="R6" s="29">
        <v>115.7849918129957</v>
      </c>
      <c r="S6" s="29">
        <v>129.2983353054899</v>
      </c>
      <c r="T6" s="29">
        <v>3.7586373565303681</v>
      </c>
      <c r="U6" s="29">
        <v>78.499734946582635</v>
      </c>
      <c r="V6" s="29">
        <v>90.641647225107235</v>
      </c>
      <c r="W6" s="29">
        <v>83.977511692936247</v>
      </c>
      <c r="X6" s="29">
        <v>115.7849918129957</v>
      </c>
      <c r="Y6" s="29">
        <v>217908.9</v>
      </c>
      <c r="Z6" s="29">
        <v>149.5520662770744</v>
      </c>
      <c r="AA6" s="29">
        <v>897.31239766244653</v>
      </c>
    </row>
    <row r="7" spans="1:27" x14ac:dyDescent="0.2">
      <c r="A7" s="29">
        <v>1</v>
      </c>
      <c r="B7" s="29"/>
      <c r="C7" s="29" t="b">
        <v>1</v>
      </c>
      <c r="D7" s="29">
        <v>0.5</v>
      </c>
      <c r="E7" s="29">
        <v>0.25</v>
      </c>
      <c r="F7" s="29">
        <v>400</v>
      </c>
      <c r="G7" s="29">
        <v>30</v>
      </c>
      <c r="H7" s="29">
        <v>15</v>
      </c>
      <c r="I7" s="29">
        <v>30</v>
      </c>
      <c r="J7" s="29">
        <v>3500</v>
      </c>
      <c r="K7" s="29">
        <v>730</v>
      </c>
      <c r="L7" s="29">
        <v>4.7945205479452051</v>
      </c>
      <c r="M7" s="29">
        <v>60</v>
      </c>
      <c r="N7" s="29">
        <v>0.5</v>
      </c>
      <c r="O7" s="29">
        <v>1.2</v>
      </c>
      <c r="P7" s="29">
        <v>1</v>
      </c>
      <c r="Q7" s="29" t="s">
        <v>122</v>
      </c>
      <c r="R7" s="29">
        <v>37.285256866413079</v>
      </c>
      <c r="S7" s="29">
        <v>38.656688080382636</v>
      </c>
      <c r="T7" s="29">
        <v>0.38145353114134228</v>
      </c>
      <c r="U7" s="29">
        <v>22.285256866413079</v>
      </c>
      <c r="V7" s="29">
        <v>23.65668808038264</v>
      </c>
      <c r="W7" s="29">
        <v>26.828344040191318</v>
      </c>
      <c r="X7" s="29">
        <v>37.285256866413079</v>
      </c>
      <c r="Y7" s="29">
        <v>27839.740499999989</v>
      </c>
      <c r="Z7" s="29">
        <v>15.17761847169392</v>
      </c>
      <c r="AA7" s="29">
        <v>91.065710830163525</v>
      </c>
    </row>
    <row r="8" spans="1:27" x14ac:dyDescent="0.2">
      <c r="A8" s="29">
        <v>1</v>
      </c>
      <c r="B8" s="29"/>
      <c r="C8" s="29" t="b">
        <v>0</v>
      </c>
      <c r="D8" s="29">
        <v>0</v>
      </c>
      <c r="E8" s="29">
        <v>0</v>
      </c>
      <c r="F8" s="29">
        <v>0</v>
      </c>
      <c r="G8" s="29">
        <v>15</v>
      </c>
      <c r="H8" s="29">
        <v>10</v>
      </c>
      <c r="I8" s="29">
        <v>20</v>
      </c>
      <c r="J8" s="29">
        <v>4260</v>
      </c>
      <c r="K8" s="29">
        <v>365</v>
      </c>
      <c r="L8" s="29">
        <v>11.671232876712329</v>
      </c>
      <c r="M8" s="29">
        <v>30</v>
      </c>
      <c r="N8" s="29">
        <v>0.3</v>
      </c>
      <c r="O8" s="29">
        <v>1.1000000000000001</v>
      </c>
      <c r="P8" s="29">
        <v>2</v>
      </c>
      <c r="Q8" s="29" t="s">
        <v>126</v>
      </c>
      <c r="R8" s="29">
        <v>15</v>
      </c>
      <c r="S8" s="29">
        <v>15</v>
      </c>
      <c r="T8" s="29">
        <v>0</v>
      </c>
      <c r="U8" s="29">
        <v>15</v>
      </c>
      <c r="V8" s="29">
        <v>15</v>
      </c>
      <c r="W8" s="29">
        <v>15</v>
      </c>
      <c r="X8" s="29">
        <v>22.5</v>
      </c>
      <c r="Y8" s="29">
        <v>0</v>
      </c>
      <c r="Z8" s="29">
        <v>0</v>
      </c>
      <c r="AA8" s="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comments</vt:lpstr>
      <vt:lpstr>Parameters</vt:lpstr>
      <vt:lpstr>options</vt:lpstr>
      <vt:lpstr>Inputs</vt:lpstr>
      <vt:lpstr>Feuil1</vt:lpstr>
      <vt:lpstr>Analysis_Results</vt:lpstr>
      <vt:lpstr>Replacement</vt:lpstr>
      <vt:lpstr>thermal_data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Ghersi, Tarak</dc:creator>
  <cp:lastModifiedBy>Lesaulnier, Thomas</cp:lastModifiedBy>
  <dcterms:created xsi:type="dcterms:W3CDTF">2015-06-05T18:19:34Z</dcterms:created>
  <dcterms:modified xsi:type="dcterms:W3CDTF">2026-06-26T11:43:18Z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5f6660-0408-47d2-ae31-f46329b4bd81_Enabled">
    <vt:lpwstr>true</vt:lpwstr>
  </property>
  <property fmtid="{D5CDD505-2E9C-101B-9397-08002B2CF9AE}" pid="3" name="MSIP_Label_d55f6660-0408-47d2-ae31-f46329b4bd81_SetDate">
    <vt:lpwstr>2025-08-01T14:57:10Z</vt:lpwstr>
  </property>
  <property fmtid="{D5CDD505-2E9C-101B-9397-08002B2CF9AE}" pid="4" name="MSIP_Label_d55f6660-0408-47d2-ae31-f46329b4bd81_Method">
    <vt:lpwstr>Standard</vt:lpwstr>
  </property>
  <property fmtid="{D5CDD505-2E9C-101B-9397-08002B2CF9AE}" pid="5" name="MSIP_Label_d55f6660-0408-47d2-ae31-f46329b4bd81_Name">
    <vt:lpwstr>General</vt:lpwstr>
  </property>
  <property fmtid="{D5CDD505-2E9C-101B-9397-08002B2CF9AE}" pid="6" name="MSIP_Label_d55f6660-0408-47d2-ae31-f46329b4bd81_SiteId">
    <vt:lpwstr>1f141cfd-a6c5-4e9a-bf84-7116c141e5f4</vt:lpwstr>
  </property>
  <property fmtid="{D5CDD505-2E9C-101B-9397-08002B2CF9AE}" pid="7" name="MSIP_Label_d55f6660-0408-47d2-ae31-f46329b4bd81_ActionId">
    <vt:lpwstr>ef944cf4-0311-4dd0-a3ce-5c0d4a958fb2</vt:lpwstr>
  </property>
  <property fmtid="{D5CDD505-2E9C-101B-9397-08002B2CF9AE}" pid="8" name="MSIP_Label_d55f6660-0408-47d2-ae31-f46329b4bd81_ContentBits">
    <vt:lpwstr>0</vt:lpwstr>
  </property>
  <property fmtid="{D5CDD505-2E9C-101B-9397-08002B2CF9AE}" pid="9" name="MSIP_Label_d55f6660-0408-47d2-ae31-f46329b4bd81_Tag">
    <vt:lpwstr>10, 3, 0, 1</vt:lpwstr>
  </property>
</Properties>
</file>