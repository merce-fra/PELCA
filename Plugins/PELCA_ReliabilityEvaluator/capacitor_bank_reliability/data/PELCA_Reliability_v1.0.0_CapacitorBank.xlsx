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840" tabRatio="600" firstSheet="0" activeTab="1" autoFilterDateGrouping="1"/>
  </bookViews>
  <sheets>
    <sheet xmlns:r="http://schemas.openxmlformats.org/officeDocument/2006/relationships" name="commen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mission_profil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Replacement" sheetId="6" state="visible" r:id="rId6"/>
    <sheet xmlns:r="http://schemas.openxmlformats.org/officeDocument/2006/relationships" name="tables" sheetId="7" state="hidden" r:id="rId7"/>
    <sheet xmlns:r="http://schemas.openxmlformats.org/officeDocument/2006/relationships" name="thermal_dat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alibri"/>
      <family val="2"/>
      <color theme="10"/>
      <sz val="12"/>
      <u val="single"/>
      <scheme val="minor"/>
    </font>
    <font>
      <name val="Arial"/>
      <family val="2"/>
      <b val="1"/>
      <color theme="1"/>
      <sz val="11"/>
    </font>
    <font>
      <name val="Segoe UI"/>
      <family val="2"/>
      <color rgb="FF000000"/>
      <sz val="11"/>
    </font>
    <font>
      <name val="Calibri"/>
      <family val="2"/>
      <i val="1"/>
      <sz val="8"/>
      <scheme val="minor"/>
    </font>
    <font>
      <name val="Calibri"/>
      <family val="2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onsolas"/>
      <family val="3"/>
      <color theme="1"/>
      <sz val="10"/>
    </font>
    <font>
      <name val="Calibri"/>
      <family val="2"/>
      <i val="1"/>
      <sz val="11"/>
      <scheme val="minor"/>
    </font>
    <font>
      <name val="Consolas"/>
      <family val="3"/>
      <sz val="11"/>
    </font>
    <font>
      <name val="Calibri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rgb="FFD9D9D9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indent="2" readingOrder="1"/>
    </xf>
    <xf numFmtId="0" fontId="6" fillId="0" borderId="0" pivotButton="0" quotePrefix="0" xfId="1"/>
    <xf numFmtId="0" fontId="7" fillId="0" borderId="0" applyAlignment="1" pivotButton="0" quotePrefix="0" xfId="0">
      <alignment vertical="center" readingOrder="1"/>
    </xf>
    <xf numFmtId="0" fontId="8" fillId="0" borderId="0" pivotButton="0" quotePrefix="0" xfId="0"/>
    <xf numFmtId="11" fontId="0" fillId="0" borderId="0" pivotButton="0" quotePrefix="0" xfId="0"/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pivotButton="0" quotePrefix="1" xfId="0"/>
    <xf numFmtId="0" fontId="10" fillId="3" borderId="0" applyAlignment="1" pivotButton="0" quotePrefix="0" xfId="0">
      <alignment horizontal="center" vertical="center" wrapText="1"/>
    </xf>
    <xf numFmtId="0" fontId="3" fillId="0" borderId="0" pivotButton="0" quotePrefix="0" xfId="1"/>
    <xf numFmtId="2" fontId="0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165" fontId="10" fillId="3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top"/>
    </xf>
    <xf numFmtId="165" fontId="0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5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294299</colOff>
      <row>14</row>
      <rowOff>30953</rowOff>
    </from>
    <to>
      <col>16</col>
      <colOff>396778</colOff>
      <row>20</row>
      <rowOff>117148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74837" y="2294972"/>
          <a:ext cx="7122014" cy="1185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55</row>
      <rowOff>0</rowOff>
    </from>
    <to>
      <col>29</col>
      <colOff>403572</colOff>
      <row>82</row>
      <rowOff>173227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878294" y="10145059"/>
          <a:ext cx="16047619" cy="52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" displayName="Table1" ref="A2:A4" headerRowCount="1" totalsRowShown="0">
  <autoFilter ref="A2:A4"/>
  <tableColumns count="1">
    <tableColumn id="1" name="FIT_calculation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8"/>
  <sheetViews>
    <sheetView zoomScale="150" workbookViewId="0">
      <selection activeCell="M19" sqref="M19"/>
    </sheetView>
  </sheetViews>
  <sheetFormatPr baseColWidth="10" defaultRowHeight="15"/>
  <cols>
    <col width="20.5" customWidth="1" min="2" max="2"/>
    <col width="17.83203125" customWidth="1" min="3" max="3"/>
  </cols>
  <sheetData>
    <row r="1">
      <c r="B1" s="1" t="inlineStr">
        <is>
          <t>Excel sheet for the capacitor bank reliability assessment</t>
        </is>
      </c>
    </row>
    <row r="3">
      <c r="B3" s="28" t="inlineStr">
        <is>
          <t>Short summary of sheets in this document:</t>
        </is>
      </c>
    </row>
    <row r="4">
      <c r="B4" t="inlineStr">
        <is>
          <t>page parameters:</t>
        </is>
      </c>
      <c r="C4" t="inlineStr">
        <is>
          <t>value of most parameters used in the calculation tool (for calculation of losses, lifetime, etc)</t>
        </is>
      </c>
    </row>
    <row r="5">
      <c r="B5" t="inlineStr">
        <is>
          <t>page options:</t>
        </is>
      </c>
      <c r="C5" t="inlineStr">
        <is>
          <t xml:space="preserve"> will enable/disable some graphs for instance</t>
        </is>
      </c>
    </row>
    <row r="6">
      <c r="B6" t="inlineStr">
        <is>
          <t>page mission_profile:</t>
        </is>
      </c>
      <c r="C6" t="inlineStr">
        <is>
          <t>description of mission profile(s)</t>
        </is>
      </c>
    </row>
    <row r="7">
      <c r="B7" t="inlineStr">
        <is>
          <t>page results:</t>
        </is>
      </c>
      <c r="C7" t="inlineStr">
        <is>
          <t>result of processing (parameters for PELCA: reliability + replacement cost)</t>
        </is>
      </c>
    </row>
    <row r="8">
      <c r="B8" t="inlineStr">
        <is>
          <t>page Replacement:</t>
        </is>
      </c>
      <c r="C8" t="inlineStr">
        <is>
          <t>Replacement costs(Excel calculated)</t>
        </is>
      </c>
    </row>
    <row r="9">
      <c r="B9" t="inlineStr">
        <is>
          <t>page thermal_data:</t>
        </is>
      </c>
      <c r="C9" t="inlineStr">
        <is>
          <t>recall of mission profile(s) processed along with calculated losses in the different phases</t>
        </is>
      </c>
    </row>
    <row r="10">
      <c r="C10" s="29" t="inlineStr">
        <is>
          <t>cap_bank_losses</t>
        </is>
      </c>
      <c r="D10" t="inlineStr">
        <is>
          <t>estimated losses (in W) dissipated in capacitor bank during each phase of mission profile</t>
        </is>
      </c>
    </row>
    <row r="11">
      <c r="C11" s="29" t="inlineStr">
        <is>
          <t>deltaTx_heatsink</t>
        </is>
      </c>
      <c r="D11" t="inlineStr">
        <is>
          <t>estimation of temperature increase of the airflow after passing through the capacitor bank (used to cool down the heatsink of following stages)</t>
        </is>
      </c>
    </row>
    <row r="12">
      <c r="C12" s="29" t="inlineStr">
        <is>
          <t>load_factor_i</t>
        </is>
      </c>
      <c r="D12" t="inlineStr">
        <is>
          <t>calculated relative output active power (with respect to nominal output power: 200kW)</t>
        </is>
      </c>
    </row>
    <row r="13">
      <c r="C13" s="29" t="inlineStr">
        <is>
          <t>active_power</t>
        </is>
      </c>
      <c r="D13" t="inlineStr">
        <is>
          <t>calculated output active power</t>
        </is>
      </c>
    </row>
    <row r="14">
      <c r="C14" s="29" t="inlineStr">
        <is>
          <t>life_ratio_i</t>
        </is>
      </c>
      <c r="D14" t="inlineStr">
        <is>
          <t xml:space="preserve">calculated as : Operating_Hours_per_Year / 8760h (fraction of year spent at a given operating point) </t>
        </is>
      </c>
    </row>
    <row r="18">
      <c r="B18" s="3" t="inlineStr">
        <is>
          <t>Important note: only use numbers in cells…. Or save with ctrl+alt F9 before each execution of tool!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54"/>
  <sheetViews>
    <sheetView tabSelected="1" zoomScale="150" zoomScaleNormal="70" workbookViewId="0">
      <selection activeCell="N52" sqref="N52"/>
    </sheetView>
  </sheetViews>
  <sheetFormatPr baseColWidth="10" defaultColWidth="8.83203125" defaultRowHeight="15"/>
  <cols>
    <col width="19.1640625" bestFit="1" customWidth="1" min="2" max="2"/>
    <col width="12.33203125" customWidth="1" min="3" max="3"/>
    <col width="44.1640625" customWidth="1" min="4" max="4"/>
    <col width="13.5" bestFit="1" customWidth="1" min="6" max="6"/>
  </cols>
  <sheetData>
    <row r="2">
      <c r="B2" s="1" t="inlineStr">
        <is>
          <t>General parameters</t>
        </is>
      </c>
    </row>
    <row r="3">
      <c r="B3" t="inlineStr">
        <is>
          <t>PN</t>
        </is>
      </c>
      <c r="C3" s="2" t="n">
        <v>200000</v>
      </c>
      <c r="D3" t="inlineStr">
        <is>
          <t>nominal output power (W)</t>
        </is>
      </c>
    </row>
    <row r="4">
      <c r="B4" t="inlineStr">
        <is>
          <t>Vin</t>
        </is>
      </c>
      <c r="C4" s="2" t="n">
        <v>230</v>
      </c>
      <c r="D4" t="inlineStr">
        <is>
          <t>input voltage (Vrms)</t>
        </is>
      </c>
    </row>
    <row r="5">
      <c r="B5" t="inlineStr">
        <is>
          <t>Vout_rms</t>
        </is>
      </c>
      <c r="C5" s="2" t="n">
        <v>170</v>
      </c>
      <c r="D5" t="inlineStr">
        <is>
          <t># for Mi ~ 0.7</t>
        </is>
      </c>
    </row>
    <row r="6">
      <c r="B6" t="inlineStr">
        <is>
          <t>PF</t>
        </is>
      </c>
      <c r="C6" s="2" t="n">
        <v>0.87</v>
      </c>
      <c r="D6" t="inlineStr">
        <is>
          <t># phy=30°</t>
        </is>
      </c>
    </row>
    <row r="7">
      <c r="C7" s="2" t="n"/>
    </row>
    <row r="8" ht="17.5" customHeight="1">
      <c r="B8" s="1" t="inlineStr">
        <is>
          <t>Capacitor parameters</t>
        </is>
      </c>
      <c r="C8" s="2" t="n"/>
      <c r="G8" s="9" t="n"/>
      <c r="H8" s="6" t="n"/>
      <c r="I8" s="6" t="n"/>
      <c r="J8" s="6" t="n"/>
      <c r="K8" s="6" t="n"/>
      <c r="L8" s="7" t="n"/>
      <c r="M8" s="6" t="n"/>
      <c r="N8" s="6" t="n"/>
      <c r="O8" s="8" t="n"/>
      <c r="P8" s="6" t="n"/>
      <c r="Q8" s="6" t="n"/>
      <c r="R8" s="6" t="n"/>
      <c r="S8" s="6" t="n"/>
      <c r="T8" s="6" t="n"/>
      <c r="U8" s="6" t="n"/>
    </row>
    <row r="9" ht="16.5" customHeight="1">
      <c r="B9" t="inlineStr">
        <is>
          <t>KFL</t>
        </is>
      </c>
      <c r="C9" s="2" t="n">
        <v>1.2</v>
      </c>
      <c r="D9" t="inlineStr">
        <is>
          <t>ripple correction factor at 300 Hz</t>
        </is>
      </c>
      <c r="G9" s="10" t="n"/>
      <c r="H9" s="6" t="n"/>
      <c r="I9" s="6" t="n"/>
      <c r="J9" s="6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B10" t="inlineStr">
        <is>
          <t>KFH</t>
        </is>
      </c>
      <c r="C10" s="2" t="n">
        <v>1.41</v>
      </c>
      <c r="D10" t="inlineStr">
        <is>
          <t>ripple correction factor at 8000 Hz</t>
        </is>
      </c>
    </row>
    <row r="11">
      <c r="B11" t="inlineStr">
        <is>
          <t>Iripple_nom</t>
        </is>
      </c>
      <c r="C11" s="2" t="n">
        <v>34</v>
      </c>
      <c r="D11" t="inlineStr">
        <is>
          <t>ripple current @ 120 Hz, T0</t>
        </is>
      </c>
    </row>
    <row r="12">
      <c r="B12" t="inlineStr">
        <is>
          <t>ESR_120</t>
        </is>
      </c>
      <c r="C12" s="2" t="n">
        <v>0.007</v>
      </c>
      <c r="D12" t="inlineStr">
        <is>
          <t>ESR at 120 Hz, T0</t>
        </is>
      </c>
    </row>
    <row r="13">
      <c r="B13" t="inlineStr">
        <is>
          <t>Vrated</t>
        </is>
      </c>
      <c r="C13" s="2" t="n">
        <v>450</v>
      </c>
      <c r="D13" t="inlineStr">
        <is>
          <t>rated voltage</t>
        </is>
      </c>
    </row>
    <row r="14">
      <c r="C14" s="2" t="n"/>
    </row>
    <row r="15">
      <c r="B15" s="1" t="inlineStr">
        <is>
          <t>ripple multiplier vs temp</t>
        </is>
      </c>
      <c r="C15" s="2" t="n"/>
    </row>
    <row r="16">
      <c r="B16" s="5" t="n">
        <v>45</v>
      </c>
      <c r="C16" s="13" t="n">
        <v>2.82</v>
      </c>
      <c r="D16" s="14" t="n"/>
    </row>
    <row r="17">
      <c r="B17" s="5" t="n">
        <v>65</v>
      </c>
      <c r="C17" s="13" t="n">
        <v>1.73</v>
      </c>
      <c r="D17" s="14" t="n"/>
    </row>
    <row r="18">
      <c r="B18" s="5" t="n">
        <v>85</v>
      </c>
      <c r="C18" s="13" t="n">
        <v>1</v>
      </c>
      <c r="D18" s="14" t="n"/>
    </row>
    <row r="20">
      <c r="B20" s="1" t="inlineStr">
        <is>
          <t>ripple multiplier vs freq</t>
        </is>
      </c>
      <c r="D20" t="inlineStr">
        <is>
          <t>for interpol. ripple correction at different frequencies</t>
        </is>
      </c>
    </row>
    <row r="21">
      <c r="B21" s="13" t="n">
        <v>50</v>
      </c>
      <c r="C21" s="13" t="n">
        <v>0.8</v>
      </c>
    </row>
    <row r="22">
      <c r="B22" s="13" t="n">
        <v>120</v>
      </c>
      <c r="C22" s="13" t="n">
        <v>1</v>
      </c>
    </row>
    <row r="23">
      <c r="B23" s="13" t="n">
        <v>300</v>
      </c>
      <c r="C23" s="13" t="n">
        <v>1.2</v>
      </c>
    </row>
    <row r="24">
      <c r="B24" s="12" t="n">
        <v>1000</v>
      </c>
      <c r="C24" s="13" t="n">
        <v>1.3</v>
      </c>
    </row>
    <row r="25">
      <c r="B25" s="12" t="n">
        <v>3000</v>
      </c>
      <c r="C25" s="13" t="n">
        <v>1.4</v>
      </c>
    </row>
    <row r="26">
      <c r="B26" s="12" t="n">
        <v>10000</v>
      </c>
      <c r="C26" s="13" t="n">
        <v>1.41</v>
      </c>
    </row>
    <row r="27">
      <c r="B27" s="11" t="n"/>
    </row>
    <row r="28">
      <c r="B28" s="1" t="inlineStr">
        <is>
          <t>Lifetime parameters</t>
        </is>
      </c>
      <c r="D28" s="16" t="inlineStr">
        <is>
          <t>(for lifetime model - wearout calculation)</t>
        </is>
      </c>
    </row>
    <row r="29">
      <c r="B29" t="inlineStr">
        <is>
          <t>Lr</t>
        </is>
      </c>
      <c r="C29" s="18" t="n">
        <v>5000</v>
      </c>
      <c r="D29" t="inlineStr">
        <is>
          <t>lifetime at 85°C</t>
        </is>
      </c>
    </row>
    <row r="30">
      <c r="B30" t="inlineStr">
        <is>
          <t>T0</t>
        </is>
      </c>
      <c r="C30" s="2" t="n">
        <v>85</v>
      </c>
      <c r="D30" t="inlineStr">
        <is>
          <t>maximum category temperature</t>
        </is>
      </c>
    </row>
    <row r="31">
      <c r="B31" t="inlineStr">
        <is>
          <t>max_lifetime</t>
        </is>
      </c>
      <c r="C31" s="2" t="n">
        <v>200000</v>
      </c>
      <c r="D31" t="inlineStr">
        <is>
          <t xml:space="preserve"> usually between 100000 and 200000</t>
        </is>
      </c>
    </row>
    <row r="32">
      <c r="B32" t="inlineStr">
        <is>
          <t>Kt</t>
        </is>
      </c>
      <c r="C32" s="4" t="n">
        <v>1.3</v>
      </c>
      <c r="E32" s="3" t="inlineStr">
        <is>
          <t>parameters chosen empirically</t>
        </is>
      </c>
    </row>
    <row r="33">
      <c r="B33" t="inlineStr">
        <is>
          <t>deltaT0</t>
        </is>
      </c>
      <c r="C33" s="4" t="n">
        <v>5</v>
      </c>
      <c r="D33" t="inlineStr">
        <is>
          <t>increase of Th at nominal ripple, T0</t>
        </is>
      </c>
    </row>
    <row r="34">
      <c r="B34" t="inlineStr">
        <is>
          <t>A</t>
        </is>
      </c>
      <c r="C34" s="4" t="n">
        <v>15</v>
      </c>
    </row>
    <row r="35">
      <c r="B35" t="inlineStr">
        <is>
          <t>Kv</t>
        </is>
      </c>
      <c r="C35" s="4" t="n">
        <v>1.66</v>
      </c>
      <c r="D35" t="inlineStr">
        <is>
          <t>voltage lifetime multiplier</t>
        </is>
      </c>
    </row>
    <row r="37">
      <c r="B37" t="inlineStr">
        <is>
          <t>FIT_calculation_mode</t>
        </is>
      </c>
      <c r="C37" s="18" t="inlineStr">
        <is>
          <t>FIDES</t>
        </is>
      </c>
      <c r="D37" s="16" t="inlineStr">
        <is>
          <t>(random part calculation)</t>
        </is>
      </c>
      <c r="E37" s="20" t="n"/>
    </row>
    <row r="39">
      <c r="B39" s="1" t="inlineStr">
        <is>
          <t>FIT rates</t>
        </is>
      </c>
      <c r="D39" t="inlineStr">
        <is>
          <t>(used only when FIT estimated by interpolation)</t>
        </is>
      </c>
    </row>
    <row r="40">
      <c r="B40" s="14" t="inlineStr">
        <is>
          <t>FIT40</t>
        </is>
      </c>
      <c r="C40" s="18" t="n">
        <v>12</v>
      </c>
      <c r="D40" t="inlineStr">
        <is>
          <t>failure rate at 40°C</t>
        </is>
      </c>
    </row>
    <row r="41">
      <c r="B41" s="14" t="inlineStr">
        <is>
          <t>FIT85</t>
        </is>
      </c>
      <c r="C41" s="18" t="n">
        <v>250</v>
      </c>
      <c r="D41" t="inlineStr">
        <is>
          <t>failure rate at 85°C</t>
        </is>
      </c>
    </row>
    <row r="43">
      <c r="B43" s="1" t="inlineStr">
        <is>
          <t>bank parameters</t>
        </is>
      </c>
    </row>
    <row r="44">
      <c r="B44" t="inlineStr">
        <is>
          <t>nb_capacitors</t>
        </is>
      </c>
      <c r="C44" s="18" t="n">
        <v>4</v>
      </c>
    </row>
    <row r="45">
      <c r="B45" t="inlineStr">
        <is>
          <t>topology</t>
        </is>
      </c>
      <c r="C45" s="18" t="inlineStr">
        <is>
          <t>2p2s</t>
        </is>
      </c>
      <c r="D45" t="inlineStr">
        <is>
          <t>2 (parallel)  strings of 2 capacitors in series</t>
        </is>
      </c>
    </row>
    <row r="46">
      <c r="C46" s="18" t="n"/>
    </row>
    <row r="47">
      <c r="B47" s="1" t="inlineStr">
        <is>
          <t>cost parameters</t>
        </is>
      </c>
      <c r="C47" s="18" t="n"/>
    </row>
    <row r="48">
      <c r="B48" t="inlineStr">
        <is>
          <t>man_hour_rate</t>
        </is>
      </c>
      <c r="C48" s="18" t="n">
        <v>100</v>
      </c>
      <c r="D48" t="inlineStr">
        <is>
          <t>euros</t>
        </is>
      </c>
    </row>
    <row r="49">
      <c r="B49" t="inlineStr">
        <is>
          <t>mounting_time</t>
        </is>
      </c>
      <c r="C49" s="18" t="n">
        <v>50</v>
      </c>
      <c r="D49" t="inlineStr">
        <is>
          <t>mn</t>
        </is>
      </c>
    </row>
    <row r="50">
      <c r="B50" t="inlineStr">
        <is>
          <t>dismounting_time</t>
        </is>
      </c>
      <c r="C50" s="18" t="n">
        <v>50</v>
      </c>
      <c r="D50" t="inlineStr">
        <is>
          <t>mn</t>
        </is>
      </c>
    </row>
    <row r="51">
      <c r="B51" t="inlineStr">
        <is>
          <t>capacitor_cost</t>
        </is>
      </c>
      <c r="C51" s="18" t="n">
        <v>85.36</v>
      </c>
      <c r="D51" t="inlineStr">
        <is>
          <t>euros</t>
        </is>
      </c>
    </row>
    <row r="54">
      <c r="S54" s="3" t="n"/>
    </row>
  </sheetData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F10" sqref="F10"/>
    </sheetView>
  </sheetViews>
  <sheetFormatPr baseColWidth="10" defaultColWidth="8.83203125" defaultRowHeight="15"/>
  <cols>
    <col width="33.5" bestFit="1" customWidth="1" min="1" max="1"/>
  </cols>
  <sheetData>
    <row r="2">
      <c r="A2" s="1" t="inlineStr">
        <is>
          <t>Options</t>
        </is>
      </c>
    </row>
    <row r="3">
      <c r="A3" s="1" t="n"/>
    </row>
    <row r="4">
      <c r="A4" s="1" t="inlineStr">
        <is>
          <t>optional plots enable/disable (0 / 1)</t>
        </is>
      </c>
    </row>
    <row r="5">
      <c r="A5" s="24" t="inlineStr">
        <is>
          <t>plot_CDF_en</t>
        </is>
      </c>
      <c r="B5" s="13" t="n">
        <v>1</v>
      </c>
    </row>
    <row r="6">
      <c r="A6" s="24" t="inlineStr">
        <is>
          <t>plot_bathtub_en</t>
        </is>
      </c>
      <c r="B6" s="13" t="n">
        <v>0</v>
      </c>
    </row>
    <row r="7">
      <c r="A7" s="24" t="inlineStr">
        <is>
          <t>plot_lifetime_mission_profile_en</t>
        </is>
      </c>
      <c r="B7" s="13" t="n">
        <v>0</v>
      </c>
    </row>
    <row r="8">
      <c r="A8" s="24" t="inlineStr">
        <is>
          <t>plot_mission_profile_en</t>
        </is>
      </c>
      <c r="B8" s="13" t="n">
        <v>0</v>
      </c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topLeftCell="B1" zoomScaleNormal="100" workbookViewId="0">
      <selection activeCell="F13" sqref="F13"/>
    </sheetView>
  </sheetViews>
  <sheetFormatPr baseColWidth="10" defaultColWidth="8.83203125" defaultRowHeight="15"/>
  <cols>
    <col width="4" bestFit="1" customWidth="1" min="1" max="1"/>
    <col width="16.5" customWidth="1" min="2" max="2"/>
    <col width="12.1640625" bestFit="1" customWidth="1" min="3" max="3"/>
    <col width="12.83203125" bestFit="1" customWidth="1" min="4" max="4"/>
    <col width="17" bestFit="1" customWidth="1" min="6" max="6"/>
    <col width="16.1640625" bestFit="1" customWidth="1" min="7" max="7"/>
    <col width="26.1640625" customWidth="1" min="8" max="8"/>
    <col width="17" customWidth="1" min="9" max="9"/>
    <col width="10.1640625" bestFit="1" customWidth="1" min="10" max="10"/>
    <col width="8.83203125" customWidth="1" min="11" max="11"/>
    <col width="17.33203125" bestFit="1" customWidth="1" min="12" max="12"/>
    <col width="10" bestFit="1" customWidth="1" style="15" min="13" max="13"/>
    <col width="7.6640625" bestFit="1" customWidth="1" min="14" max="14"/>
    <col width="12.1640625" bestFit="1" customWidth="1" min="15" max="15"/>
    <col width="12.83203125" bestFit="1" customWidth="1" min="16" max="16"/>
    <col width="11.6640625" customWidth="1" min="17" max="17"/>
  </cols>
  <sheetData>
    <row r="1" ht="31.5" customHeight="1">
      <c r="A1" s="2" t="inlineStr">
        <is>
          <t>MP</t>
        </is>
      </c>
      <c r="B1" s="47" t="inlineStr">
        <is>
          <t>operating_phase</t>
        </is>
      </c>
      <c r="C1" s="48" t="inlineStr">
        <is>
          <t>Rel_Speed_i</t>
        </is>
      </c>
      <c r="D1" s="48" t="inlineStr">
        <is>
          <t>Rel_Torque_i</t>
        </is>
      </c>
      <c r="E1" s="47" t="inlineStr">
        <is>
          <t>Tx</t>
        </is>
      </c>
      <c r="F1" s="50" t="inlineStr">
        <is>
          <t>delta_T_cycling</t>
        </is>
      </c>
      <c r="G1" s="50" t="inlineStr">
        <is>
          <t>T_max_cycling</t>
        </is>
      </c>
      <c r="H1" s="21" t="inlineStr">
        <is>
          <t>Operating_Hours_per_Year</t>
        </is>
      </c>
      <c r="I1" s="50" t="inlineStr">
        <is>
          <t>N_cy</t>
        </is>
      </c>
      <c r="J1" s="50" t="inlineStr">
        <is>
          <t>theta_cy</t>
        </is>
      </c>
      <c r="K1" s="50" t="inlineStr">
        <is>
          <t>G_RMS</t>
        </is>
      </c>
      <c r="L1" s="51" t="inlineStr">
        <is>
          <t>Pi_application</t>
        </is>
      </c>
      <c r="M1" s="30" t="inlineStr">
        <is>
          <t>phase_nb</t>
        </is>
      </c>
      <c r="N1" s="49" t="inlineStr">
        <is>
          <t>phases</t>
        </is>
      </c>
    </row>
    <row r="2">
      <c r="A2" t="n">
        <v>1</v>
      </c>
      <c r="B2" s="36" t="inlineStr">
        <is>
          <t>true</t>
        </is>
      </c>
      <c r="C2" s="36" t="n">
        <v>0.9</v>
      </c>
      <c r="D2" s="36" t="n">
        <v>1</v>
      </c>
      <c r="E2" s="36" t="n">
        <v>30</v>
      </c>
      <c r="F2" s="37" t="n">
        <v>5</v>
      </c>
      <c r="G2" s="38" t="n">
        <v>30</v>
      </c>
      <c r="H2" s="37" t="n">
        <v>1000</v>
      </c>
      <c r="I2" s="37" t="n">
        <v>1460</v>
      </c>
      <c r="J2" s="37" t="n">
        <v>0.6850000000000001</v>
      </c>
      <c r="K2" s="38" t="n">
        <v>0.3</v>
      </c>
      <c r="L2" s="39" t="n">
        <v>1</v>
      </c>
      <c r="M2" s="30" t="n">
        <v>0</v>
      </c>
      <c r="N2" s="18" t="inlineStr">
        <is>
          <t>0#1</t>
        </is>
      </c>
    </row>
    <row r="3">
      <c r="B3" s="36" t="inlineStr">
        <is>
          <t>true</t>
        </is>
      </c>
      <c r="C3" s="36" t="n">
        <v>0.9</v>
      </c>
      <c r="D3" s="36" t="n">
        <v>0.5</v>
      </c>
      <c r="E3" s="36" t="n">
        <v>25</v>
      </c>
      <c r="F3" s="37" t="n">
        <v>5</v>
      </c>
      <c r="G3" s="38" t="n">
        <v>25</v>
      </c>
      <c r="H3" s="37" t="n">
        <v>3500</v>
      </c>
      <c r="I3" s="37" t="n">
        <v>1460</v>
      </c>
      <c r="J3" s="37" t="n">
        <v>2.397</v>
      </c>
      <c r="K3" s="38" t="n">
        <v>0.3</v>
      </c>
      <c r="L3" s="39" t="n">
        <v>1</v>
      </c>
      <c r="M3" s="30" t="n">
        <v>1</v>
      </c>
      <c r="N3" s="18" t="inlineStr">
        <is>
          <t>1#2</t>
        </is>
      </c>
    </row>
    <row r="4">
      <c r="B4" s="36" t="inlineStr">
        <is>
          <t>true</t>
        </is>
      </c>
      <c r="C4" s="36" t="n">
        <v>0.5</v>
      </c>
      <c r="D4" s="36" t="n">
        <v>0.25</v>
      </c>
      <c r="E4" s="36" t="n">
        <v>20</v>
      </c>
      <c r="F4" s="37" t="n">
        <v>5</v>
      </c>
      <c r="G4" s="38" t="n">
        <v>20</v>
      </c>
      <c r="H4" s="37" t="n">
        <v>500</v>
      </c>
      <c r="I4" s="37" t="n">
        <v>365</v>
      </c>
      <c r="J4" s="37" t="n">
        <v>1.37</v>
      </c>
      <c r="K4" s="38" t="n">
        <v>0.3</v>
      </c>
      <c r="L4" s="39" t="n">
        <v>1</v>
      </c>
      <c r="M4" s="30" t="n">
        <v>2</v>
      </c>
      <c r="N4" s="18" t="inlineStr">
        <is>
          <t>2#3</t>
        </is>
      </c>
    </row>
    <row r="5">
      <c r="B5" s="36" t="inlineStr">
        <is>
          <t>false</t>
        </is>
      </c>
      <c r="C5" s="36" t="n">
        <v>0</v>
      </c>
      <c r="D5" s="36" t="n">
        <v>0</v>
      </c>
      <c r="E5" s="36" t="n">
        <v>15</v>
      </c>
      <c r="F5" s="37" t="n">
        <v>10</v>
      </c>
      <c r="G5" s="38" t="n">
        <v>20</v>
      </c>
      <c r="H5" s="37" t="n">
        <v>3760</v>
      </c>
      <c r="I5" s="37" t="n">
        <v>365</v>
      </c>
      <c r="J5" s="37" t="n">
        <v>10.301</v>
      </c>
      <c r="K5" s="38" t="n">
        <v>0.3</v>
      </c>
      <c r="L5" s="39" t="n">
        <v>1</v>
      </c>
      <c r="M5" s="30" t="n">
        <v>3</v>
      </c>
      <c r="N5" s="18" t="inlineStr">
        <is>
          <t>3#3</t>
        </is>
      </c>
    </row>
    <row r="6">
      <c r="B6" s="40" t="n"/>
      <c r="C6" s="46" t="n"/>
      <c r="D6" s="46" t="n"/>
      <c r="E6" s="40" t="n"/>
      <c r="F6" s="21" t="n"/>
      <c r="G6" s="21" t="n"/>
      <c r="H6" s="21" t="n"/>
      <c r="I6" s="21" t="n"/>
      <c r="J6" s="41" t="n"/>
      <c r="K6" s="21" t="n"/>
      <c r="L6" s="42" t="n"/>
      <c r="N6" s="18" t="n"/>
    </row>
    <row r="7">
      <c r="A7" t="n">
        <v>2</v>
      </c>
      <c r="B7" s="36" t="inlineStr">
        <is>
          <t>true</t>
        </is>
      </c>
      <c r="C7" s="36" t="n">
        <v>1</v>
      </c>
      <c r="D7" s="36" t="n">
        <v>1</v>
      </c>
      <c r="E7" s="36" t="n">
        <v>35</v>
      </c>
      <c r="F7" s="37" t="n">
        <v>10</v>
      </c>
      <c r="G7" s="38" t="n">
        <v>35</v>
      </c>
      <c r="H7" s="37" t="n">
        <v>1000</v>
      </c>
      <c r="I7" s="37" t="n">
        <v>730</v>
      </c>
      <c r="J7" s="45" t="n">
        <v>1.36986301369863</v>
      </c>
      <c r="K7" s="38" t="n">
        <v>0.3</v>
      </c>
      <c r="L7" s="39" t="n">
        <v>1</v>
      </c>
      <c r="M7" s="18" t="n">
        <v>0</v>
      </c>
      <c r="N7" s="18" t="inlineStr">
        <is>
          <t>0#1</t>
        </is>
      </c>
    </row>
    <row r="8">
      <c r="B8" s="36" t="inlineStr">
        <is>
          <t>true</t>
        </is>
      </c>
      <c r="C8" s="36" t="n">
        <v>0.5</v>
      </c>
      <c r="D8" s="36" t="n">
        <v>0.25</v>
      </c>
      <c r="E8" s="36" t="n">
        <v>25</v>
      </c>
      <c r="F8" s="37" t="n">
        <v>12</v>
      </c>
      <c r="G8" s="38" t="n">
        <v>25</v>
      </c>
      <c r="H8" s="37" t="n">
        <v>3500</v>
      </c>
      <c r="I8" s="37" t="n">
        <v>730</v>
      </c>
      <c r="J8" s="45" t="n">
        <v>4.794520547945205</v>
      </c>
      <c r="K8" s="38" t="n">
        <v>0.3</v>
      </c>
      <c r="L8" s="39" t="n">
        <v>1</v>
      </c>
      <c r="M8" s="30" t="n">
        <v>1</v>
      </c>
      <c r="N8" s="18" t="inlineStr">
        <is>
          <t>1#2</t>
        </is>
      </c>
    </row>
    <row r="9">
      <c r="B9" s="36" t="inlineStr">
        <is>
          <t>false</t>
        </is>
      </c>
      <c r="C9" s="36" t="n">
        <v>0</v>
      </c>
      <c r="D9" s="36" t="n">
        <v>0</v>
      </c>
      <c r="E9" s="36" t="n">
        <v>15</v>
      </c>
      <c r="F9" s="37" t="n">
        <v>10</v>
      </c>
      <c r="G9" s="38" t="n">
        <v>20</v>
      </c>
      <c r="H9" s="37" t="n">
        <v>4260</v>
      </c>
      <c r="I9" s="37" t="n">
        <v>365</v>
      </c>
      <c r="J9" s="45" t="n">
        <v>11.67123287671233</v>
      </c>
      <c r="K9" s="38" t="n">
        <v>0.3</v>
      </c>
      <c r="L9" s="39" t="n">
        <v>1</v>
      </c>
      <c r="M9" s="30" t="n">
        <v>2</v>
      </c>
      <c r="N9" s="18" t="inlineStr">
        <is>
          <t>2#2</t>
        </is>
      </c>
    </row>
    <row r="10">
      <c r="B10" s="18" t="n"/>
      <c r="C10" s="18" t="n"/>
      <c r="D10" s="18" t="n"/>
      <c r="E10" s="18" t="n"/>
      <c r="F10" s="33" t="n"/>
      <c r="G10" s="33" t="n"/>
      <c r="H10" s="34" t="n"/>
      <c r="I10" s="31" t="n"/>
      <c r="J10" s="35" t="n"/>
      <c r="K10" s="33" t="n"/>
      <c r="L10" s="33" t="n"/>
    </row>
    <row r="11">
      <c r="B11" s="18" t="n"/>
      <c r="C11" s="18" t="n"/>
      <c r="D11" s="18" t="n"/>
      <c r="E11" s="18" t="n"/>
      <c r="F11" s="31" t="n"/>
      <c r="G11" s="31" t="n"/>
      <c r="H11" s="31" t="n"/>
      <c r="I11" s="31" t="n"/>
      <c r="J11" s="32" t="n"/>
      <c r="K11" s="31" t="n"/>
      <c r="L11" s="31" t="n"/>
    </row>
    <row r="12">
      <c r="B12" s="18" t="n"/>
      <c r="C12" s="18" t="n"/>
      <c r="D12" s="18" t="n"/>
      <c r="E12" s="18" t="n"/>
      <c r="F12" s="31" t="n"/>
      <c r="G12" s="31" t="n"/>
      <c r="H12" s="31" t="n"/>
      <c r="I12" s="31" t="n"/>
      <c r="J12" s="32" t="n"/>
      <c r="K12" s="31" t="n"/>
      <c r="L12" s="31" t="n"/>
    </row>
    <row r="13">
      <c r="B13" s="18" t="n"/>
      <c r="C13" s="18" t="n"/>
      <c r="D13" s="18" t="n"/>
      <c r="E13" s="18" t="n"/>
      <c r="F13" s="31" t="n"/>
      <c r="G13" s="31" t="n"/>
      <c r="H13" s="31" t="n"/>
      <c r="I13" s="31" t="n"/>
      <c r="J13" s="32" t="n"/>
      <c r="K13" s="31" t="n"/>
      <c r="L13" s="31" t="n"/>
    </row>
    <row r="14">
      <c r="B14" s="18" t="n"/>
      <c r="C14" s="18" t="n"/>
      <c r="D14" s="18" t="n"/>
      <c r="E14" s="18" t="n"/>
      <c r="F14" s="33" t="n"/>
      <c r="G14" s="33" t="n"/>
      <c r="H14" s="34" t="n"/>
      <c r="I14" s="31" t="n"/>
      <c r="J14" s="35" t="n"/>
      <c r="K14" s="33" t="n"/>
      <c r="L14" s="33" t="n"/>
    </row>
    <row r="15">
      <c r="B15" s="18" t="n"/>
      <c r="C15" s="18" t="n"/>
      <c r="D15" s="18" t="n"/>
      <c r="E15" s="18" t="n"/>
      <c r="F15" s="31" t="n"/>
      <c r="G15" s="31" t="n"/>
      <c r="H15" s="31" t="n"/>
      <c r="I15" s="31" t="n"/>
      <c r="J15" s="32" t="n"/>
      <c r="K15" s="31" t="n"/>
      <c r="L15" s="31" t="n"/>
    </row>
    <row r="16">
      <c r="B16" s="18" t="n"/>
      <c r="C16" s="18" t="n"/>
      <c r="D16" s="18" t="n"/>
      <c r="E16" s="18" t="n"/>
      <c r="F16" s="31" t="n"/>
      <c r="G16" s="31" t="n"/>
      <c r="H16" s="31" t="n"/>
      <c r="I16" s="31" t="n"/>
      <c r="J16" s="32" t="n"/>
      <c r="K16" s="31" t="n"/>
      <c r="L16" s="31" t="n"/>
    </row>
    <row r="17">
      <c r="B17" s="18" t="n"/>
      <c r="C17" s="18" t="n"/>
      <c r="D17" s="18" t="n"/>
      <c r="E17" s="18" t="n"/>
      <c r="F17" s="31" t="n"/>
      <c r="G17" s="31" t="n"/>
      <c r="H17" s="31" t="n"/>
      <c r="I17" s="31" t="n"/>
      <c r="J17" s="32" t="n"/>
      <c r="K17" s="31" t="n"/>
      <c r="L17" s="31" t="n"/>
    </row>
    <row r="18">
      <c r="B18" s="18" t="n"/>
      <c r="C18" s="18" t="n"/>
      <c r="D18" s="18" t="n"/>
      <c r="E18" s="18" t="n"/>
      <c r="F18" s="33" t="n"/>
      <c r="G18" s="33" t="n"/>
      <c r="H18" s="33" t="n"/>
      <c r="I18" s="31" t="n"/>
      <c r="J18" s="35" t="n"/>
      <c r="K18" s="33" t="n"/>
      <c r="L18" s="33" t="n"/>
    </row>
    <row r="19">
      <c r="B19" s="18" t="n"/>
      <c r="C19" s="18" t="n"/>
      <c r="D19" s="18" t="n"/>
      <c r="E19" s="18" t="n"/>
      <c r="F19" s="31" t="n"/>
      <c r="G19" s="31" t="n"/>
      <c r="H19" s="31" t="n"/>
      <c r="I19" s="31" t="n"/>
      <c r="J19" s="32" t="n"/>
      <c r="K19" s="31" t="n"/>
      <c r="L19" s="31" t="n"/>
    </row>
    <row r="20">
      <c r="B20" s="18" t="n"/>
      <c r="C20" s="18" t="n"/>
      <c r="D20" s="18" t="n"/>
      <c r="E20" s="18" t="n"/>
      <c r="F20" s="31" t="n"/>
      <c r="G20" s="31" t="n"/>
      <c r="H20" s="31" t="n"/>
      <c r="I20" s="31" t="n"/>
      <c r="J20" s="32" t="n"/>
      <c r="K20" s="31" t="n"/>
      <c r="L20" s="31" t="n"/>
    </row>
    <row r="21">
      <c r="B21" s="18" t="n"/>
      <c r="C21" s="18" t="n"/>
      <c r="D21" s="18" t="n"/>
      <c r="E21" s="18" t="n"/>
      <c r="F21" s="31" t="n"/>
      <c r="G21" s="31" t="n"/>
      <c r="H21" s="31" t="n"/>
      <c r="I21" s="31" t="n"/>
      <c r="J21" s="32" t="n"/>
      <c r="K21" s="31" t="n"/>
      <c r="L21" s="31" t="n"/>
    </row>
    <row r="22">
      <c r="E22" s="18" t="n"/>
    </row>
    <row r="25">
      <c r="A25" s="18" t="n"/>
      <c r="B25" s="18" t="n"/>
      <c r="C25" s="18" t="n"/>
      <c r="D25" s="18" t="n"/>
      <c r="E25" s="30" t="n"/>
      <c r="F25" s="43" t="n"/>
      <c r="G25" s="43" t="n"/>
      <c r="H25" s="30" t="n"/>
      <c r="I25" s="44" t="n"/>
      <c r="J25" s="43" t="n"/>
      <c r="K25" s="30" t="n"/>
      <c r="L25" s="43" t="n"/>
      <c r="M25" s="30" t="n"/>
      <c r="N25" s="30" t="n"/>
      <c r="O25" s="30" t="n"/>
      <c r="P25" s="43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>
      <c r="A27" s="18" t="n"/>
      <c r="B27" s="18" t="n"/>
      <c r="C27" s="18" t="n"/>
      <c r="D27" s="18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</row>
    <row r="28">
      <c r="A28" s="18" t="n"/>
      <c r="B28" s="18" t="n"/>
      <c r="C28" s="18" t="n"/>
      <c r="D28" s="18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</row>
    <row r="29">
      <c r="A29" s="30" t="n"/>
      <c r="B29" s="18" t="n"/>
      <c r="C29" s="18" t="n"/>
      <c r="D29" s="18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</row>
    <row r="33">
      <c r="A33" s="18" t="n"/>
      <c r="B33" s="18" t="n"/>
      <c r="C33" s="18" t="n"/>
      <c r="D33" s="18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</row>
    <row r="34">
      <c r="A34" s="18" t="n"/>
      <c r="B34" s="18" t="n"/>
      <c r="C34" s="18" t="n"/>
      <c r="D34" s="18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</row>
    <row r="35">
      <c r="A35" s="18" t="n"/>
      <c r="B35" s="18" t="n"/>
      <c r="C35" s="18" t="n"/>
      <c r="D35" s="18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</row>
  </sheetData>
  <pageMargins left="0.7" right="0.7" top="0.75" bottom="0.75" header="0.3" footer="0.3"/>
  <pageSetup orientation="portrait" paperSize="9" verticalDpi="0"/>
  <headerFooter>
    <oddHeader>&amp;C&amp;G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B1" zoomScale="115" zoomScaleNormal="115" workbookViewId="0">
      <selection activeCell="D24" sqref="D24"/>
    </sheetView>
  </sheetViews>
  <sheetFormatPr baseColWidth="10" defaultColWidth="8.83203125" defaultRowHeight="15"/>
  <cols>
    <col width="20.83203125" customWidth="1" min="1" max="1"/>
    <col width="22.5" customWidth="1" min="2" max="2"/>
    <col width="25.83203125" customWidth="1" min="3" max="3"/>
    <col width="32.1640625" bestFit="1" customWidth="1" min="4" max="4"/>
    <col width="17.1640625" bestFit="1" customWidth="1" min="5" max="5"/>
    <col width="26.1640625" bestFit="1" customWidth="1" min="6" max="6"/>
    <col width="20" bestFit="1" customWidth="1" min="7" max="7"/>
    <col width="27.1640625" bestFit="1" customWidth="1" min="8" max="8"/>
    <col width="21.1640625" bestFit="1" customWidth="1" min="9" max="9"/>
  </cols>
  <sheetData>
    <row r="1" ht="15" customHeight="1">
      <c r="B1" s="17" t="inlineStr">
        <is>
          <t>(capacitor)</t>
        </is>
      </c>
      <c r="C1" s="17" t="n"/>
      <c r="D1" s="19" t="inlineStr">
        <is>
          <t>Parameters for PELCA (DC bus bank)</t>
        </is>
      </c>
      <c r="E1" s="17" t="n"/>
      <c r="F1" s="17" t="n"/>
      <c r="G1" s="17" t="n"/>
      <c r="H1" s="17" t="n"/>
    </row>
    <row r="2">
      <c r="A2" t="inlineStr">
        <is>
          <t>mission profile</t>
        </is>
      </c>
      <c r="B2" s="18" t="inlineStr">
        <is>
          <t>lifetime (year)</t>
        </is>
      </c>
      <c r="C2" s="18" t="n"/>
      <c r="D2" s="13" t="inlineStr">
        <is>
          <t>Early failure (sigma, year)</t>
        </is>
      </c>
      <c r="E2" s="13" t="inlineStr">
        <is>
          <t>Early failure (beta)</t>
        </is>
      </c>
      <c r="F2" s="13" t="inlineStr">
        <is>
          <t>Random failure (sigma, year)</t>
        </is>
      </c>
      <c r="G2" s="13" t="inlineStr">
        <is>
          <t>Random failure (beta)</t>
        </is>
      </c>
      <c r="H2" s="13" t="inlineStr">
        <is>
          <t>Wear-out failure (sigma, year)</t>
        </is>
      </c>
      <c r="I2" s="13" t="inlineStr">
        <is>
          <t>Wear-out failure (beta)</t>
        </is>
      </c>
    </row>
    <row r="3">
      <c r="A3" t="inlineStr">
        <is>
          <t>profile 1</t>
        </is>
      </c>
      <c r="B3" s="18" t="n">
        <v>22.8310502283105</v>
      </c>
      <c r="C3" s="18" t="n"/>
      <c r="D3" s="13" t="n">
        <v>3424</v>
      </c>
      <c r="E3" s="13" t="n">
        <v>0.6</v>
      </c>
      <c r="F3" s="13" t="n">
        <v>2053.411242904931</v>
      </c>
      <c r="G3" s="13" t="n">
        <v>1</v>
      </c>
      <c r="H3" s="13" t="n">
        <v>16.10637220741253</v>
      </c>
      <c r="I3" s="13" t="n">
        <v>3</v>
      </c>
    </row>
    <row r="4">
      <c r="A4" t="inlineStr">
        <is>
          <t>profile 2</t>
        </is>
      </c>
      <c r="B4" s="18" t="n">
        <v>22.8310502283105</v>
      </c>
      <c r="C4" s="18" t="n"/>
      <c r="D4" s="13" t="n">
        <v>3424</v>
      </c>
      <c r="E4" s="13" t="n">
        <v>0.6</v>
      </c>
      <c r="F4" s="13" t="n">
        <v>2053.048775611353</v>
      </c>
      <c r="G4" s="13" t="n">
        <v>1</v>
      </c>
      <c r="H4" s="13" t="n">
        <v>16.10637220741253</v>
      </c>
      <c r="I4" s="13" t="n">
        <v>3</v>
      </c>
    </row>
    <row r="5">
      <c r="B5" s="18" t="n"/>
      <c r="C5" s="18" t="n"/>
      <c r="D5" s="13" t="n"/>
      <c r="E5" s="13" t="n"/>
      <c r="F5" s="13" t="n"/>
      <c r="G5" s="13" t="n"/>
      <c r="H5" s="13" t="n"/>
      <c r="I5" s="13" t="n"/>
    </row>
    <row r="6">
      <c r="B6" s="18" t="n"/>
      <c r="C6" s="18" t="n"/>
      <c r="D6" s="13" t="n"/>
      <c r="E6" s="13" t="n"/>
      <c r="F6" s="13" t="n"/>
      <c r="G6" s="13" t="n"/>
      <c r="H6" s="13" t="n"/>
      <c r="I6" s="13" t="n"/>
    </row>
    <row r="7">
      <c r="B7" s="2" t="n"/>
      <c r="D7" s="13" t="n"/>
      <c r="E7" s="13" t="n"/>
      <c r="F7" s="13" t="n"/>
      <c r="G7" s="13" t="n"/>
      <c r="H7" s="13" t="n"/>
      <c r="I7" s="13" t="n"/>
    </row>
    <row r="9">
      <c r="A9" s="1" t="inlineStr">
        <is>
          <t>to copy into 'Cost - Price' sheet of PELCA input Excel file</t>
        </is>
      </c>
    </row>
    <row r="10">
      <c r="A10" s="18" t="inlineStr">
        <is>
          <t>RU raw cost/price (€))</t>
        </is>
      </c>
      <c r="B10" s="18" t="inlineStr">
        <is>
          <t>RU assembly cost/price (€)</t>
        </is>
      </c>
      <c r="C10" s="18" t="inlineStr">
        <is>
          <t>RU disassembly cost/price (€)</t>
        </is>
      </c>
    </row>
    <row r="11">
      <c r="A11" s="18" t="n">
        <v>341.44</v>
      </c>
      <c r="B11" s="18" t="n">
        <v>83.33333333333333</v>
      </c>
      <c r="C11" s="18" t="n">
        <v>83.33333333333333</v>
      </c>
    </row>
  </sheetData>
  <pageMargins left="0.7" right="0.7" top="0.75" bottom="0.75" header="0.3" footer="0.3"/>
  <pageSetup orientation="portrait" paperSize="9" verticalDpi="0"/>
  <headerFooter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5:E42"/>
  <sheetViews>
    <sheetView topLeftCell="A13" zoomScaleNormal="100" workbookViewId="0">
      <selection activeCell="A45" sqref="A45"/>
    </sheetView>
  </sheetViews>
  <sheetFormatPr baseColWidth="10" defaultRowHeight="15"/>
  <cols>
    <col width="35" bestFit="1" customWidth="1" min="1" max="1"/>
    <col width="18.83203125" bestFit="1" customWidth="1" min="2" max="2"/>
    <col width="24.33203125" bestFit="1" customWidth="1" min="3" max="3"/>
    <col width="26.5" bestFit="1" customWidth="1" min="4" max="4"/>
    <col width="78.5" bestFit="1" customWidth="1" min="5" max="5"/>
  </cols>
  <sheetData>
    <row r="25">
      <c r="A25" t="inlineStr">
        <is>
          <t>total dismounting time (mn)</t>
        </is>
      </c>
      <c r="B25">
        <f>parameters!C50</f>
        <v/>
      </c>
      <c r="C25" t="inlineStr">
        <is>
          <t>mn</t>
        </is>
      </c>
    </row>
    <row r="26">
      <c r="A26" t="inlineStr">
        <is>
          <t>total mounting time (mn)</t>
        </is>
      </c>
      <c r="B26">
        <f>parameters!C49</f>
        <v/>
      </c>
      <c r="C26" t="inlineStr">
        <is>
          <t>mn</t>
        </is>
      </c>
    </row>
    <row r="27">
      <c r="A27" t="inlineStr">
        <is>
          <t xml:space="preserve">total time </t>
        </is>
      </c>
      <c r="B27">
        <f>B25+B26</f>
        <v/>
      </c>
      <c r="C27" t="inlineStr">
        <is>
          <t>mn</t>
        </is>
      </c>
    </row>
    <row r="29">
      <c r="A29" t="inlineStr">
        <is>
          <t xml:space="preserve">Capacitor price </t>
        </is>
      </c>
      <c r="B29">
        <f>parameters!C51</f>
        <v/>
      </c>
      <c r="E29" s="22" t="n"/>
    </row>
    <row r="30">
      <c r="A30" t="inlineStr">
        <is>
          <t xml:space="preserve">number of capacitors </t>
        </is>
      </c>
      <c r="B30">
        <f>parameters!C44</f>
        <v/>
      </c>
    </row>
    <row r="31">
      <c r="A31" t="inlineStr">
        <is>
          <t>total price of Capacitor(s)</t>
        </is>
      </c>
      <c r="B31">
        <f>B29*B30</f>
        <v/>
      </c>
    </row>
    <row r="33">
      <c r="A33" t="inlineStr">
        <is>
          <t>Hourly labor cost</t>
        </is>
      </c>
      <c r="B33">
        <f>parameters!C48</f>
        <v/>
      </c>
    </row>
    <row r="34">
      <c r="A34" t="inlineStr">
        <is>
          <t>assembly cost</t>
        </is>
      </c>
      <c r="B34" s="23">
        <f>(B26/60)*B33</f>
        <v/>
      </c>
    </row>
    <row r="35">
      <c r="A35" t="inlineStr">
        <is>
          <t>disassembly cost</t>
        </is>
      </c>
      <c r="B35" s="23">
        <f>(B25/60)*B33</f>
        <v/>
      </c>
    </row>
    <row r="36">
      <c r="B36" s="23" t="n"/>
    </row>
    <row r="37">
      <c r="A37" t="inlineStr">
        <is>
          <t>Capacitor bank replacement cost</t>
        </is>
      </c>
      <c r="B37" s="23">
        <f>B31+B34+B35</f>
        <v/>
      </c>
      <c r="D37" t="inlineStr">
        <is>
          <t>(labor + Capacitors(s))</t>
        </is>
      </c>
    </row>
    <row r="38">
      <c r="A38" t="inlineStr">
        <is>
          <t>(complete RU)</t>
        </is>
      </c>
    </row>
    <row r="40">
      <c r="A40" s="1" t="inlineStr">
        <is>
          <t>to paste into PELCA 'Cost - Price' sheet:</t>
        </is>
      </c>
    </row>
    <row r="41">
      <c r="A41" s="24" t="n"/>
      <c r="B41" s="25" t="inlineStr">
        <is>
          <t>RU raw cost/price (€)</t>
        </is>
      </c>
      <c r="C41" s="25" t="inlineStr">
        <is>
          <t xml:space="preserve"> RU assembly cost/price (€)</t>
        </is>
      </c>
      <c r="D41" s="25" t="inlineStr">
        <is>
          <t>RU disassembly cost/price (€)</t>
        </is>
      </c>
      <c r="E41" s="25" t="inlineStr">
        <is>
          <t>Electricity cost (€/kWh)</t>
        </is>
      </c>
    </row>
    <row r="42">
      <c r="A42" s="25" t="inlineStr">
        <is>
          <t>Capacitor_bank</t>
        </is>
      </c>
      <c r="B42" s="26">
        <f>B31</f>
        <v/>
      </c>
      <c r="C42" s="26">
        <f>B34</f>
        <v/>
      </c>
      <c r="D42" s="26">
        <f>B35</f>
        <v/>
      </c>
      <c r="E42" s="2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4"/>
  <sheetViews>
    <sheetView zoomScale="175" zoomScaleNormal="175" workbookViewId="0">
      <selection activeCell="B4" sqref="B4"/>
    </sheetView>
  </sheetViews>
  <sheetFormatPr baseColWidth="10" defaultColWidth="8.83203125" defaultRowHeight="15"/>
  <cols>
    <col width="10.1640625" customWidth="1" min="1" max="1"/>
  </cols>
  <sheetData>
    <row r="2">
      <c r="A2" t="inlineStr">
        <is>
          <t>FIT_calculation_mode</t>
        </is>
      </c>
    </row>
    <row r="3">
      <c r="A3" t="inlineStr">
        <is>
          <t>interpolated</t>
        </is>
      </c>
    </row>
    <row r="4">
      <c r="A4" t="inlineStr">
        <is>
          <t>FIDES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13" customWidth="1" min="4" max="4"/>
    <col width="14" customWidth="1" min="5" max="5"/>
    <col width="6" customWidth="1" min="6" max="6"/>
    <col width="17" customWidth="1" min="7" max="7"/>
    <col width="15" customWidth="1" min="8" max="8"/>
    <col width="26" customWidth="1" min="9" max="9"/>
    <col width="8" customWidth="1" min="10" max="10"/>
    <col width="19" customWidth="1" min="11" max="11"/>
    <col width="7" customWidth="1" min="12" max="12"/>
    <col width="16" customWidth="1" min="13" max="13"/>
    <col width="10" customWidth="1" min="14" max="14"/>
    <col width="8" customWidth="1" min="15" max="15"/>
    <col width="20" customWidth="1" min="16" max="16"/>
    <col width="21" customWidth="1" min="17" max="17"/>
    <col width="21" customWidth="1" min="18" max="18"/>
    <col width="20" customWidth="1" min="19" max="19"/>
    <col width="21" customWidth="1" min="20" max="20"/>
  </cols>
  <sheetData>
    <row r="1">
      <c r="A1" s="53" t="inlineStr">
        <is>
          <t>mission_id</t>
        </is>
      </c>
      <c r="B1" s="53" t="inlineStr">
        <is>
          <t>MP</t>
        </is>
      </c>
      <c r="C1" s="53" t="inlineStr">
        <is>
          <t>operating_phase</t>
        </is>
      </c>
      <c r="D1" s="53" t="inlineStr">
        <is>
          <t>Rel_Speed_i</t>
        </is>
      </c>
      <c r="E1" s="53" t="inlineStr">
        <is>
          <t>Rel_Torque_i</t>
        </is>
      </c>
      <c r="F1" s="53" t="inlineStr">
        <is>
          <t>Tx</t>
        </is>
      </c>
      <c r="G1" s="53" t="inlineStr">
        <is>
          <t>delta_T_cycling</t>
        </is>
      </c>
      <c r="H1" s="53" t="inlineStr">
        <is>
          <t>T_max_cycling</t>
        </is>
      </c>
      <c r="I1" s="53" t="inlineStr">
        <is>
          <t>Operating_Hours_per_Year</t>
        </is>
      </c>
      <c r="J1" s="53" t="inlineStr">
        <is>
          <t>N_cy</t>
        </is>
      </c>
      <c r="K1" s="53" t="inlineStr">
        <is>
          <t>theta_cy</t>
        </is>
      </c>
      <c r="L1" s="53" t="inlineStr">
        <is>
          <t>G_RMS</t>
        </is>
      </c>
      <c r="M1" s="53" t="inlineStr">
        <is>
          <t>Pi_application</t>
        </is>
      </c>
      <c r="N1" s="53" t="inlineStr">
        <is>
          <t>phase_nb</t>
        </is>
      </c>
      <c r="O1" s="53" t="inlineStr">
        <is>
          <t>phases</t>
        </is>
      </c>
      <c r="P1" s="53" t="inlineStr">
        <is>
          <t>cap_bank_losses</t>
        </is>
      </c>
      <c r="Q1" s="53" t="inlineStr">
        <is>
          <t>deltaTx_heatsink</t>
        </is>
      </c>
      <c r="R1" s="53" t="inlineStr">
        <is>
          <t>load_factor_i</t>
        </is>
      </c>
      <c r="S1" s="53" t="inlineStr">
        <is>
          <t>active_power</t>
        </is>
      </c>
      <c r="T1" s="53" t="inlineStr">
        <is>
          <t>life_ratio_i</t>
        </is>
      </c>
    </row>
    <row r="2">
      <c r="A2" s="2" t="n">
        <v>0</v>
      </c>
      <c r="B2" s="2" t="n">
        <v>1</v>
      </c>
      <c r="C2" s="2" t="b">
        <v>1</v>
      </c>
      <c r="D2" s="2" t="n">
        <v>0.9</v>
      </c>
      <c r="E2" s="2" t="n">
        <v>1</v>
      </c>
      <c r="F2" s="2" t="n">
        <v>30</v>
      </c>
      <c r="G2" s="2" t="n">
        <v>5</v>
      </c>
      <c r="H2" s="2" t="n">
        <v>30</v>
      </c>
      <c r="I2" s="2" t="n">
        <v>1000</v>
      </c>
      <c r="J2" s="2" t="n">
        <v>1460</v>
      </c>
      <c r="K2" s="2" t="n">
        <v>0.6850000000000001</v>
      </c>
      <c r="L2" s="2" t="n">
        <v>0.3</v>
      </c>
      <c r="M2" s="2" t="n">
        <v>1</v>
      </c>
      <c r="N2" s="2" t="n">
        <v>0</v>
      </c>
      <c r="O2" s="2" t="inlineStr">
        <is>
          <t>0#1</t>
        </is>
      </c>
      <c r="P2" s="2" t="n">
        <v>235.9067591712807</v>
      </c>
      <c r="Q2" s="2" t="n">
        <v>1.146848610458341</v>
      </c>
      <c r="R2" s="2" t="n">
        <v>0.9805900500000001</v>
      </c>
      <c r="S2" s="2" t="n">
        <v>196118.01</v>
      </c>
      <c r="T2" s="2" t="n">
        <v>0.1141552511415525</v>
      </c>
    </row>
    <row r="3">
      <c r="A3" s="2" t="n">
        <v>0</v>
      </c>
      <c r="B3" s="2" t="inlineStr"/>
      <c r="C3" s="2" t="b">
        <v>1</v>
      </c>
      <c r="D3" s="2" t="n">
        <v>0.9</v>
      </c>
      <c r="E3" s="2" t="n">
        <v>0.5</v>
      </c>
      <c r="F3" s="2" t="n">
        <v>25</v>
      </c>
      <c r="G3" s="2" t="n">
        <v>5</v>
      </c>
      <c r="H3" s="2" t="n">
        <v>25</v>
      </c>
      <c r="I3" s="2" t="n">
        <v>3500</v>
      </c>
      <c r="J3" s="2" t="n">
        <v>1460</v>
      </c>
      <c r="K3" s="2" t="n">
        <v>2.397</v>
      </c>
      <c r="L3" s="2" t="n">
        <v>0.3</v>
      </c>
      <c r="M3" s="2" t="n">
        <v>1</v>
      </c>
      <c r="N3" s="2" t="n">
        <v>1</v>
      </c>
      <c r="O3" s="2" t="inlineStr">
        <is>
          <t>1#2</t>
        </is>
      </c>
      <c r="P3" s="2" t="n">
        <v>74.84716930697081</v>
      </c>
      <c r="Q3" s="2" t="n">
        <v>0.3638656748029694</v>
      </c>
      <c r="R3" s="2" t="n">
        <v>0.4923238320000001</v>
      </c>
      <c r="S3" s="2" t="n">
        <v>98464.76640000002</v>
      </c>
      <c r="T3" s="2" t="n">
        <v>0.3995433789954338</v>
      </c>
    </row>
    <row r="4">
      <c r="A4" s="2" t="n">
        <v>0</v>
      </c>
      <c r="B4" s="2" t="inlineStr"/>
      <c r="C4" s="2" t="b">
        <v>1</v>
      </c>
      <c r="D4" s="2" t="n">
        <v>0.5</v>
      </c>
      <c r="E4" s="2" t="n">
        <v>0.25</v>
      </c>
      <c r="F4" s="2" t="n">
        <v>20</v>
      </c>
      <c r="G4" s="2" t="n">
        <v>5</v>
      </c>
      <c r="H4" s="2" t="n">
        <v>20</v>
      </c>
      <c r="I4" s="2" t="n">
        <v>500</v>
      </c>
      <c r="J4" s="2" t="n">
        <v>365</v>
      </c>
      <c r="K4" s="2" t="n">
        <v>1.37</v>
      </c>
      <c r="L4" s="2" t="n">
        <v>0.3</v>
      </c>
      <c r="M4" s="2" t="n">
        <v>1</v>
      </c>
      <c r="N4" s="2" t="n">
        <v>2</v>
      </c>
      <c r="O4" s="2" t="inlineStr">
        <is>
          <t>2#3</t>
        </is>
      </c>
      <c r="P4" s="2" t="n">
        <v>11.46220454485434</v>
      </c>
      <c r="Q4" s="2" t="n">
        <v>0.05572291951800846</v>
      </c>
      <c r="R4" s="2" t="n">
        <v>0.1391987025</v>
      </c>
      <c r="S4" s="2" t="n">
        <v>27839.74049999999</v>
      </c>
      <c r="T4" s="2" t="n">
        <v>0.05707762557077625</v>
      </c>
    </row>
    <row r="5">
      <c r="A5" s="2" t="n">
        <v>0</v>
      </c>
      <c r="B5" s="2" t="inlineStr"/>
      <c r="C5" s="2" t="b">
        <v>0</v>
      </c>
      <c r="D5" s="2" t="n">
        <v>0</v>
      </c>
      <c r="E5" s="2" t="n">
        <v>0</v>
      </c>
      <c r="F5" s="2" t="n">
        <v>15</v>
      </c>
      <c r="G5" s="2" t="n">
        <v>10</v>
      </c>
      <c r="H5" s="2" t="n">
        <v>20</v>
      </c>
      <c r="I5" s="2" t="n">
        <v>3760</v>
      </c>
      <c r="J5" s="2" t="n">
        <v>365</v>
      </c>
      <c r="K5" s="2" t="n">
        <v>10.301</v>
      </c>
      <c r="L5" s="2" t="n">
        <v>0.3</v>
      </c>
      <c r="M5" s="2" t="n">
        <v>1</v>
      </c>
      <c r="N5" s="2" t="n">
        <v>3</v>
      </c>
      <c r="O5" s="2" t="inlineStr">
        <is>
          <t>3#3</t>
        </is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0.4292237442922374</v>
      </c>
    </row>
    <row r="6">
      <c r="A6" s="2" t="n">
        <v>1</v>
      </c>
      <c r="B6" s="2" t="n">
        <v>2</v>
      </c>
      <c r="C6" s="2" t="b">
        <v>1</v>
      </c>
      <c r="D6" s="2" t="n">
        <v>1</v>
      </c>
      <c r="E6" s="2" t="n">
        <v>1</v>
      </c>
      <c r="F6" s="2" t="n">
        <v>35</v>
      </c>
      <c r="G6" s="2" t="n">
        <v>10</v>
      </c>
      <c r="H6" s="2" t="n">
        <v>35</v>
      </c>
      <c r="I6" s="2" t="n">
        <v>1000</v>
      </c>
      <c r="J6" s="2" t="n">
        <v>730</v>
      </c>
      <c r="K6" s="2" t="n">
        <v>1.36986301369863</v>
      </c>
      <c r="L6" s="2" t="n">
        <v>0.3</v>
      </c>
      <c r="M6" s="2" t="n">
        <v>1</v>
      </c>
      <c r="N6" s="2" t="n">
        <v>0</v>
      </c>
      <c r="O6" s="2" t="inlineStr">
        <is>
          <t>0#1</t>
        </is>
      </c>
      <c r="P6" s="2" t="n">
        <v>286.4332099082735</v>
      </c>
      <c r="Q6" s="2" t="n">
        <v>1.392480359301281</v>
      </c>
      <c r="R6" s="2" t="n">
        <v>1.0895445</v>
      </c>
      <c r="S6" s="2" t="n">
        <v>217908.9</v>
      </c>
      <c r="T6" s="2" t="n">
        <v>0.1141552511415525</v>
      </c>
    </row>
    <row r="7">
      <c r="A7" s="2" t="n">
        <v>1</v>
      </c>
      <c r="B7" s="2" t="inlineStr"/>
      <c r="C7" s="2" t="b">
        <v>1</v>
      </c>
      <c r="D7" s="2" t="n">
        <v>0.5</v>
      </c>
      <c r="E7" s="2" t="n">
        <v>0.25</v>
      </c>
      <c r="F7" s="2" t="n">
        <v>25</v>
      </c>
      <c r="G7" s="2" t="n">
        <v>12</v>
      </c>
      <c r="H7" s="2" t="n">
        <v>25</v>
      </c>
      <c r="I7" s="2" t="n">
        <v>3500</v>
      </c>
      <c r="J7" s="2" t="n">
        <v>730</v>
      </c>
      <c r="K7" s="2" t="n">
        <v>4.794520547945205</v>
      </c>
      <c r="L7" s="2" t="n">
        <v>0.3</v>
      </c>
      <c r="M7" s="2" t="n">
        <v>1</v>
      </c>
      <c r="N7" s="2" t="n">
        <v>1</v>
      </c>
      <c r="O7" s="2" t="inlineStr">
        <is>
          <t>1#2</t>
        </is>
      </c>
      <c r="P7" s="2" t="n">
        <v>11.46220454485434</v>
      </c>
      <c r="Q7" s="2" t="n">
        <v>0.05572291951800846</v>
      </c>
      <c r="R7" s="2" t="n">
        <v>0.1391987025</v>
      </c>
      <c r="S7" s="2" t="n">
        <v>27839.74049999999</v>
      </c>
      <c r="T7" s="2" t="n">
        <v>0.3995433789954338</v>
      </c>
    </row>
    <row r="8">
      <c r="A8" s="2" t="n">
        <v>1</v>
      </c>
      <c r="B8" s="2" t="inlineStr"/>
      <c r="C8" s="2" t="b">
        <v>0</v>
      </c>
      <c r="D8" s="2" t="n">
        <v>0</v>
      </c>
      <c r="E8" s="2" t="n">
        <v>0</v>
      </c>
      <c r="F8" s="2" t="n">
        <v>15</v>
      </c>
      <c r="G8" s="2" t="n">
        <v>10</v>
      </c>
      <c r="H8" s="2" t="n">
        <v>20</v>
      </c>
      <c r="I8" s="2" t="n">
        <v>4260</v>
      </c>
      <c r="J8" s="2" t="n">
        <v>365</v>
      </c>
      <c r="K8" s="2" t="n">
        <v>11.67123287671233</v>
      </c>
      <c r="L8" s="2" t="n">
        <v>0.3</v>
      </c>
      <c r="M8" s="2" t="n">
        <v>1</v>
      </c>
      <c r="N8" s="2" t="n">
        <v>2</v>
      </c>
      <c r="O8" s="2" t="inlineStr">
        <is>
          <t>2#2</t>
        </is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0.4863013698630137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Laurent Foube</dc:creator>
  <dcterms:created xmlns:dcterms="http://purl.org/dc/terms/" xmlns:xsi="http://www.w3.org/2001/XMLSchema-instance" xsi:type="dcterms:W3CDTF">2025-03-26T15:22:44Z</dcterms:created>
  <dcterms:modified xmlns:dcterms="http://purl.org/dc/terms/" xmlns:xsi="http://www.w3.org/2001/XMLSchema-instance" xsi:type="dcterms:W3CDTF">2026-06-26T11:39:03Z</dcterms:modified>
  <cp:lastModifiedBy>Lesaulnier, Thomas</cp:lastModifiedBy>
</cp:coreProperties>
</file>

<file path=docProps/custom.xml><?xml version="1.0" encoding="utf-8"?>
<Properties xmlns="http://schemas.openxmlformats.org/officeDocument/2006/custom-properties">
  <property name="MSIP_Label_d55f6660-0408-47d2-ae31-f46329b4bd81_Enabled" fmtid="{D5CDD505-2E9C-101B-9397-08002B2CF9AE}" pid="2">
    <vt:lpwstr xmlns:vt="http://schemas.openxmlformats.org/officeDocument/2006/docPropsVTypes">true</vt:lpwstr>
  </property>
  <property name="MSIP_Label_d55f6660-0408-47d2-ae31-f46329b4bd81_SetDate" fmtid="{D5CDD505-2E9C-101B-9397-08002B2CF9AE}" pid="3">
    <vt:lpwstr xmlns:vt="http://schemas.openxmlformats.org/officeDocument/2006/docPropsVTypes">2025-08-05T10:30:23Z</vt:lpwstr>
  </property>
  <property name="MSIP_Label_d55f6660-0408-47d2-ae31-f46329b4bd81_Method" fmtid="{D5CDD505-2E9C-101B-9397-08002B2CF9AE}" pid="4">
    <vt:lpwstr xmlns:vt="http://schemas.openxmlformats.org/officeDocument/2006/docPropsVTypes">Privileged</vt:lpwstr>
  </property>
  <property name="MSIP_Label_d55f6660-0408-47d2-ae31-f46329b4bd81_Name" fmtid="{D5CDD505-2E9C-101B-9397-08002B2CF9AE}" pid="5">
    <vt:lpwstr xmlns:vt="http://schemas.openxmlformats.org/officeDocument/2006/docPropsVTypes">General</vt:lpwstr>
  </property>
  <property name="MSIP_Label_d55f6660-0408-47d2-ae31-f46329b4bd81_SiteId" fmtid="{D5CDD505-2E9C-101B-9397-08002B2CF9AE}" pid="6">
    <vt:lpwstr xmlns:vt="http://schemas.openxmlformats.org/officeDocument/2006/docPropsVTypes">1f141cfd-a6c5-4e9a-bf84-7116c141e5f4</vt:lpwstr>
  </property>
  <property name="MSIP_Label_d55f6660-0408-47d2-ae31-f46329b4bd81_ActionId" fmtid="{D5CDD505-2E9C-101B-9397-08002B2CF9AE}" pid="7">
    <vt:lpwstr xmlns:vt="http://schemas.openxmlformats.org/officeDocument/2006/docPropsVTypes">1a736ea1-251f-4a9c-a677-ef336a2df72d</vt:lpwstr>
  </property>
  <property name="MSIP_Label_d55f6660-0408-47d2-ae31-f46329b4bd81_ContentBits" fmtid="{D5CDD505-2E9C-101B-9397-08002B2CF9AE}" pid="8">
    <vt:lpwstr xmlns:vt="http://schemas.openxmlformats.org/officeDocument/2006/docPropsVTypes">0</vt:lpwstr>
  </property>
</Properties>
</file>