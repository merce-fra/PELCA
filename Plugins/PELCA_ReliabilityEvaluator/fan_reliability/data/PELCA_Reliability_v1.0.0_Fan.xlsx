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lesaulnier/Documents/PELCA_local/ReliabilityEvaluator/PELCA Reliability evaluator/PELCA_internal/fan_reliability/data/"/>
    </mc:Choice>
  </mc:AlternateContent>
  <xr:revisionPtr revIDLastSave="0" documentId="13_ncr:1_{33208203-2185-714B-80B6-D4DDD037925D}" xr6:coauthVersionLast="47" xr6:coauthVersionMax="47" xr10:uidLastSave="{00000000-0000-0000-0000-000000000000}"/>
  <bookViews>
    <workbookView xWindow="0" yWindow="600" windowWidth="38400" windowHeight="19840" activeTab="5" xr2:uid="{00000000-000D-0000-FFFF-FFFF00000000}"/>
  </bookViews>
  <sheets>
    <sheet name="comments" sheetId="1" r:id="rId1"/>
    <sheet name="Parameters" sheetId="2" r:id="rId2"/>
    <sheet name="options" sheetId="3" r:id="rId3"/>
    <sheet name="mission_profile" sheetId="4" r:id="rId4"/>
    <sheet name="results" sheetId="5" r:id="rId5"/>
    <sheet name="Replaceme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6" l="1"/>
  <c r="D42" i="6" s="1"/>
  <c r="B34" i="6"/>
  <c r="C42" i="6" s="1"/>
  <c r="B30" i="6"/>
  <c r="B31" i="6" s="1"/>
  <c r="B27" i="6"/>
  <c r="B37" i="6" l="1"/>
  <c r="B42" i="6"/>
</calcChain>
</file>

<file path=xl/sharedStrings.xml><?xml version="1.0" encoding="utf-8"?>
<sst xmlns="http://schemas.openxmlformats.org/spreadsheetml/2006/main" count="90" uniqueCount="81">
  <si>
    <t>General parameters</t>
  </si>
  <si>
    <t>num_identical_fans</t>
  </si>
  <si>
    <t>max_fan_power</t>
  </si>
  <si>
    <t>W</t>
  </si>
  <si>
    <t>Excel sheet for the reliability assessment of FANs</t>
  </si>
  <si>
    <t>for use with python version of code (V1.0)</t>
  </si>
  <si>
    <t>Short summary of sheets in this document:</t>
  </si>
  <si>
    <t>page Parameters:</t>
  </si>
  <si>
    <t xml:space="preserve">used to define number of FANs </t>
  </si>
  <si>
    <t>page options:</t>
  </si>
  <si>
    <t>to enable/disable plot drawing typically</t>
  </si>
  <si>
    <t xml:space="preserve">page mission_profile: </t>
  </si>
  <si>
    <t>used to define the mission profile(s)</t>
  </si>
  <si>
    <t>remark:</t>
  </si>
  <si>
    <t xml:space="preserve">columns life_ratio &amp; operating_phase have been added for coherence with other tolls but not used here </t>
  </si>
  <si>
    <t xml:space="preserve">page results: </t>
  </si>
  <si>
    <t>used to obtain results of reliability estimation after  execution of python script (those results are to be used as input of PELCA)</t>
  </si>
  <si>
    <t>=&gt; to copy/paste  into sheet 'Faults &amp; Prev. Maint.' of PELCA input Excel file</t>
  </si>
  <si>
    <t>page Replacement:</t>
  </si>
  <si>
    <t>enables to determine the costs parameters for PELCA</t>
  </si>
  <si>
    <t xml:space="preserve">important note: </t>
  </si>
  <si>
    <t>do not use any formulsa in sheets Parameters and mission_profile (only values are allowed as inputs to Python code!).</t>
  </si>
  <si>
    <t>Options</t>
  </si>
  <si>
    <t>optional plots disable/enable (0 / 1)</t>
  </si>
  <si>
    <t>plot_CDF_en</t>
  </si>
  <si>
    <t>MP</t>
  </si>
  <si>
    <t>operating_phase</t>
  </si>
  <si>
    <t>T</t>
  </si>
  <si>
    <t>delta_T_cycling</t>
  </si>
  <si>
    <t>T_max_cycling</t>
  </si>
  <si>
    <t>Operating_Hours_per_Year</t>
  </si>
  <si>
    <t>N_cy</t>
  </si>
  <si>
    <t>theta_cy</t>
  </si>
  <si>
    <t>RH_ambient</t>
  </si>
  <si>
    <t>G_RMS</t>
  </si>
  <si>
    <t>B</t>
  </si>
  <si>
    <t>V</t>
  </si>
  <si>
    <t>Pi_type</t>
  </si>
  <si>
    <t>Pi_application</t>
  </si>
  <si>
    <t>phase_nb</t>
  </si>
  <si>
    <t>phases</t>
  </si>
  <si>
    <t>Rel_Speed_i</t>
  </si>
  <si>
    <t>Rel_Torque_i</t>
  </si>
  <si>
    <t>true</t>
  </si>
  <si>
    <t>0#1</t>
  </si>
  <si>
    <t>1#2</t>
  </si>
  <si>
    <t>2#3</t>
  </si>
  <si>
    <t>false</t>
  </si>
  <si>
    <t>3#3</t>
  </si>
  <si>
    <t>2#2</t>
  </si>
  <si>
    <t>MP_ID</t>
  </si>
  <si>
    <t>Profile_Name</t>
  </si>
  <si>
    <t>Early failure (sigma, year)</t>
  </si>
  <si>
    <t>Early failure (beta)</t>
  </si>
  <si>
    <t>Random failure (sigma, year)</t>
  </si>
  <si>
    <t>Random failure (beta)</t>
  </si>
  <si>
    <t>Wear-out failure (sigma, year)</t>
  </si>
  <si>
    <t>Wear-out failure (beta)</t>
  </si>
  <si>
    <t>1</t>
  </si>
  <si>
    <t>Mission Profile 1</t>
  </si>
  <si>
    <t>2</t>
  </si>
  <si>
    <t>Mission Profile 2</t>
  </si>
  <si>
    <t>total dismounting time (mn)</t>
  </si>
  <si>
    <t>mn</t>
  </si>
  <si>
    <t>total mounting time (mn)</t>
  </si>
  <si>
    <t xml:space="preserve">total time </t>
  </si>
  <si>
    <t xml:space="preserve">fan price </t>
  </si>
  <si>
    <t xml:space="preserve">number of fans </t>
  </si>
  <si>
    <t>total price of FAN(s)</t>
  </si>
  <si>
    <t>Hourly labor cost</t>
  </si>
  <si>
    <t>assembly cost</t>
  </si>
  <si>
    <t>disassembly cost</t>
  </si>
  <si>
    <t>Fan replacement cost</t>
  </si>
  <si>
    <t>(labor + FAN(s))</t>
  </si>
  <si>
    <t>(complete RU)</t>
  </si>
  <si>
    <t>to paste into PELCA 'Cost - Price' sheet:</t>
  </si>
  <si>
    <t>RU raw cost/price (€)</t>
  </si>
  <si>
    <t xml:space="preserve"> RU assembly cost/price (€)</t>
  </si>
  <si>
    <t>RU disassembly cost/price (€)</t>
  </si>
  <si>
    <t>Electricity cost (€/kWh)</t>
  </si>
  <si>
    <t>FANs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</si>
</sst>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3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0" borderId="0" xfId="0" applyFont="1"/>
    <xf numFmtId="0" fontId="1" fillId="0" borderId="0" xfId="0" applyFont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164" fontId="0" fillId="5" borderId="1" xfId="0" applyNumberFormat="1" applyFill="1" applyBorder="1"/>
    <xf numFmtId="0" fontId="0" fillId="5" borderId="1" xfId="0" applyFill="1" applyBorder="1"/>
    <xf numFmtId="2" fontId="0" fillId="0" borderId="0" xfId="0" applyNumberFormat="1"/>
    <xf numFmtId="0" fontId="1" fillId="0" borderId="0" xfId="0" quotePrefix="1" applyFont="1"/>
    <xf numFmtId="0" fontId="0" fillId="0" borderId="0" xfId="0" applyAlignment="1">
      <alignment horizontal="left"/>
    </xf>
    <xf numFmtId="165" fontId="0" fillId="3" borderId="1" xfId="0" applyNumberForma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5" fillId="0" borderId="0" xfId="0" applyFont="1"/>
    <xf numFmtId="0" fontId="7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346873</xdr:colOff>
      <xdr:row>8</xdr:row>
      <xdr:rowOff>31377</xdr:rowOff>
    </xdr:from>
    <xdr:to>
      <xdr:col>8</xdr:col>
      <xdr:colOff>181756</xdr:colOff>
      <xdr:row>16</xdr:row>
      <xdr:rowOff>49555</xdr:rowOff>
    </xdr:to>
    <xdr:pic>
      <xdr:nvPicPr>
        <xdr:cNvPr id="44" name="table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6755" y="1585259"/>
          <a:ext cx="1478413" cy="15720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1"/>
  <sheetViews>
    <sheetView workbookViewId="0">
      <selection activeCell="C16" sqref="C16"/>
    </sheetView>
  </sheetViews>
  <sheetFormatPr baseColWidth="10" defaultRowHeight="15" x14ac:dyDescent="0.2"/>
  <cols>
    <col min="1" max="1" width="20.83203125" customWidth="1"/>
    <col min="2" max="2" width="25.33203125" customWidth="1"/>
  </cols>
  <sheetData>
    <row r="1" spans="2:13" x14ac:dyDescent="0.2">
      <c r="B1" s="11" t="s">
        <v>4</v>
      </c>
      <c r="F1" t="s">
        <v>5</v>
      </c>
    </row>
    <row r="3" spans="2:13" x14ac:dyDescent="0.2">
      <c r="B3" s="10" t="s">
        <v>6</v>
      </c>
    </row>
    <row r="4" spans="2:13" x14ac:dyDescent="0.2">
      <c r="B4" s="19" t="s">
        <v>7</v>
      </c>
      <c r="C4" t="s">
        <v>8</v>
      </c>
    </row>
    <row r="5" spans="2:13" x14ac:dyDescent="0.2">
      <c r="B5" s="19" t="s">
        <v>9</v>
      </c>
      <c r="C5" t="s">
        <v>10</v>
      </c>
    </row>
    <row r="6" spans="2:13" x14ac:dyDescent="0.2">
      <c r="B6" s="19" t="s">
        <v>11</v>
      </c>
      <c r="C6" t="s">
        <v>12</v>
      </c>
      <c r="G6" t="s">
        <v>13</v>
      </c>
      <c r="H6" t="s">
        <v>14</v>
      </c>
    </row>
    <row r="7" spans="2:13" x14ac:dyDescent="0.2">
      <c r="B7" s="19" t="s">
        <v>15</v>
      </c>
      <c r="C7" t="s">
        <v>16</v>
      </c>
      <c r="M7" s="18" t="s">
        <v>17</v>
      </c>
    </row>
    <row r="8" spans="2:13" x14ac:dyDescent="0.2">
      <c r="B8" s="19" t="s">
        <v>18</v>
      </c>
      <c r="C8" t="s">
        <v>19</v>
      </c>
    </row>
    <row r="11" spans="2:13" x14ac:dyDescent="0.2">
      <c r="B11" s="28" t="s">
        <v>20</v>
      </c>
      <c r="C11" s="29" t="s">
        <v>21</v>
      </c>
      <c r="D11" s="29"/>
      <c r="E11" s="29"/>
      <c r="F11" s="29"/>
      <c r="G11" s="29"/>
      <c r="H11" s="29"/>
      <c r="I11" s="29"/>
      <c r="J11" s="29"/>
      <c r="K11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zoomScale="188" workbookViewId="0">
      <selection activeCell="E4" sqref="E4"/>
    </sheetView>
  </sheetViews>
  <sheetFormatPr baseColWidth="10" defaultRowHeight="15" x14ac:dyDescent="0.2"/>
  <cols>
    <col min="1" max="1" width="18.5" bestFit="1" customWidth="1"/>
    <col min="2" max="2" width="18.33203125" bestFit="1" customWidth="1"/>
  </cols>
  <sheetData>
    <row r="2" spans="2:4" x14ac:dyDescent="0.2">
      <c r="B2" s="11" t="s">
        <v>0</v>
      </c>
    </row>
    <row r="3" spans="2:4" x14ac:dyDescent="0.2">
      <c r="B3" s="13" t="s">
        <v>1</v>
      </c>
      <c r="C3" s="22">
        <v>2</v>
      </c>
    </row>
    <row r="4" spans="2:4" x14ac:dyDescent="0.2">
      <c r="B4" s="13" t="s">
        <v>2</v>
      </c>
      <c r="C4" s="22">
        <v>24</v>
      </c>
      <c r="D4" s="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5"/>
  <sheetViews>
    <sheetView workbookViewId="0">
      <selection activeCell="A6" sqref="A6"/>
    </sheetView>
  </sheetViews>
  <sheetFormatPr baseColWidth="10" defaultRowHeight="15" x14ac:dyDescent="0.2"/>
  <cols>
    <col min="1" max="1" width="32.33203125" bestFit="1" customWidth="1"/>
  </cols>
  <sheetData>
    <row r="2" spans="1:2" x14ac:dyDescent="0.2">
      <c r="A2" s="11" t="s">
        <v>22</v>
      </c>
    </row>
    <row r="3" spans="1:2" x14ac:dyDescent="0.2">
      <c r="A3" s="11"/>
    </row>
    <row r="4" spans="1:2" x14ac:dyDescent="0.2">
      <c r="A4" s="11" t="s">
        <v>23</v>
      </c>
    </row>
    <row r="5" spans="1:2" x14ac:dyDescent="0.2">
      <c r="A5" s="13" t="s">
        <v>24</v>
      </c>
      <c r="B5" s="2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4"/>
  <sheetViews>
    <sheetView zoomScale="85" zoomScaleNormal="85" workbookViewId="0">
      <selection activeCell="O13" sqref="O13"/>
    </sheetView>
  </sheetViews>
  <sheetFormatPr baseColWidth="10" defaultColWidth="9.1640625" defaultRowHeight="15" x14ac:dyDescent="0.2"/>
  <cols>
    <col min="1" max="1" width="7.5" bestFit="1" customWidth="1"/>
    <col min="2" max="2" width="15.5" bestFit="1" customWidth="1"/>
    <col min="3" max="3" width="3" bestFit="1" customWidth="1"/>
    <col min="4" max="4" width="16.1640625" bestFit="1" customWidth="1"/>
    <col min="5" max="5" width="14" bestFit="1" customWidth="1"/>
    <col min="6" max="6" width="25.33203125" bestFit="1" customWidth="1"/>
    <col min="7" max="7" width="5" bestFit="1" customWidth="1"/>
    <col min="8" max="8" width="9" bestFit="1" customWidth="1"/>
    <col min="9" max="9" width="12.1640625" bestFit="1" customWidth="1"/>
    <col min="10" max="10" width="6" bestFit="1" customWidth="1"/>
    <col min="11" max="11" width="3" bestFit="1" customWidth="1"/>
    <col min="12" max="12" width="5" bestFit="1" customWidth="1"/>
    <col min="13" max="13" width="7.5" bestFit="1" customWidth="1"/>
    <col min="14" max="14" width="15" bestFit="1" customWidth="1"/>
    <col min="17" max="17" width="12.1640625" bestFit="1" customWidth="1"/>
    <col min="18" max="18" width="12.83203125" bestFit="1" customWidth="1"/>
  </cols>
  <sheetData>
    <row r="1" spans="1:18" ht="16" x14ac:dyDescent="0.2">
      <c r="A1" s="6" t="s">
        <v>25</v>
      </c>
      <c r="B1" s="12" t="s">
        <v>26</v>
      </c>
      <c r="C1" s="8" t="s">
        <v>27</v>
      </c>
      <c r="D1" s="23" t="s">
        <v>28</v>
      </c>
      <c r="E1" s="23" t="s">
        <v>29</v>
      </c>
      <c r="F1" s="8" t="s">
        <v>30</v>
      </c>
      <c r="G1" s="24" t="s">
        <v>31</v>
      </c>
      <c r="H1" s="23" t="s">
        <v>32</v>
      </c>
      <c r="I1" s="8" t="s">
        <v>33</v>
      </c>
      <c r="J1" s="23" t="s">
        <v>34</v>
      </c>
      <c r="K1" s="9" t="s">
        <v>35</v>
      </c>
      <c r="L1" s="9" t="s">
        <v>36</v>
      </c>
      <c r="M1" s="9" t="s">
        <v>37</v>
      </c>
      <c r="N1" s="25" t="s">
        <v>38</v>
      </c>
      <c r="O1" s="26" t="s">
        <v>39</v>
      </c>
      <c r="P1" s="13" t="s">
        <v>40</v>
      </c>
      <c r="Q1" s="13" t="s">
        <v>41</v>
      </c>
      <c r="R1" s="13" t="s">
        <v>42</v>
      </c>
    </row>
    <row r="2" spans="1:18" x14ac:dyDescent="0.2">
      <c r="A2" s="6">
        <v>1</v>
      </c>
      <c r="B2" s="6"/>
      <c r="C2" s="6"/>
      <c r="D2" s="6"/>
      <c r="E2" s="6"/>
      <c r="F2" s="6"/>
      <c r="G2" s="6"/>
      <c r="H2" s="6"/>
      <c r="I2" s="6"/>
      <c r="J2" s="6"/>
      <c r="K2" s="4"/>
      <c r="L2" s="4"/>
      <c r="M2" s="4"/>
      <c r="N2" s="4"/>
    </row>
    <row r="3" spans="1:18" x14ac:dyDescent="0.2">
      <c r="A3" s="6"/>
      <c r="B3" s="12" t="s">
        <v>43</v>
      </c>
      <c r="C3" s="8">
        <v>30</v>
      </c>
      <c r="D3" s="8">
        <v>5</v>
      </c>
      <c r="E3" s="8">
        <v>30</v>
      </c>
      <c r="F3" s="8">
        <v>1000</v>
      </c>
      <c r="G3" s="8">
        <v>1460</v>
      </c>
      <c r="H3" s="8">
        <v>0.68500000000000005</v>
      </c>
      <c r="I3" s="8">
        <v>30</v>
      </c>
      <c r="J3" s="8">
        <v>0.3</v>
      </c>
      <c r="K3" s="9">
        <v>55</v>
      </c>
      <c r="L3" s="9">
        <v>3200</v>
      </c>
      <c r="M3" s="9">
        <v>0.92</v>
      </c>
      <c r="N3" s="9">
        <v>1</v>
      </c>
      <c r="O3" s="3">
        <v>0</v>
      </c>
      <c r="P3" s="2" t="s">
        <v>44</v>
      </c>
      <c r="Q3" s="2">
        <v>0.9</v>
      </c>
      <c r="R3" s="2">
        <v>1</v>
      </c>
    </row>
    <row r="4" spans="1:18" x14ac:dyDescent="0.2">
      <c r="A4" s="6"/>
      <c r="B4" s="12" t="s">
        <v>43</v>
      </c>
      <c r="C4" s="8">
        <v>25</v>
      </c>
      <c r="D4" s="8">
        <v>5</v>
      </c>
      <c r="E4" s="8">
        <v>25</v>
      </c>
      <c r="F4" s="8">
        <v>3500</v>
      </c>
      <c r="G4" s="8">
        <v>1460</v>
      </c>
      <c r="H4" s="8">
        <v>2.3969999999999998</v>
      </c>
      <c r="I4" s="8">
        <v>30</v>
      </c>
      <c r="J4" s="8">
        <v>0.3</v>
      </c>
      <c r="K4" s="9">
        <v>55</v>
      </c>
      <c r="L4" s="9">
        <v>3200</v>
      </c>
      <c r="M4" s="9">
        <v>0.92</v>
      </c>
      <c r="N4" s="9">
        <v>1</v>
      </c>
      <c r="O4" s="3">
        <v>1</v>
      </c>
      <c r="P4" s="2" t="s">
        <v>45</v>
      </c>
      <c r="Q4" s="2">
        <v>0.9</v>
      </c>
      <c r="R4" s="2">
        <v>0.5</v>
      </c>
    </row>
    <row r="5" spans="1:18" x14ac:dyDescent="0.2">
      <c r="A5" s="7"/>
      <c r="B5" s="12" t="s">
        <v>43</v>
      </c>
      <c r="C5" s="8">
        <v>20</v>
      </c>
      <c r="D5" s="8">
        <v>5</v>
      </c>
      <c r="E5" s="8">
        <v>20</v>
      </c>
      <c r="F5" s="8">
        <v>500</v>
      </c>
      <c r="G5" s="8">
        <v>365</v>
      </c>
      <c r="H5" s="8">
        <v>1.37</v>
      </c>
      <c r="I5" s="8">
        <v>30</v>
      </c>
      <c r="J5" s="8">
        <v>0.3</v>
      </c>
      <c r="K5" s="9">
        <v>55</v>
      </c>
      <c r="L5" s="9">
        <v>3200</v>
      </c>
      <c r="M5" s="9">
        <v>0.92</v>
      </c>
      <c r="N5" s="9">
        <v>1</v>
      </c>
      <c r="O5" s="3">
        <v>2</v>
      </c>
      <c r="P5" s="2" t="s">
        <v>46</v>
      </c>
      <c r="Q5" s="2">
        <v>0.5</v>
      </c>
      <c r="R5" s="2">
        <v>0.25</v>
      </c>
    </row>
    <row r="6" spans="1:18" ht="16" x14ac:dyDescent="0.2">
      <c r="A6" s="7"/>
      <c r="B6" s="8" t="s">
        <v>47</v>
      </c>
      <c r="C6" s="8">
        <v>15</v>
      </c>
      <c r="D6" s="8">
        <v>10</v>
      </c>
      <c r="E6" s="8">
        <v>20</v>
      </c>
      <c r="F6" s="8">
        <v>3760</v>
      </c>
      <c r="G6" s="8">
        <v>365</v>
      </c>
      <c r="H6" s="8">
        <v>10.301</v>
      </c>
      <c r="I6" s="8">
        <v>30</v>
      </c>
      <c r="J6" s="8">
        <v>0.3</v>
      </c>
      <c r="K6" s="9">
        <v>0</v>
      </c>
      <c r="L6" s="9">
        <v>0</v>
      </c>
      <c r="M6" s="9">
        <v>0.92</v>
      </c>
      <c r="N6" s="9">
        <v>1</v>
      </c>
      <c r="O6" s="3">
        <v>3</v>
      </c>
      <c r="P6" s="2" t="s">
        <v>48</v>
      </c>
      <c r="Q6" s="2">
        <v>0</v>
      </c>
      <c r="R6" s="2">
        <v>0</v>
      </c>
    </row>
    <row r="7" spans="1:18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5"/>
      <c r="L7" s="5"/>
      <c r="M7" s="5"/>
      <c r="N7" s="5"/>
      <c r="O7" s="2"/>
      <c r="P7" s="2"/>
      <c r="Q7" s="2"/>
      <c r="R7" s="2"/>
    </row>
    <row r="8" spans="1:18" x14ac:dyDescent="0.2">
      <c r="A8" s="7">
        <v>2</v>
      </c>
      <c r="B8" s="7"/>
      <c r="C8" s="7"/>
      <c r="D8" s="7"/>
      <c r="E8" s="7"/>
      <c r="F8" s="7"/>
      <c r="G8" s="7"/>
      <c r="H8" s="7"/>
      <c r="I8" s="7"/>
      <c r="J8" s="7"/>
      <c r="K8" s="5"/>
      <c r="L8" s="5"/>
      <c r="M8" s="5"/>
      <c r="N8" s="5"/>
      <c r="O8" s="2"/>
      <c r="P8" s="2"/>
      <c r="Q8" s="2"/>
      <c r="R8" s="2"/>
    </row>
    <row r="9" spans="1:18" x14ac:dyDescent="0.2">
      <c r="A9" s="6"/>
      <c r="B9" s="12" t="s">
        <v>43</v>
      </c>
      <c r="C9" s="8">
        <v>35</v>
      </c>
      <c r="D9" s="8">
        <v>10</v>
      </c>
      <c r="E9" s="8">
        <v>35</v>
      </c>
      <c r="F9" s="8">
        <v>1000</v>
      </c>
      <c r="G9" s="8">
        <v>730</v>
      </c>
      <c r="H9" s="20">
        <v>1.3698630136986301</v>
      </c>
      <c r="I9" s="8">
        <v>30</v>
      </c>
      <c r="J9" s="8">
        <v>0.3</v>
      </c>
      <c r="K9" s="9">
        <v>66</v>
      </c>
      <c r="L9" s="9">
        <v>4000</v>
      </c>
      <c r="M9" s="9">
        <v>0.92</v>
      </c>
      <c r="N9" s="9">
        <v>1</v>
      </c>
      <c r="O9" s="2">
        <v>0</v>
      </c>
      <c r="P9" s="2" t="s">
        <v>44</v>
      </c>
      <c r="Q9" s="2">
        <v>1</v>
      </c>
      <c r="R9" s="2">
        <v>1</v>
      </c>
    </row>
    <row r="10" spans="1:18" x14ac:dyDescent="0.2">
      <c r="A10" s="6"/>
      <c r="B10" s="12" t="s">
        <v>43</v>
      </c>
      <c r="C10" s="8">
        <v>25</v>
      </c>
      <c r="D10" s="8">
        <v>10</v>
      </c>
      <c r="E10" s="8">
        <v>25</v>
      </c>
      <c r="F10" s="8">
        <v>3500</v>
      </c>
      <c r="G10" s="8">
        <v>730</v>
      </c>
      <c r="H10" s="20">
        <v>4.7945205479452051</v>
      </c>
      <c r="I10" s="8">
        <v>30</v>
      </c>
      <c r="J10" s="8">
        <v>0.3</v>
      </c>
      <c r="K10" s="9">
        <v>55</v>
      </c>
      <c r="L10" s="9">
        <v>3400</v>
      </c>
      <c r="M10" s="9">
        <v>0.92</v>
      </c>
      <c r="N10" s="9">
        <v>1</v>
      </c>
      <c r="O10" s="3">
        <v>1</v>
      </c>
      <c r="P10" s="2" t="s">
        <v>45</v>
      </c>
      <c r="Q10" s="2">
        <v>0.5</v>
      </c>
      <c r="R10" s="2">
        <v>0.25</v>
      </c>
    </row>
    <row r="11" spans="1:18" x14ac:dyDescent="0.2">
      <c r="A11" s="6"/>
      <c r="B11" s="12" t="s">
        <v>47</v>
      </c>
      <c r="C11" s="8">
        <v>15</v>
      </c>
      <c r="D11" s="8">
        <v>10</v>
      </c>
      <c r="E11" s="8">
        <v>20</v>
      </c>
      <c r="F11" s="8">
        <v>4260</v>
      </c>
      <c r="G11" s="8">
        <v>365</v>
      </c>
      <c r="H11" s="20">
        <v>11.671232876712329</v>
      </c>
      <c r="I11" s="8">
        <v>30</v>
      </c>
      <c r="J11" s="8">
        <v>0.3</v>
      </c>
      <c r="K11" s="9">
        <v>0</v>
      </c>
      <c r="L11" s="9">
        <v>0</v>
      </c>
      <c r="M11" s="9">
        <v>0.92</v>
      </c>
      <c r="N11" s="9">
        <v>1</v>
      </c>
      <c r="O11" s="3">
        <v>2</v>
      </c>
      <c r="P11" s="2" t="s">
        <v>49</v>
      </c>
      <c r="Q11" s="2">
        <v>0</v>
      </c>
      <c r="R11" s="2">
        <v>0</v>
      </c>
    </row>
    <row r="12" spans="1: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8" x14ac:dyDescent="0.2">
      <c r="A13" s="2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8" x14ac:dyDescent="0.2">
      <c r="A14" s="2"/>
      <c r="B14" s="2"/>
      <c r="C14" s="3"/>
      <c r="D14" s="3"/>
      <c r="E14" s="3"/>
      <c r="F14" s="21"/>
      <c r="G14" s="21"/>
      <c r="H14" s="21"/>
      <c r="I14" s="3"/>
      <c r="J14" s="3"/>
      <c r="K14" s="3"/>
      <c r="L14" s="3"/>
      <c r="M14" s="3"/>
      <c r="N14" s="3"/>
    </row>
    <row r="15" spans="1:18" x14ac:dyDescent="0.2">
      <c r="A15" s="2"/>
      <c r="B15" s="19"/>
      <c r="C15" s="2"/>
      <c r="D15" s="2"/>
      <c r="E15" s="2"/>
      <c r="F15" s="2"/>
      <c r="G15" s="3"/>
      <c r="H15" s="2"/>
      <c r="I15" s="2"/>
      <c r="J15" s="2"/>
      <c r="K15" s="2"/>
      <c r="L15" s="2"/>
      <c r="M15" s="2"/>
      <c r="N15" s="2"/>
    </row>
    <row r="16" spans="1:18" x14ac:dyDescent="0.2">
      <c r="A16" s="2"/>
      <c r="B16" s="19"/>
      <c r="C16" s="3"/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">
      <c r="A17" s="2"/>
      <c r="B17" s="2"/>
      <c r="C17" s="2"/>
      <c r="D17" s="2"/>
      <c r="E17" s="2"/>
      <c r="F17" s="2"/>
      <c r="G17" s="3"/>
      <c r="H17" s="2"/>
      <c r="I17" s="2"/>
      <c r="J17" s="2"/>
      <c r="K17" s="2"/>
      <c r="L17" s="2"/>
      <c r="M17" s="2"/>
      <c r="N17" s="2"/>
    </row>
    <row r="18" spans="1:14" x14ac:dyDescent="0.2">
      <c r="A18" s="2"/>
      <c r="B18" s="2"/>
      <c r="C18" s="2"/>
      <c r="D18" s="2"/>
      <c r="E18" s="2"/>
      <c r="F18" s="2"/>
      <c r="G18" s="3"/>
      <c r="H18" s="2"/>
      <c r="I18" s="2"/>
      <c r="J18" s="2"/>
      <c r="K18" s="2"/>
      <c r="L18" s="2"/>
      <c r="M18" s="2"/>
      <c r="N18" s="2"/>
    </row>
    <row r="19" spans="1:14" x14ac:dyDescent="0.2">
      <c r="A19" s="2"/>
      <c r="B19" s="2"/>
      <c r="C19" s="3"/>
      <c r="D19" s="2"/>
      <c r="E19" s="3"/>
      <c r="F19" s="3"/>
      <c r="G19" s="2"/>
      <c r="H19" s="3"/>
      <c r="I19" s="3"/>
      <c r="J19" s="3"/>
      <c r="K19" s="3"/>
      <c r="L19" s="3"/>
      <c r="M19" s="3"/>
      <c r="N19" s="3"/>
    </row>
    <row r="20" spans="1:14" x14ac:dyDescent="0.2">
      <c r="D20" s="2"/>
      <c r="G20" s="2"/>
    </row>
    <row r="21" spans="1:14" x14ac:dyDescent="0.2">
      <c r="D21" s="2"/>
    </row>
    <row r="22" spans="1:14" x14ac:dyDescent="0.2">
      <c r="D22" s="2"/>
    </row>
    <row r="23" spans="1:14" x14ac:dyDescent="0.2">
      <c r="D23" s="2"/>
    </row>
    <row r="24" spans="1:14" x14ac:dyDescent="0.2">
      <c r="D24" s="2"/>
    </row>
  </sheetData>
  <pageMargins left="0.7" right="0.7" top="0.75" bottom="0.75" header="0.3" footer="0.3"/>
  <pageSetup paperSize="9" orientation="portrait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/>
  </sheetViews>
  <sheetFormatPr baseColWidth="10" defaultColWidth="8.83203125" defaultRowHeight="15" x14ac:dyDescent="0.2"/>
  <cols>
    <col min="2" max="2" width="13.6640625" bestFit="1" customWidth="1"/>
    <col min="3" max="3" width="20.1640625" bestFit="1" customWidth="1"/>
    <col min="4" max="4" width="15" bestFit="1" customWidth="1"/>
    <col min="5" max="5" width="23" bestFit="1" customWidth="1"/>
    <col min="6" max="6" width="17.83203125" bestFit="1" customWidth="1"/>
    <col min="7" max="7" width="24" bestFit="1" customWidth="1"/>
    <col min="8" max="8" width="18.83203125" bestFit="1" customWidth="1"/>
  </cols>
  <sheetData>
    <row r="1" spans="1:8" x14ac:dyDescent="0.2">
      <c r="A1" s="30" t="s">
        <v>50</v>
      </c>
      <c r="B1" s="30" t="s">
        <v>51</v>
      </c>
      <c r="C1" s="30" t="s">
        <v>52</v>
      </c>
      <c r="D1" s="30" t="s">
        <v>53</v>
      </c>
      <c r="E1" s="30" t="s">
        <v>54</v>
      </c>
      <c r="F1" s="30" t="s">
        <v>55</v>
      </c>
      <c r="G1" s="30" t="s">
        <v>56</v>
      </c>
      <c r="H1" s="30" t="s">
        <v>57</v>
      </c>
    </row>
    <row r="2" spans="1:8" x14ac:dyDescent="0.2">
      <c r="A2" t="s">
        <v>58</v>
      </c>
      <c r="B2" t="s">
        <v>59</v>
      </c>
      <c r="C2">
        <v>1078.492418710011</v>
      </c>
      <c r="D2">
        <v>0.6</v>
      </c>
      <c r="E2">
        <v>4340.2530988279505</v>
      </c>
      <c r="F2">
        <v>1</v>
      </c>
      <c r="G2">
        <v>18.31394454142583</v>
      </c>
      <c r="H2">
        <v>2.2000000000000002</v>
      </c>
    </row>
    <row r="3" spans="1:8" x14ac:dyDescent="0.2">
      <c r="A3" t="s">
        <v>60</v>
      </c>
      <c r="B3" t="s">
        <v>61</v>
      </c>
      <c r="C3">
        <v>1078.492418710011</v>
      </c>
      <c r="D3">
        <v>0.6</v>
      </c>
      <c r="E3">
        <v>4416.8771897388533</v>
      </c>
      <c r="F3">
        <v>1</v>
      </c>
      <c r="G3">
        <v>15.52798897508532</v>
      </c>
      <c r="H3">
        <v>2.2000000000000002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6:O42"/>
  <sheetViews>
    <sheetView tabSelected="1" topLeftCell="A7" zoomScale="85" zoomScaleNormal="85" workbookViewId="0">
      <selection activeCell="C30" sqref="C30"/>
    </sheetView>
  </sheetViews>
  <sheetFormatPr baseColWidth="10" defaultRowHeight="15" x14ac:dyDescent="0.2"/>
  <cols>
    <col min="1" max="1" width="28.33203125" customWidth="1"/>
    <col min="2" max="2" width="19.33203125" customWidth="1"/>
    <col min="3" max="3" width="25.1640625" customWidth="1"/>
    <col min="4" max="4" width="28.5" customWidth="1"/>
    <col min="5" max="5" width="21.5" customWidth="1"/>
  </cols>
  <sheetData>
    <row r="6" spans="7:15" x14ac:dyDescent="0.2">
      <c r="G6" s="31"/>
      <c r="H6" s="32"/>
      <c r="I6" s="32"/>
      <c r="J6" s="32"/>
      <c r="K6" s="32"/>
      <c r="L6" s="32"/>
      <c r="M6" s="32"/>
      <c r="N6" s="32"/>
      <c r="O6" s="32"/>
    </row>
    <row r="7" spans="7:15" x14ac:dyDescent="0.2">
      <c r="G7" s="32"/>
      <c r="H7" s="32"/>
      <c r="I7" s="32"/>
      <c r="J7" s="32"/>
      <c r="K7" s="32"/>
      <c r="L7" s="32"/>
      <c r="M7" s="32"/>
      <c r="N7" s="32"/>
      <c r="O7" s="32"/>
    </row>
    <row r="8" spans="7:15" x14ac:dyDescent="0.2">
      <c r="G8" s="32"/>
      <c r="H8" s="32"/>
      <c r="I8" s="32"/>
      <c r="J8" s="32"/>
      <c r="K8" s="32"/>
      <c r="L8" s="32"/>
      <c r="M8" s="32"/>
      <c r="N8" s="32"/>
      <c r="O8" s="32"/>
    </row>
    <row r="9" spans="7:15" x14ac:dyDescent="0.2">
      <c r="G9" s="32"/>
      <c r="H9" s="32"/>
      <c r="I9" s="32"/>
      <c r="J9" s="32"/>
      <c r="K9" s="32"/>
      <c r="L9" s="32"/>
      <c r="M9" s="32"/>
      <c r="N9" s="32"/>
      <c r="O9" s="32"/>
    </row>
    <row r="10" spans="7:15" x14ac:dyDescent="0.2">
      <c r="G10" s="32"/>
      <c r="H10" s="32"/>
      <c r="I10" s="32"/>
      <c r="J10" s="32"/>
      <c r="K10" s="32"/>
      <c r="L10" s="32"/>
      <c r="M10" s="32"/>
      <c r="N10" s="32"/>
      <c r="O10" s="32"/>
    </row>
    <row r="11" spans="7:15" x14ac:dyDescent="0.2">
      <c r="G11" s="32"/>
      <c r="H11" s="32"/>
      <c r="I11" s="32"/>
      <c r="J11" s="32"/>
      <c r="K11" s="32"/>
      <c r="L11" s="32"/>
      <c r="M11" s="32"/>
      <c r="N11" s="32"/>
      <c r="O11" s="32"/>
    </row>
    <row r="12" spans="7:15" x14ac:dyDescent="0.2">
      <c r="G12" s="32"/>
      <c r="H12" s="32"/>
      <c r="I12" s="32"/>
      <c r="J12" s="32"/>
      <c r="K12" s="32"/>
      <c r="L12" s="32"/>
      <c r="M12" s="32"/>
      <c r="N12" s="32"/>
      <c r="O12" s="32"/>
    </row>
    <row r="13" spans="7:15" x14ac:dyDescent="0.2">
      <c r="G13" s="32"/>
      <c r="H13" s="32"/>
      <c r="I13" s="32"/>
      <c r="J13" s="32"/>
      <c r="K13" s="32"/>
      <c r="L13" s="32"/>
      <c r="M13" s="32"/>
      <c r="N13" s="32"/>
      <c r="O13" s="32"/>
    </row>
    <row r="14" spans="7:15" x14ac:dyDescent="0.2">
      <c r="G14" s="32"/>
      <c r="H14" s="32"/>
      <c r="I14" s="32"/>
      <c r="J14" s="32"/>
      <c r="K14" s="32"/>
      <c r="L14" s="32"/>
      <c r="M14" s="32"/>
      <c r="N14" s="32"/>
      <c r="O14" s="32"/>
    </row>
    <row r="15" spans="7:15" x14ac:dyDescent="0.2">
      <c r="G15" s="32"/>
      <c r="H15" s="32"/>
      <c r="I15" s="32"/>
      <c r="J15" s="32"/>
      <c r="K15" s="32"/>
      <c r="L15" s="32"/>
      <c r="M15" s="32"/>
      <c r="N15" s="32"/>
      <c r="O15" s="32"/>
    </row>
    <row r="16" spans="7:15" x14ac:dyDescent="0.2">
      <c r="G16" s="32"/>
      <c r="H16" s="32"/>
      <c r="I16" s="32"/>
      <c r="J16" s="32"/>
      <c r="K16" s="32"/>
      <c r="L16" s="32"/>
      <c r="M16" s="32"/>
      <c r="N16" s="32"/>
      <c r="O16" s="32"/>
    </row>
    <row r="17" spans="1:15" x14ac:dyDescent="0.2">
      <c r="G17" s="32"/>
      <c r="H17" s="32"/>
      <c r="I17" s="32"/>
      <c r="J17" s="32"/>
      <c r="K17" s="32"/>
      <c r="L17" s="32"/>
      <c r="M17" s="32"/>
      <c r="N17" s="32"/>
      <c r="O17" s="32"/>
    </row>
    <row r="18" spans="1:15" x14ac:dyDescent="0.2">
      <c r="G18" s="32"/>
      <c r="H18" s="32"/>
      <c r="I18" s="32"/>
      <c r="J18" s="32"/>
      <c r="K18" s="32"/>
      <c r="L18" s="32"/>
      <c r="M18" s="32"/>
      <c r="N18" s="32"/>
      <c r="O18" s="32"/>
    </row>
    <row r="19" spans="1:15" x14ac:dyDescent="0.2">
      <c r="G19" s="32"/>
      <c r="H19" s="32"/>
      <c r="I19" s="32"/>
      <c r="J19" s="32"/>
      <c r="K19" s="32"/>
      <c r="L19" s="32"/>
      <c r="M19" s="32"/>
      <c r="N19" s="32"/>
      <c r="O19" s="32"/>
    </row>
    <row r="25" spans="1:15" x14ac:dyDescent="0.2">
      <c r="A25" t="s">
        <v>62</v>
      </c>
      <c r="B25">
        <v>7</v>
      </c>
      <c r="C25" t="s">
        <v>63</v>
      </c>
    </row>
    <row r="26" spans="1:15" x14ac:dyDescent="0.2">
      <c r="A26" t="s">
        <v>64</v>
      </c>
      <c r="B26">
        <v>7</v>
      </c>
      <c r="C26" t="s">
        <v>63</v>
      </c>
    </row>
    <row r="27" spans="1:15" x14ac:dyDescent="0.2">
      <c r="A27" t="s">
        <v>65</v>
      </c>
      <c r="B27">
        <f>B25+B26</f>
        <v>14</v>
      </c>
      <c r="C27" t="s">
        <v>63</v>
      </c>
    </row>
    <row r="29" spans="1:15" x14ac:dyDescent="0.2">
      <c r="A29" t="s">
        <v>66</v>
      </c>
      <c r="B29">
        <v>101.41</v>
      </c>
      <c r="E29" s="1"/>
    </row>
    <row r="30" spans="1:15" x14ac:dyDescent="0.2">
      <c r="A30" t="s">
        <v>67</v>
      </c>
      <c r="B30">
        <f>Parameters!C3</f>
        <v>2</v>
      </c>
    </row>
    <row r="31" spans="1:15" x14ac:dyDescent="0.2">
      <c r="A31" t="s">
        <v>68</v>
      </c>
      <c r="B31">
        <f>B29*B30</f>
        <v>202.82</v>
      </c>
    </row>
    <row r="33" spans="1:5" x14ac:dyDescent="0.2">
      <c r="A33" t="s">
        <v>69</v>
      </c>
      <c r="B33">
        <v>100</v>
      </c>
    </row>
    <row r="34" spans="1:5" x14ac:dyDescent="0.2">
      <c r="A34" t="s">
        <v>70</v>
      </c>
      <c r="B34" s="17">
        <f>(B26/60)*B33</f>
        <v>11.666666666666666</v>
      </c>
    </row>
    <row r="35" spans="1:5" x14ac:dyDescent="0.2">
      <c r="A35" t="s">
        <v>71</v>
      </c>
      <c r="B35" s="17">
        <f>(B25/60)*B33</f>
        <v>11.666666666666666</v>
      </c>
    </row>
    <row r="36" spans="1:5" x14ac:dyDescent="0.2">
      <c r="B36" s="17"/>
    </row>
    <row r="37" spans="1:5" x14ac:dyDescent="0.2">
      <c r="A37" t="s">
        <v>72</v>
      </c>
      <c r="B37" s="17">
        <f>B31+B34+B35</f>
        <v>226.15333333333331</v>
      </c>
      <c r="D37" t="s">
        <v>73</v>
      </c>
    </row>
    <row r="38" spans="1:5" x14ac:dyDescent="0.2">
      <c r="A38" t="s">
        <v>74</v>
      </c>
    </row>
    <row r="40" spans="1:5" x14ac:dyDescent="0.2">
      <c r="A40" s="11" t="s">
        <v>75</v>
      </c>
    </row>
    <row r="41" spans="1:5" x14ac:dyDescent="0.2">
      <c r="A41" s="13"/>
      <c r="B41" s="14" t="s">
        <v>76</v>
      </c>
      <c r="C41" s="14" t="s">
        <v>77</v>
      </c>
      <c r="D41" s="14" t="s">
        <v>78</v>
      </c>
      <c r="E41" s="14" t="s">
        <v>79</v>
      </c>
    </row>
    <row r="42" spans="1:5" x14ac:dyDescent="0.2">
      <c r="A42" s="14" t="s">
        <v>80</v>
      </c>
      <c r="B42" s="15">
        <f>B31</f>
        <v>202.82</v>
      </c>
      <c r="C42" s="15">
        <f>B34</f>
        <v>11.666666666666666</v>
      </c>
      <c r="D42" s="15">
        <f>B35</f>
        <v>11.666666666666666</v>
      </c>
      <c r="E42" s="16">
        <v>0</v>
      </c>
    </row>
  </sheetData>
  <mergeCells count="1">
    <mergeCell ref="G6:O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comments</vt:lpstr>
      <vt:lpstr>Parameters</vt:lpstr>
      <vt:lpstr>options</vt:lpstr>
      <vt:lpstr>mission_profile</vt:lpstr>
      <vt:lpstr>results</vt:lpstr>
      <vt:lpstr>Replacement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Ghersi, Tarak</dc:creator>
  <cp:lastModifiedBy>Lesaulnier, Thomas</cp:lastModifiedBy>
  <dcterms:created xsi:type="dcterms:W3CDTF">2015-06-05T18:19:34Z</dcterms:created>
  <dcterms:modified xsi:type="dcterms:W3CDTF">2026-06-26T11:40:15Z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5f6660-0408-47d2-ae31-f46329b4bd81_Enabled">
    <vt:lpwstr>true</vt:lpwstr>
  </property>
  <property fmtid="{D5CDD505-2E9C-101B-9397-08002B2CF9AE}" pid="3" name="MSIP_Label_d55f6660-0408-47d2-ae31-f46329b4bd81_SetDate">
    <vt:lpwstr>2025-03-11T14:30:49Z</vt:lpwstr>
  </property>
  <property fmtid="{D5CDD505-2E9C-101B-9397-08002B2CF9AE}" pid="4" name="MSIP_Label_d55f6660-0408-47d2-ae31-f46329b4bd81_Method">
    <vt:lpwstr>Standard</vt:lpwstr>
  </property>
  <property fmtid="{D5CDD505-2E9C-101B-9397-08002B2CF9AE}" pid="5" name="MSIP_Label_d55f6660-0408-47d2-ae31-f46329b4bd81_Name">
    <vt:lpwstr>General</vt:lpwstr>
  </property>
  <property fmtid="{D5CDD505-2E9C-101B-9397-08002B2CF9AE}" pid="6" name="MSIP_Label_d55f6660-0408-47d2-ae31-f46329b4bd81_SiteId">
    <vt:lpwstr>1f141cfd-a6c5-4e9a-bf84-7116c141e5f4</vt:lpwstr>
  </property>
  <property fmtid="{D5CDD505-2E9C-101B-9397-08002B2CF9AE}" pid="7" name="MSIP_Label_d55f6660-0408-47d2-ae31-f46329b4bd81_ActionId">
    <vt:lpwstr>3edb43e9-f852-4ed0-9b97-911df6e4cff0</vt:lpwstr>
  </property>
  <property fmtid="{D5CDD505-2E9C-101B-9397-08002B2CF9AE}" pid="8" name="MSIP_Label_d55f6660-0408-47d2-ae31-f46329b4bd81_ContentBits">
    <vt:lpwstr>0</vt:lpwstr>
  </property>
</Properties>
</file>